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machine cap\"/>
    </mc:Choice>
  </mc:AlternateContent>
  <xr:revisionPtr revIDLastSave="0" documentId="13_ncr:1_{586A2B0C-AB36-4409-AC2A-9799A92DD67C}" xr6:coauthVersionLast="37" xr6:coauthVersionMax="37" xr10:uidLastSave="{00000000-0000-0000-0000-000000000000}"/>
  <bookViews>
    <workbookView xWindow="-105" yWindow="-105" windowWidth="16395" windowHeight="9600" tabRatio="679" firstSheet="1" activeTab="2" xr2:uid="{00000000-000D-0000-FFFF-FFFF00000000}"/>
  </bookViews>
  <sheets>
    <sheet name="Capacity utilization rate (3)" sheetId="51" state="hidden" r:id="rId1"/>
    <sheet name="data fo" sheetId="57" r:id="rId2"/>
    <sheet name="wip-fg" sheetId="6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" hidden="1">[1]ENG油洩れ!#REF!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#N/A</definedName>
    <definedName name="\p">#REF!</definedName>
    <definedName name="\s">#REF!</definedName>
    <definedName name="_________DT1・">[2]選酋表!#REF!</definedName>
    <definedName name="_________SUB01">#REF!</definedName>
    <definedName name="_________SUB02">#REF!</definedName>
    <definedName name="_________SUB03">#REF!</definedName>
    <definedName name="_________SUB04">#REF!</definedName>
    <definedName name="_______DEL3">[3]結果!$O$2:$O$7,[3]結果!$P$5:$T$7</definedName>
    <definedName name="_______DT1・">[2]選酋表!#REF!</definedName>
    <definedName name="_______SUB01">#REF!</definedName>
    <definedName name="_______SUB02">#REF!</definedName>
    <definedName name="_______SUB03">#REF!</definedName>
    <definedName name="_______SUB04">#REF!</definedName>
    <definedName name="_______VAN1" hidden="1">{#N/A,#N/A,TRUE,"COMPAR"}</definedName>
    <definedName name="______DEL3">[3]結果!$O$2:$O$7,[3]結果!$P$5:$T$7</definedName>
    <definedName name="______DT1・">[2]選酋表!#REF!</definedName>
    <definedName name="______RSA24201">#REF!</definedName>
    <definedName name="______SUB01">#REF!</definedName>
    <definedName name="______SUB02">#REF!</definedName>
    <definedName name="______SUB03">#REF!</definedName>
    <definedName name="______SUB04">#REF!</definedName>
    <definedName name="______VAN1" hidden="1">{#N/A,#N/A,TRUE,"COMPAR"}</definedName>
    <definedName name="_____04TF_OVERSEA_MARCH">#REF!</definedName>
    <definedName name="_____04TF_TIS_OVERSEA_PART_200311">#REF!</definedName>
    <definedName name="_____05UC_PHL_CKD_PART_LIST">#REF!</definedName>
    <definedName name="_____DEL3">[3]結果!$O$2:$O$7,[3]結果!$P$5:$T$7</definedName>
    <definedName name="_____DT1・">[2]選酋表!#REF!</definedName>
    <definedName name="_____RSA24201">#REF!</definedName>
    <definedName name="_____SUB01">#REF!</definedName>
    <definedName name="_____SUB02">#REF!</definedName>
    <definedName name="_____SUB03">#REF!</definedName>
    <definedName name="_____SUB04">#REF!</definedName>
    <definedName name="_____VAN1" hidden="1">{#N/A,#N/A,TRUE,"COMPAR"}</definedName>
    <definedName name="____04TF_OVERSEA_MARCH">#REF!</definedName>
    <definedName name="____04TF_TIS_OVERSEA_PART_200311">#REF!</definedName>
    <definedName name="____05UC_PHL_CKD_PART_LIST">#REF!</definedName>
    <definedName name="____DEL3">[3]結果!$O$2:$O$7,[3]結果!$P$5:$T$7</definedName>
    <definedName name="____DT1・">[2]選酋表!#REF!</definedName>
    <definedName name="____RSA24201">#REF!</definedName>
    <definedName name="____SUB01">#REF!</definedName>
    <definedName name="____SUB02">#REF!</definedName>
    <definedName name="____SUB03">#REF!</definedName>
    <definedName name="____SUB04">#REF!</definedName>
    <definedName name="____VAN1" hidden="1">{#N/A,#N/A,TRUE,"COMPAR"}</definedName>
    <definedName name="___04TF_OVERSEA_MARCH">#REF!</definedName>
    <definedName name="___04TF_TIS_OVERSEA_PART_200311">#REF!</definedName>
    <definedName name="___05UC_PHL_CKD_PART_LIST">#REF!</definedName>
    <definedName name="___DEL3">[3]結果!$O$2:$O$7,[3]結果!$P$5:$T$7</definedName>
    <definedName name="___DT1・">[2]選酋表!#REF!</definedName>
    <definedName name="___RSA24201">#REF!</definedName>
    <definedName name="___SUB01">#REF!</definedName>
    <definedName name="___SUB02">#REF!</definedName>
    <definedName name="___SUB03">#REF!</definedName>
    <definedName name="___SUB04">#REF!</definedName>
    <definedName name="___VAN1" hidden="1">{#N/A,#N/A,TRUE,"COMPAR"}</definedName>
    <definedName name="__04TF_OVERSEA_MARCH">#REF!</definedName>
    <definedName name="__04TF_TIS_OVERSEA_PART_200311">#REF!</definedName>
    <definedName name="__05UC_PHL_CKD_PART_LIST">#REF!</definedName>
    <definedName name="__123Graph_A" hidden="1">[1]ENG油洩れ!#REF!</definedName>
    <definedName name="__123Graph_A状況" hidden="1">[1]ENG油洩れ!#REF!</definedName>
    <definedName name="__123Graph_B" hidden="1">[4]ﾌﾟﾛﾄ_P772分解5号機!$C$25:$C$30</definedName>
    <definedName name="__123Graph_C" hidden="1">[4]ﾌﾟﾛﾄ_P772分解5号機!$D$25:$D$30</definedName>
    <definedName name="__123Graph_D" hidden="1">[4]ﾌﾟﾛﾄ_P772分解5号機!$E$25:$E$30</definedName>
    <definedName name="__123Graph_E" hidden="1">[4]ﾌﾟﾛﾄ_P772分解5号機!$F$25:$F$30</definedName>
    <definedName name="__123Graph_F" hidden="1">[4]ﾌﾟﾛﾄ_P772分解5号機!#REF!</definedName>
    <definedName name="__123Graph_X" hidden="1">[4]ﾌﾟﾛﾄ_P772分解5号機!$A$36:$A$41</definedName>
    <definedName name="__123Graph_X状況" hidden="1">[1]ENG油洩れ!#REF!</definedName>
    <definedName name="__DEL3">[3]結果!$O$2:$O$7,[3]結果!$P$5:$T$7</definedName>
    <definedName name="__DT1・">[2]選酋表!#REF!</definedName>
    <definedName name="__RSA24201">#REF!</definedName>
    <definedName name="__SUB01">#REF!</definedName>
    <definedName name="__SUB02">#REF!</definedName>
    <definedName name="__SUB03">#REF!</definedName>
    <definedName name="__SUB04">#REF!</definedName>
    <definedName name="__VAN1" hidden="1">{#N/A,#N/A,TRUE,"COMPAR"}</definedName>
    <definedName name="_04TF_OVERSEA_MARCH">#REF!</definedName>
    <definedName name="_04TF_TIS_OVERSEA_PART_200311">#REF!</definedName>
    <definedName name="_05UC_PHL_CKD_PART_LIST">#REF!</definedName>
    <definedName name="_1">#REF!</definedName>
    <definedName name="_1___________123Graph_A????_3" hidden="1">#REF!</definedName>
    <definedName name="_1___123Graph_A????_3" hidden="1">#REF!</definedName>
    <definedName name="_1__123Graph_A????_3" hidden="1">#REF!</definedName>
    <definedName name="_10___________123Graph_Eｸﾞﾗﾌ_3" hidden="1">#REF!</definedName>
    <definedName name="_10___123Graph_Eｸﾞﾗﾌ_3" hidden="1">#REF!</definedName>
    <definedName name="_10__123Graph_Eｸﾞﾗﾌ_3" hidden="1">#REF!</definedName>
    <definedName name="_11">#REF!</definedName>
    <definedName name="_11___________123Graph_F????_3" hidden="1">#REF!</definedName>
    <definedName name="_11___123Graph_F????_3" hidden="1">#REF!</definedName>
    <definedName name="_11__123Graph_F????_3" hidden="1">#REF!</definedName>
    <definedName name="_110">#REF!</definedName>
    <definedName name="_12___________123Graph_Fｸﾞﾗﾌ_3" hidden="1">#REF!</definedName>
    <definedName name="_12___123Graph_Fｸﾞﾗﾌ_3" hidden="1">#REF!</definedName>
    <definedName name="_12__123Graph_Fｸﾞﾗﾌ_3" hidden="1">#REF!</definedName>
    <definedName name="_13">#REF!</definedName>
    <definedName name="_13__________123Graph_A????_3" hidden="1">#REF!</definedName>
    <definedName name="_13__123Graph_A????_3" hidden="1">#REF!</definedName>
    <definedName name="_13_04TF_OVERSEA_MARCH">#REF!</definedName>
    <definedName name="_14__________123Graph_Aｸﾞﾗﾌ_3" hidden="1">#REF!</definedName>
    <definedName name="_14__123Graph_Aｸﾞﾗﾌ_3" hidden="1">#REF!</definedName>
    <definedName name="_14_04TF_OVERSEA_MARCH">#REF!</definedName>
    <definedName name="_14_04TF_TIS_OVERSEA_PART_200311">#REF!</definedName>
    <definedName name="_15">#REF!</definedName>
    <definedName name="_15__________123Graph_B????_3" hidden="1">#REF!</definedName>
    <definedName name="_15__123Graph_B????_3" hidden="1">#REF!</definedName>
    <definedName name="_15_05UC_PHL_CKD_PART_LIST">#REF!</definedName>
    <definedName name="_16__________123Graph_Bｸﾞﾗﾌ_3" hidden="1">#REF!</definedName>
    <definedName name="_16__123Graph_Bｸﾞﾗﾌ_3" hidden="1">#REF!</definedName>
    <definedName name="_16_04TF_TIS_OVERSEA_PART_200311">#REF!</definedName>
    <definedName name="_17">#REF!</definedName>
    <definedName name="_17__________123Graph_C????_3" hidden="1">#REF!</definedName>
    <definedName name="_17__123Graph_C????_3" hidden="1">#REF!</definedName>
    <definedName name="_18">#REF!</definedName>
    <definedName name="_18__________123Graph_Cｸﾞﾗﾌ_3" hidden="1">#REF!</definedName>
    <definedName name="_18__123Graph_Cｸﾞﾗﾌ_3" hidden="1">#REF!</definedName>
    <definedName name="_18_05UC_PHL_CKD_PART_LIST">#REF!</definedName>
    <definedName name="_19">'[5]2TUP'!#REF!</definedName>
    <definedName name="_19__________123Graph_D????_3" hidden="1">#REF!</definedName>
    <definedName name="_19__123Graph_D????_3" hidden="1">#REF!</definedName>
    <definedName name="_2">#REF!</definedName>
    <definedName name="_2___________123Graph_Aｸﾞﾗﾌ_3" hidden="1">#REF!</definedName>
    <definedName name="_2___123Graph_Aｸﾞﾗﾌ_3" hidden="1">#REF!</definedName>
    <definedName name="_2__123Graph_Aｸﾞﾗﾌ_3" hidden="1">#REF!</definedName>
    <definedName name="_20">#REF!</definedName>
    <definedName name="_20__________123Graph_Dｸﾞﾗﾌ_3" hidden="1">#REF!</definedName>
    <definedName name="_20__123Graph_Dｸﾞﾗﾌ_3" hidden="1">#REF!</definedName>
    <definedName name="_21">#REF!</definedName>
    <definedName name="_21__________123Graph_E????_3" hidden="1">#REF!</definedName>
    <definedName name="_21__123Graph_E????_3" hidden="1">#REF!</definedName>
    <definedName name="_22">'[5]2TUP'!#REF!</definedName>
    <definedName name="_22__________123Graph_Eｸﾞﾗﾌ_3" hidden="1">#REF!</definedName>
    <definedName name="_22__123Graph_Eｸﾞﾗﾌ_3" hidden="1">#REF!</definedName>
    <definedName name="_220">'[5]2TUP'!#REF!</definedName>
    <definedName name="_222">'[5]2TUP'!#REF!</definedName>
    <definedName name="_23">'[5]2TUP'!#REF!</definedName>
    <definedName name="_23__________123Graph_F????_3" hidden="1">#REF!</definedName>
    <definedName name="_23__123Graph_F????_3" hidden="1">#REF!</definedName>
    <definedName name="_24">'[5]2TUP'!#REF!</definedName>
    <definedName name="_24__________123Graph_Fｸﾞﾗﾌ_3" hidden="1">#REF!</definedName>
    <definedName name="_24__123Graph_Fｸﾞﾗﾌ_3" hidden="1">#REF!</definedName>
    <definedName name="_25">#REF!</definedName>
    <definedName name="_25_________123Graph_A????_3" hidden="1">#REF!</definedName>
    <definedName name="_25_04TF_OVERSEA_MARCH">#REF!</definedName>
    <definedName name="_26">'[5]2TUP'!#REF!</definedName>
    <definedName name="_26_________123Graph_Aｸﾞﾗﾌ_3" hidden="1">#REF!</definedName>
    <definedName name="_26_04TF_OVERSEA_MARCH">#REF!</definedName>
    <definedName name="_26_04TF_TIS_OVERSEA_PART_200311">#REF!</definedName>
    <definedName name="_27">#REF!</definedName>
    <definedName name="_27_________123Graph_B????_3" hidden="1">#REF!</definedName>
    <definedName name="_27_05UC_PHL_CKD_PART_LIST">#REF!</definedName>
    <definedName name="_28">#REF!</definedName>
    <definedName name="_28_________123Graph_Bｸﾞﾗﾌ_3" hidden="1">#REF!</definedName>
    <definedName name="_28_04TF_OVERSEA_MARCH">#REF!</definedName>
    <definedName name="_28_04TF_TIS_OVERSEA_PART_200311">#REF!</definedName>
    <definedName name="_29">'[5]2TUP'!#REF!</definedName>
    <definedName name="_29_________123Graph_C????_3" hidden="1">#REF!</definedName>
    <definedName name="_3___________123Graph_B????_3" hidden="1">#REF!</definedName>
    <definedName name="_3___123Graph_B????_3" hidden="1">#REF!</definedName>
    <definedName name="_3__123Graph_B????_3" hidden="1">#REF!</definedName>
    <definedName name="_30">#REF!</definedName>
    <definedName name="_30_________123Graph_Cｸﾞﾗﾌ_3" hidden="1">#REF!</definedName>
    <definedName name="_30_05UC_PHL_CKD_PART_LIST">#REF!</definedName>
    <definedName name="_31">'[5]2TUP'!#REF!</definedName>
    <definedName name="_31_________123Graph_D????_3" hidden="1">#REF!</definedName>
    <definedName name="_32">#REF!</definedName>
    <definedName name="_32_________123Graph_Dｸﾞﾗﾌ_3" hidden="1">#REF!</definedName>
    <definedName name="_32_04TF_TIS_OVERSEA_PART_200311">#REF!</definedName>
    <definedName name="_33">'[5]2TUP'!#REF!</definedName>
    <definedName name="_33_________123Graph_E????_3" hidden="1">#REF!</definedName>
    <definedName name="_34">'[5]2TUP'!#REF!</definedName>
    <definedName name="_34_________123Graph_Eｸﾞﾗﾌ_3" hidden="1">#REF!</definedName>
    <definedName name="_35">#REF!</definedName>
    <definedName name="_35_________123Graph_F????_3" hidden="1">#REF!</definedName>
    <definedName name="_36">'[5]2TUP'!#REF!</definedName>
    <definedName name="_36_________123Graph_Fｸﾞﾗﾌ_3" hidden="1">#REF!</definedName>
    <definedName name="_36_05UC_PHL_CKD_PART_LIST">#REF!</definedName>
    <definedName name="_37">#REF!</definedName>
    <definedName name="_37________123Graph_A????_3" hidden="1">#REF!</definedName>
    <definedName name="_38">'[5]2TUP'!#REF!</definedName>
    <definedName name="_38________123Graph_Aｸﾞﾗﾌ_3" hidden="1">#REF!</definedName>
    <definedName name="_39">#REF!</definedName>
    <definedName name="_39________123Graph_B????_3" hidden="1">#REF!</definedName>
    <definedName name="_4">#REF!</definedName>
    <definedName name="_4___________123Graph_Bｸﾞﾗﾌ_3" hidden="1">#REF!</definedName>
    <definedName name="_4___123Graph_Bｸﾞﾗﾌ_3" hidden="1">#REF!</definedName>
    <definedName name="_4__123Graph_Bｸﾞﾗﾌ_3" hidden="1">#REF!</definedName>
    <definedName name="_40">'[5]2TUP'!#REF!</definedName>
    <definedName name="_40________123Graph_Bｸﾞﾗﾌ_3" hidden="1">#REF!</definedName>
    <definedName name="_41">'[5]2TUP'!#REF!</definedName>
    <definedName name="_41________123Graph_C????_3" hidden="1">#REF!</definedName>
    <definedName name="_42">'[5]2TUP'!#REF!</definedName>
    <definedName name="_42________123Graph_Cｸﾞﾗﾌ_3" hidden="1">#REF!</definedName>
    <definedName name="_43">#REF!</definedName>
    <definedName name="_43________123Graph_D????_3" hidden="1">#REF!</definedName>
    <definedName name="_44">#REF!</definedName>
    <definedName name="_44________123Graph_Dｸﾞﾗﾌ_3" hidden="1">#REF!</definedName>
    <definedName name="_45">'[5]2TUP'!#REF!</definedName>
    <definedName name="_45________123Graph_E????_3" hidden="1">#REF!</definedName>
    <definedName name="_46">#REF!</definedName>
    <definedName name="_46________123Graph_Eｸﾞﾗﾌ_3" hidden="1">#REF!</definedName>
    <definedName name="_47">'[5]2TUP'!#REF!</definedName>
    <definedName name="_47________123Graph_F????_3" hidden="1">#REF!</definedName>
    <definedName name="_48">'[5]2TUP'!#REF!</definedName>
    <definedName name="_48________123Graph_Fｸﾞﾗﾌ_3" hidden="1">#REF!</definedName>
    <definedName name="_49">#REF!</definedName>
    <definedName name="_5">#REF!</definedName>
    <definedName name="_5___________123Graph_C????_3" hidden="1">#REF!</definedName>
    <definedName name="_5___123Graph_C????_3" hidden="1">#REF!</definedName>
    <definedName name="_5__123Graph_C????_3" hidden="1">#REF!</definedName>
    <definedName name="_50">'[5]2TUP'!#REF!</definedName>
    <definedName name="_51">'[5]2TUP'!#REF!</definedName>
    <definedName name="_52">'[5]2TUP'!#REF!</definedName>
    <definedName name="_53">'[5]2TUP'!#REF!</definedName>
    <definedName name="_54">'[5]2TUP'!#REF!</definedName>
    <definedName name="_55">'[5]2TUP'!#REF!</definedName>
    <definedName name="_56">'[5]2TUP'!#REF!</definedName>
    <definedName name="_57">'[5]2TUP'!#REF!</definedName>
    <definedName name="_58">'[5]2TUP'!#REF!</definedName>
    <definedName name="_59">[6]SMALL!#REF!</definedName>
    <definedName name="_6___________123Graph_Cｸﾞﾗﾌ_3" hidden="1">#REF!</definedName>
    <definedName name="_6___123Graph_Cｸﾞﾗﾌ_3" hidden="1">#REF!</definedName>
    <definedName name="_6__123Graph_Cｸﾞﾗﾌ_3" hidden="1">#REF!</definedName>
    <definedName name="_60">[6]SMALL!#REF!</definedName>
    <definedName name="_62">[6]SMALL!#REF!</definedName>
    <definedName name="_63">[6]SMALL!#REF!</definedName>
    <definedName name="_64">[6]SMALL!#REF!</definedName>
    <definedName name="_7">#REF!</definedName>
    <definedName name="_7___________123Graph_D????_3" hidden="1">#REF!</definedName>
    <definedName name="_7___123Graph_D????_3" hidden="1">#REF!</definedName>
    <definedName name="_7__123Graph_D????_3" hidden="1">#REF!</definedName>
    <definedName name="_8___________123Graph_Dｸﾞﾗﾌ_3" hidden="1">#REF!</definedName>
    <definedName name="_8___123Graph_Dｸﾞﾗﾌ_3" hidden="1">#REF!</definedName>
    <definedName name="_8__123Graph_Dｸﾞﾗﾌ_3" hidden="1">#REF!</definedName>
    <definedName name="_9">#REF!</definedName>
    <definedName name="_9___________123Graph_E????_3" hidden="1">#REF!</definedName>
    <definedName name="_9___123Graph_E????_3" hidden="1">#REF!</definedName>
    <definedName name="_9__123Graph_E????_3" hidden="1">#REF!</definedName>
    <definedName name="_A007">#REF!</definedName>
    <definedName name="_B007">[7]_B007!$B$1:$Q$9</definedName>
    <definedName name="_DEL3">[3]結果!$O$2:$O$7,[3]結果!$P$5:$T$7</definedName>
    <definedName name="_Dist_Bin" hidden="1">[1]ENG油洩れ!#REF!</definedName>
    <definedName name="_DT1・">[2]選酋表!#REF!</definedName>
    <definedName name="_Fill" hidden="1">#REF!</definedName>
    <definedName name="_Fill2" hidden="1">#REF!</definedName>
    <definedName name="_xlnm._FilterDatabase" localSheetId="1" hidden="1">'data fo'!$A$1:$P$374</definedName>
    <definedName name="_xlnm._FilterDatabase" hidden="1">#REF!</definedName>
    <definedName name="_G140">#REF!</definedName>
    <definedName name="_H140">#REF!</definedName>
    <definedName name="_K084">#REF!</definedName>
    <definedName name="_Key1" hidden="1">#REF!</definedName>
    <definedName name="_key2" hidden="1">#REF!</definedName>
    <definedName name="_M157">#REF!</definedName>
    <definedName name="_Order1" hidden="1">255</definedName>
    <definedName name="_Order2" hidden="1">255</definedName>
    <definedName name="_P003">#REF!</definedName>
    <definedName name="_Q043">#REF!</definedName>
    <definedName name="_Regression_Out" hidden="1">#REF!</definedName>
    <definedName name="_Regression_X" hidden="1">#REF!</definedName>
    <definedName name="_Regression_Y" hidden="1">#REF!</definedName>
    <definedName name="_RSA2420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T002">#REF!</definedName>
    <definedName name="_T003">#REF!</definedName>
    <definedName name="_T005">#REF!</definedName>
    <definedName name="_T008">#REF!</definedName>
    <definedName name="_T010">#REF!</definedName>
    <definedName name="_T011">#REF!</definedName>
    <definedName name="_T012">#REF!</definedName>
    <definedName name="_T016">#REF!</definedName>
    <definedName name="_T018">#REF!</definedName>
    <definedName name="_T021">#REF!</definedName>
    <definedName name="_T022">#REF!</definedName>
    <definedName name="_T033">#REF!</definedName>
    <definedName name="_T036">#REF!</definedName>
    <definedName name="_T045">#REF!</definedName>
    <definedName name="_T046">#REF!</definedName>
    <definedName name="_T051">#REF!</definedName>
    <definedName name="_T052">#REF!</definedName>
    <definedName name="_T053">#REF!</definedName>
    <definedName name="_T058">#REF!</definedName>
    <definedName name="_T061">#REF!</definedName>
    <definedName name="_T063">#REF!</definedName>
    <definedName name="_T066">#REF!</definedName>
    <definedName name="_T067">#REF!</definedName>
    <definedName name="_T068">#REF!</definedName>
    <definedName name="_T073">#REF!</definedName>
    <definedName name="_T082">#REF!</definedName>
    <definedName name="_T084">#REF!</definedName>
    <definedName name="_T088">#REF!</definedName>
    <definedName name="_T110">#REF!</definedName>
    <definedName name="_T111">#REF!</definedName>
    <definedName name="_T112">#REF!</definedName>
    <definedName name="_T117">#REF!</definedName>
    <definedName name="_T125">#REF!</definedName>
    <definedName name="_T126">#REF!</definedName>
    <definedName name="_T127">#REF!</definedName>
    <definedName name="_T133">#REF!</definedName>
    <definedName name="_T135">#REF!</definedName>
    <definedName name="_T136">#REF!</definedName>
    <definedName name="_T137">#REF!</definedName>
    <definedName name="_T138">#REF!</definedName>
    <definedName name="_T141">#REF!</definedName>
    <definedName name="_T151">#REF!</definedName>
    <definedName name="_T152">#REF!</definedName>
    <definedName name="_T154">#REF!</definedName>
    <definedName name="_T155">#REF!</definedName>
    <definedName name="_T171">#REF!</definedName>
    <definedName name="_T173">#REF!</definedName>
    <definedName name="_T176">#REF!</definedName>
    <definedName name="_T178">#REF!</definedName>
    <definedName name="_T179">#REF!</definedName>
    <definedName name="_T181">#REF!</definedName>
    <definedName name="_T185">#REF!</definedName>
    <definedName name="_VAN1" hidden="1">{#N/A,#N/A,TRUE,"COMPAR"}</definedName>
    <definedName name="・急“x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 hidden="1">{#N/A,#N/A,TRUE,"COMPAR"}</definedName>
    <definedName name="AAAAAAA">#REF!</definedName>
    <definedName name="aaaaaaaaaaaaaaaaaaaa">#REF!</definedName>
    <definedName name="AccessDatabase" hidden="1">"C:\ASU_蒸気.mdb"</definedName>
    <definedName name="AD" hidden="1">{#N/A,#N/A,TRUE,"COMPAR"}</definedName>
    <definedName name="AENUM">'[8]Vehicle Number'!#REF!</definedName>
    <definedName name="AFDFDFD">'[9]2TUP'!#REF!</definedName>
    <definedName name="ALL_PART_LIST_SUM_1st">#REF!</definedName>
    <definedName name="AnnProd.ASSEMBLER">#REF!</definedName>
    <definedName name="AnnProd.ASSEMBLER_FULLNAME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2016">[10]Production!#REF!</definedName>
    <definedName name="AnnProd.V2017">[10]Production!#REF!</definedName>
    <definedName name="AnnProd.VOLUME_TYPE">#REF!</definedName>
    <definedName name="AnnSales.ASSEMBLER">'[11]Annual Sales'!#REF!</definedName>
    <definedName name="AnnSales.ASSEMBLER_FULLNAME">#REF!</definedName>
    <definedName name="AnnSales.ASSEMBLY_GROUP">'[11]Annual Sales'!#REF!</definedName>
    <definedName name="AnnSales.ASSEMBLY_GROUP_FULLNAME">#REF!</definedName>
    <definedName name="AnnSales.BRAND">'[12]Annual Sales'!#REF!</definedName>
    <definedName name="AnnSales.BRAND_FULLNAME">#REF!</definedName>
    <definedName name="AnnSales.CREATED_BY">#REF!</definedName>
    <definedName name="AnnSales.CREATED_DATE">#REF!</definedName>
    <definedName name="AnnSales.DATA_STATUS">'[11]Annual Sales'!#REF!</definedName>
    <definedName name="AnnSales.DRI_VEHICLE_TYPE">#REF!</definedName>
    <definedName name="AnnSales.DRITYPE">'[11]Annual Sales'!#REF!</definedName>
    <definedName name="AnnSales.DRITYPE_FULLNAME">#REF!</definedName>
    <definedName name="AnnSales.GLOBAL_MODEL_NAME">'[11]Annual Sales'!#REF!</definedName>
    <definedName name="AnnSales.GLOBAL_SEGMENT">'[11]Annual Sales'!#REF!</definedName>
    <definedName name="AnnSales.GLOBAL_SEGMENT_FULLNAME">#REF!</definedName>
    <definedName name="AnnSales.GROUP_FULLNAME">#REF!</definedName>
    <definedName name="AnnSales.GROUP_NAME">'[12]Annual Sales'!#REF!</definedName>
    <definedName name="AnnSales.GVW_SECTOR">'[11]Annual Sales'!#REF!</definedName>
    <definedName name="AnnSales.GVW_SECTOR_FULLNAME">#REF!</definedName>
    <definedName name="AnnSales.LAST_UPDATED_BY">#REF!</definedName>
    <definedName name="AnnSales.LAST_UPDATED_DATE">#REF!</definedName>
    <definedName name="AnnSales.LAUNCH_CALENDAR_YEAR">'[11]Annual Sales'!#REF!</definedName>
    <definedName name="AnnSales.LAUNCH_MODEL_YEAR">'[11]Annual Sales'!#REF!</definedName>
    <definedName name="AnnSales.MNEMONIC">'[11]Annual Sales'!#REF!</definedName>
    <definedName name="AnnSales.MODEL">'[12]Annual Sales'!#REF!</definedName>
    <definedName name="AnnSales.MODEL_FULLNAME">#REF!</definedName>
    <definedName name="AnnSales.MODEL_RANGE">'[11]Annual Sales'!#REF!</definedName>
    <definedName name="AnnSales.MODEL_RANGE_FULLNAME">#REF!</definedName>
    <definedName name="AnnSales.NA_SEGMENT">'[11]Annual Sales'!#REF!</definedName>
    <definedName name="AnnSales.NA_SEGMENT_FULLNAME">#REF!</definedName>
    <definedName name="AnnSales.OFFTYPE">'[12]Annual Sales'!#REF!</definedName>
    <definedName name="AnnSales.OFFTYPE_FULLNAME">#REF!</definedName>
    <definedName name="AnnSales.PLATFORM">'[11]Annual Sales'!#REF!</definedName>
    <definedName name="AnnSales.PLATFORM_FULLNAME">#REF!</definedName>
    <definedName name="AnnSales.PLATFORM_OWNER">'[11]Annual Sales'!#REF!</definedName>
    <definedName name="AnnSales.PLATFORM_OWNER_FULLNAME">#REF!</definedName>
    <definedName name="AnnSales.RECORD_NUMBER">'[11]Annual Sales'!#REF!</definedName>
    <definedName name="AnnSales.REGION">'[11]Annual Sales'!#REF!</definedName>
    <definedName name="AnnSales.REGION_FULLNAME">#REF!</definedName>
    <definedName name="AnnSales.SALE_COUNTRY">'[12]Annual Sales'!#REF!</definedName>
    <definedName name="AnnSales.SALE_COUNTRY_FULLNAME">#REF!</definedName>
    <definedName name="AnnSales.SEGMENT">'[12]Annual Sales'!#REF!</definedName>
    <definedName name="AnnSales.SEGMENT_FULLNAME">#REF!</definedName>
    <definedName name="AnnSales.SOURCE">'[11]Annual Sales'!#REF!</definedName>
    <definedName name="AnnSales.SOURCE_FULLNAME">#REF!</definedName>
    <definedName name="AnnSales.SPLIT_KEY">'[11]Annual Sales'!#REF!</definedName>
    <definedName name="AnnSales.TAX_INCENTIVISED">'[11]Annual Sales'!#REF!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USER_DEFINED1">'[11]Annual Sales'!#REF!</definedName>
    <definedName name="AnnSales.USER_DEFINED10">'[11]Annual Sales'!#REF!</definedName>
    <definedName name="AnnSales.USER_DEFINED11">'[11]Annual Sales'!#REF!</definedName>
    <definedName name="AnnSales.USER_DEFINED12">'[11]Annual Sales'!#REF!</definedName>
    <definedName name="AnnSales.USER_DEFINED2">'[11]Annual Sales'!#REF!</definedName>
    <definedName name="AnnSales.USER_DEFINED3">'[11]Annual Sales'!#REF!</definedName>
    <definedName name="AnnSales.USER_DEFINED4">'[11]Annual Sales'!#REF!</definedName>
    <definedName name="AnnSales.USER_DEFINED5">'[11]Annual Sales'!#REF!</definedName>
    <definedName name="AnnSales.USER_DEFINED6">'[11]Annual Sales'!#REF!</definedName>
    <definedName name="AnnSales.USER_DEFINED7">'[11]Annual Sales'!#REF!</definedName>
    <definedName name="AnnSales.USER_DEFINED8">'[11]Annual Sales'!#REF!</definedName>
    <definedName name="AnnSales.USER_DEFINED9">'[11]Annual Sales'!#REF!</definedName>
    <definedName name="AnnSales.V1985">'[11]Annual Sales'!#REF!</definedName>
    <definedName name="AnnSales.V1986">'[11]Annual Sales'!#REF!</definedName>
    <definedName name="AnnSales.V1987">'[11]Annual Sales'!#REF!</definedName>
    <definedName name="AnnSales.V1988">'[11]Annual Sales'!#REF!</definedName>
    <definedName name="AnnSales.V1989">'[11]Annual Sales'!#REF!</definedName>
    <definedName name="AnnSales.V1990">'[11]Annual Sales'!#REF!</definedName>
    <definedName name="AnnSales.V1991">'[11]Annual Sales'!#REF!</definedName>
    <definedName name="AnnSales.V1992">'[11]Annual Sales'!#REF!</definedName>
    <definedName name="AnnSales.V1993">'[11]Annual Sales'!#REF!</definedName>
    <definedName name="AnnSales.V1994">'[11]Annual Sales'!#REF!</definedName>
    <definedName name="AnnSales.V1995">'[11]Annual Sales'!#REF!</definedName>
    <definedName name="AnnSales.V1996">'[11]Annual Sales'!#REF!</definedName>
    <definedName name="AnnSales.V1997">'[11]Annual Sales'!#REF!</definedName>
    <definedName name="AnnSales.V1998">'[11]Annual Sales'!#REF!</definedName>
    <definedName name="AnnSales.V1999">'[12]Annual Sales'!#REF!</definedName>
    <definedName name="AnnSales.V2000">'[12]Annual Sales'!#REF!</definedName>
    <definedName name="AnnSales.V2001">'[12]Annual Sales'!#REF!</definedName>
    <definedName name="AnnSales.V2002">'[12]Annual Sales'!#REF!</definedName>
    <definedName name="AnnSales.V2003">'[12]Annual Sales'!#REF!</definedName>
    <definedName name="AnnSales.V2004">'[12]Annual Sales'!#REF!</definedName>
    <definedName name="AnnSales.V2005">'[12]Annual Sales'!#REF!</definedName>
    <definedName name="AnnSales.V2006">'[12]Annual Sales'!#REF!</definedName>
    <definedName name="AnnSales.V2007">'[12]Annual Sales'!#REF!</definedName>
    <definedName name="AnnSales.V2008">'[12]Annual Sales'!#REF!</definedName>
    <definedName name="AnnSales.V2009">'[11]Annual Sales'!#REF!</definedName>
    <definedName name="AnnSales.V2010">'[11]Annual Sales'!#REF!</definedName>
    <definedName name="AnnSales.V2011">'[11]Annual Sales'!#REF!</definedName>
    <definedName name="AnnSales.V2012">'[11]Annual Sales'!#REF!</definedName>
    <definedName name="AnnSales.V2013">'[12]Annual Sales'!#REF!</definedName>
    <definedName name="AnnSales.V2014">'[11]Annual Sales'!#REF!</definedName>
    <definedName name="AnnSales.V2015">'[11]Annual Sales'!#REF!</definedName>
    <definedName name="AnnSales.V2016">'[13]Annual Sales'!#REF!</definedName>
    <definedName name="AnnSales.V2017">'[13]Annual Sales'!#REF!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PR_SEP">#REF!</definedName>
    <definedName name="B">#REF!</definedName>
    <definedName name="BANK_CHG.">#REF!</definedName>
    <definedName name="bbb">#REF!</definedName>
    <definedName name="BODY_WORKING__RATIO__D_N">OFFSET([14]BODY!$B$38,0,'[15]PROD-TF'!$AB$21,1,1)</definedName>
    <definedName name="BODY_WORKING__RATIO__DAY">OFFSET([14]BODY!$B$36,0,'[15]PROD-TF'!$AB$21,1,1)</definedName>
    <definedName name="BODY_WORKING__RATIO__NIGHT">OFFSET([14]BODY!$B$37,0,'[15]PROD-TF'!$AB$21,1,1)</definedName>
    <definedName name="Book1">#REF!</definedName>
    <definedName name="C_">#REF!</definedName>
    <definedName name="cc">[16]!Macro29</definedName>
    <definedName name="CCC">#REF!</definedName>
    <definedName name="cccc">#REF!</definedName>
    <definedName name="CHECK0">[17]計算結果!#REF!</definedName>
    <definedName name="CHECK1">[17]計算結果!#REF!</definedName>
    <definedName name="CHECK2">[17]計算結果!#REF!</definedName>
    <definedName name="CHECK6">[18]計算結果!#REF!</definedName>
    <definedName name="CHILE49948">#REF!</definedName>
    <definedName name="CIF_TAX">#REF!</definedName>
    <definedName name="CODE">#REF!</definedName>
    <definedName name="Cost" hidden="1">#REF!</definedName>
    <definedName name="COSTB">[19]COST!$B$4:$B$83</definedName>
    <definedName name="country">'[20]Table Master'!$L$6:$AA$241</definedName>
    <definedName name="CREDIT_INT.">#REF!</definedName>
    <definedName name="_xlnm.Criteria">#REF!</definedName>
    <definedName name="CRP_NO_VAT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>#REF!</definedName>
    <definedName name="CYTDCHG">11</definedName>
    <definedName name="D">{#N/A,#N/A,TRUE,"COMPAR"}</definedName>
    <definedName name="D__DB_LAYOUT">#REF!</definedName>
    <definedName name="DATA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#REF!</definedName>
    <definedName name="dd" hidden="1">{#N/A,#N/A,TRUE,"COMPAR"}</definedName>
    <definedName name="DF" hidden="1">{#N/A,#N/A,TRUE,"COMPAR"}</definedName>
    <definedName name="dfdd" hidden="1">{#N/A,#N/A,TRUE,"COMPAR"}</definedName>
    <definedName name="dfjoisfdkmewjifsoijfc" hidden="1">{#N/A,#N/A,TRUE,"COMPAR"}</definedName>
    <definedName name="dfsd">[21]選酋表!#REF!</definedName>
    <definedName name="DL_C_INT_COST">#REF!</definedName>
    <definedName name="DL_C_INT_SALES">'[22]COST O.K.'!$B$69:$IV$69</definedName>
    <definedName name="DL_C_P">'[22]COST O.K.'!$B$42:$IV$42</definedName>
    <definedName name="DL_C_VAT">#REF!</definedName>
    <definedName name="DLC_ADJ">#REF!</definedName>
    <definedName name="DLC_P">#REF!</definedName>
    <definedName name="DLC_SELLING_P">#REF!</definedName>
    <definedName name="DRUCK_VS">#REF!</definedName>
    <definedName name="DRWISS">[23]NEW003!$I:$I</definedName>
    <definedName name="DRWRCV">[23]NEW003!$J:$J</definedName>
    <definedName name="ds" hidden="1">{#N/A,#N/A,TRUE,"COMPAR"}</definedName>
    <definedName name="dsd" hidden="1">{#N/A,#N/A,TRUE,"COMPAR"}</definedName>
    <definedName name="dsds">#REF!</definedName>
    <definedName name="dsfcds">[21]選酋表!#REF!</definedName>
    <definedName name="DT1cE">[24]DatadiskEE0304FULLDATAVERSION!#REF!</definedName>
    <definedName name="DTR1・">[2]選酋表!#REF!</definedName>
    <definedName name="DTR1cE">[24]DatadiskEE0304FULLDATAVERSION!#REF!</definedName>
    <definedName name="e">'[25]Annual Production'!#REF!</definedName>
    <definedName name="eee">#REF!</definedName>
    <definedName name="eeee">'[26]Annual Production'!#REF!</definedName>
    <definedName name="ENG">#REF!</definedName>
    <definedName name="esss">#REF!</definedName>
    <definedName name="Excel_BuiltIn__FilterDatabase_10">#REF!</definedName>
    <definedName name="Excel_BuiltIn__FilterDatabase_12">#REF!</definedName>
    <definedName name="Excel_BuiltIn__FilterDatabase_13">'[26]I190 Requirement _ CGO'!$A$3:$AD$80</definedName>
    <definedName name="Excel_BuiltIn__FilterDatabase_14">#REF!</definedName>
    <definedName name="Excel_BuiltIn__FilterDatabase_15">'[26]I190 Requirement _ NGR'!$A$3:$AC$71</definedName>
    <definedName name="Excel_BuiltIn__FilterDatabase_2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F">'[27]2TUP'!#REF!</definedName>
    <definedName name="Fact_ForecastFirm">#REF!</definedName>
    <definedName name="Fact_Report">#REF!</definedName>
    <definedName name="FDD" hidden="1">{#N/A,#N/A,TRUE,"COMPAR"}</definedName>
    <definedName name="fde">#REF!</definedName>
    <definedName name="fds">#REF!</definedName>
    <definedName name="fdsdf">#REF!</definedName>
    <definedName name="fdsdfds">#REF!</definedName>
    <definedName name="fdsdfs">#REF!</definedName>
    <definedName name="fdsf">#REF!</definedName>
    <definedName name="ＦF" hidden="1">{#N/A,#N/A,TRUE,"COMPAR"}</definedName>
    <definedName name="FILE_NAME">[28]DATA!$B$23</definedName>
    <definedName name="FINAL_WORKING__RATIO__D_N">OFFSET([14]FINAL!$B$38,0,'[15]PROD-TF'!$AB$21,1,1)</definedName>
    <definedName name="FINAL_WORKING__RATIO__DAY">OFFSET([14]FINAL!$B$36,0,'[15]PROD-TF'!$AB$21,1,1)</definedName>
    <definedName name="FINAL_WORKING__RATIO__NIGHT">OFFSET([14]FINAL!$B$37,0,'[15]PROD-TF'!$AB$21,1,1)</definedName>
    <definedName name="FORECAST" localSheetId="0">#REF!</definedName>
    <definedName name="FORECAST">#REF!</definedName>
    <definedName name="foyt">[18]計算結果!#REF!</definedName>
    <definedName name="FVM33M_1">#REF!</definedName>
    <definedName name="fwefw">#REF!</definedName>
    <definedName name="F開発日程">#REF!</definedName>
    <definedName name="G._DL_C_PROF.">'[22]COST O.K.'!$B$44:$IV$44</definedName>
    <definedName name="G.CASH_PROF">#REF!</definedName>
    <definedName name="G_P_AFT_EXP.">'[22]COST O.K.'!$B$35:$IV$35</definedName>
    <definedName name="group">'[20]Table Master'!$B$6:$F$77</definedName>
    <definedName name="H">'[9]2TUP'!#REF!</definedName>
    <definedName name="HA">#N/A</definedName>
    <definedName name="HHH">'[13]Annual Sales'!#REF!</definedName>
    <definedName name="i">'[25]Annual Production'!$B$1</definedName>
    <definedName name="iii">#REF!</definedName>
    <definedName name="jpn">'[29]EPW 0630'!$O$16,'[29]EPW 0630'!$O$22,'[29]EPW 0630'!$O$28,'[29]EPW 0630'!$O$34,'[29]EPW 0630'!$O$46,'[29]EPW 0630'!$O$52,'[29]EPW 0630'!$O$58,'[29]EPW 0630'!$O$64,'[29]EPW 0630'!$O$70,'[29]EPW 0630'!$O$76,'[29]EPW 0630'!$O$82,'[29]EPW 0630'!$O$88,'[29]EPW 0630'!$O$100,'[29]EPW 0630'!$O$106,'[29]EPW 0630'!$O$112,'[29]EPW 0630'!$O$118,'[29]EPW 0630'!$O$124,'[29]EPW 0630'!$O$136,'[29]EPW 0630'!$O$142,'[29]EPW 0630'!$O$148,'[29]EPW 0630'!$O$154,'[29]EPW 0630'!$O$160,'[29]EPW 0630'!$O$166,'[29]EPW 0630'!$O$172,'[29]EPW 0630'!$O$184,'[29]EPW 0630'!$O$190,'[29]EPW 0630'!$O$196,'[29]EPW 0630'!$O$208,'[29]EPW 0630'!$O$214,'[29]EPW 0630'!$O$220,'[29]EPW 0630'!$O$226,'[29]EPW 0630'!$O$232,'[29]EPW 0630'!$O$244</definedName>
    <definedName name="k_3">#REF!</definedName>
    <definedName name="Keydata">[30]Snp!$P$4:$P$11</definedName>
    <definedName name="kikaku">[31]Table!$R$3:$AE$232</definedName>
    <definedName name="ｌ" hidden="1">[1]ENG油洩れ!#REF!</definedName>
    <definedName name="L_MY00">#REF!</definedName>
    <definedName name="Macro12">[32]!Macro12</definedName>
    <definedName name="Macro13">[32]!Macro13</definedName>
    <definedName name="Macro19">[32]!Macro19</definedName>
    <definedName name="Macro21">[32]!Macro21</definedName>
    <definedName name="Macro22">[32]!Macro22</definedName>
    <definedName name="Macro24">[33]!Macro24</definedName>
    <definedName name="Macro25">[33]!Macro25</definedName>
    <definedName name="Macro26">[33]!Macro26</definedName>
    <definedName name="Macro27">[33]!Macro27</definedName>
    <definedName name="Macro28">[33]!Macro28</definedName>
    <definedName name="Macro29">[33]!Macro29</definedName>
    <definedName name="MARK_UPxCRP_NOVAT">#REF!</definedName>
    <definedName name="mia" hidden="1">{#N/A,#N/A,TRUE,"COMPAR"}</definedName>
    <definedName name="MKRLIST.Q">#REF!</definedName>
    <definedName name="MKRLIST.S">[16]名簿データ!$A$4:$F$1016</definedName>
    <definedName name="MKRLIST.V">#REF!</definedName>
    <definedName name="MKRLIST.V2">[16]名簿データ!$B$4:$D$1016</definedName>
    <definedName name="MPLAN">[23]NEW003!$N:$N</definedName>
    <definedName name="MYTDCHG">14</definedName>
    <definedName name="N.CASH_PROF_A_F_O_E.">#REF!</definedName>
    <definedName name="N.DL_C_PROF">#REF!</definedName>
    <definedName name="NAME1">[19]COST!$B$4:$BG$4</definedName>
    <definedName name="No">#REF!</definedName>
    <definedName name="Number_of_Operators">#REF!</definedName>
    <definedName name="Number_of_Parts">#REF!</definedName>
    <definedName name="Number_of_Trials">#REF!</definedName>
    <definedName name="OPENITEM">#REF!</definedName>
    <definedName name="OTHERS_EXP.">#REF!</definedName>
    <definedName name="p">'[34]Table Master'!$H$6:$J$18</definedName>
    <definedName name="package">'[20]Table Master'!$H$6:$J$18</definedName>
    <definedName name="Package2">'[20]Table Master'!$H$22:$J$40</definedName>
    <definedName name="page1">#REF!</definedName>
    <definedName name="PAINT_WORKING__RATIO__D_N">OFFSET(#REF!,0,'[15]PROD-TF'!$AB$21,1,1)</definedName>
    <definedName name="PAINT_WORKING__RATIO__DAY">OFFSET(#REF!,0,'[15]PROD-TF'!$AB$21,1,1)</definedName>
    <definedName name="PAINT_WORKING__RATIO__NIGHT">OFFSET(#REF!,0,'[15]PROD-TF'!$AB$21,1,1)</definedName>
    <definedName name="Planer">[35]Ref!$D$2:$D$18</definedName>
    <definedName name="ppp">#REF!</definedName>
    <definedName name="pr">'[36]Production Database 399'!$A$1:$AB$1294</definedName>
    <definedName name="PRICHG">4</definedName>
    <definedName name="PRIMTH">2</definedName>
    <definedName name="_xlnm.Print_Area" localSheetId="0">'Capacity utilization rate (3)'!$B$1:$R$58</definedName>
    <definedName name="_xlnm.Print_Area">#REF!</definedName>
    <definedName name="Print_Area_MI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q">'[25]Annual Production'!#REF!</definedName>
    <definedName name="qqqq">#REF!</definedName>
    <definedName name="Qry_KD100_">#REF!</definedName>
    <definedName name="REQ">#REF!</definedName>
    <definedName name="Results">#REF!</definedName>
    <definedName name="RF0">#REF!</definedName>
    <definedName name="RJ0">#REF!</definedName>
    <definedName name="ROOP1">#REF!</definedName>
    <definedName name="s" hidden="1">{#N/A,#N/A,TRUE,"COMPAR"}</definedName>
    <definedName name="safwsfe" hidden="1">{#N/A,#N/A,TRUE,"COMPAR"}</definedName>
    <definedName name="SAMPLAN">[23]NEW003!$P:$P</definedName>
    <definedName name="sas">#REF!</definedName>
    <definedName name="sd">#REF!</definedName>
    <definedName name="sdfsd">#REF!</definedName>
    <definedName name="ＳＨＯＰ">#N/A</definedName>
    <definedName name="ｓｓ" hidden="1">{#N/A,#N/A,TRUE,"COMPAR"}</definedName>
    <definedName name="STOCK">'[22]COST O.K.'!$B$37:$IV$37</definedName>
    <definedName name="SUB">#REF!</definedName>
    <definedName name="SUB00">#REF!</definedName>
    <definedName name="sum">#REF!</definedName>
    <definedName name="t">'[25]Annual Production'!#REF!</definedName>
    <definedName name="tanka1">#REF!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lerance_Range">#REF!</definedName>
    <definedName name="total">#REF!</definedName>
    <definedName name="TTL_DL_C_INT">'[22]COST O.K.'!$B$45:$IV$45</definedName>
    <definedName name="ttt">#REF!</definedName>
    <definedName name="Tw">#REF!</definedName>
    <definedName name="u">'[25]Annual Production'!#REF!</definedName>
    <definedName name="volume">#REF!</definedName>
    <definedName name="VVV">#REF!</definedName>
    <definedName name="w">#REF!</definedName>
    <definedName name="WORKCENTER">#REF!</definedName>
    <definedName name="wrn.sale." hidden="1">{#N/A,#N/A,TRUE,"COMPAR"}</definedName>
    <definedName name="WW">'[9]2TUP'!#REF!</definedName>
    <definedName name="WWW">#REF!</definedName>
    <definedName name="WWWW">#REF!</definedName>
    <definedName name="xxx">#REF!</definedName>
    <definedName name="y">'[25]Annual Production'!$F$1</definedName>
    <definedName name="YRA3MTH">7</definedName>
    <definedName name="YRACHG">5</definedName>
    <definedName name="YRACYTD">10</definedName>
    <definedName name="YRAMTH">3</definedName>
    <definedName name="YRAMYTD">13</definedName>
    <definedName name="z" hidden="1">{#N/A,#N/A,TRUE,"COMPAR"}</definedName>
    <definedName name="あ１">#REF!</definedName>
    <definedName name="ああ">#REF!</definedName>
    <definedName name="ああああ" hidden="1">{#N/A,#N/A,TRUE,"COMPAR"}</definedName>
    <definedName name="ああくぁあ" hidden="1">{#N/A,#N/A,TRUE,"COMPAR"}</definedName>
    <definedName name="キャブ">#REF!</definedName>
    <definedName name="コメント">#REF!</definedName>
    <definedName name="ﾘｿｰｽ内訳">[24]DatadiskEE0304FULLDATAVERSION!#REF!</definedName>
    <definedName name="不具合現象又は依頼項目">#REF!</definedName>
    <definedName name="名簿ﾃﾞｰﾀ.Q">#REF!</definedName>
    <definedName name="報告" hidden="1">#REF!</definedName>
    <definedName name="変更概要書" hidden="1">[37]ENG油洩れ!#REF!</definedName>
    <definedName name="対応">#REF!</definedName>
    <definedName name="性能">#REF!</definedName>
    <definedName name="性能線図">#REF!</definedName>
    <definedName name="投入ﾘｿｰｽ">'[38]96期(川崎)'!#REF!</definedName>
    <definedName name="新エレキ部品" hidden="1">[39]ENG油洩れ!#REF!</definedName>
    <definedName name="横集計">#N/A</definedName>
    <definedName name="活動計画ﾄ担当">[24]DatadiskEE0304FULLDATAVERSION!#REF!</definedName>
    <definedName name="目品比較" hidden="1">#REF!</definedName>
    <definedName name="緊急度">#REF!</definedName>
    <definedName name="縦集計">#N/A</definedName>
    <definedName name="計算1">#N/A</definedName>
    <definedName name="計算2">#N/A</definedName>
    <definedName name="計算3">#N/A</definedName>
    <definedName name="計算4">#N/A</definedName>
    <definedName name="認証">#REF!</definedName>
    <definedName name="重?v“x">#REF!</definedName>
    <definedName name="重要度">#REF!</definedName>
    <definedName name="開発日程">#REF!</definedName>
  </definedNames>
  <calcPr calcId="179021"/>
</workbook>
</file>

<file path=xl/calcChain.xml><?xml version="1.0" encoding="utf-8"?>
<calcChain xmlns="http://schemas.openxmlformats.org/spreadsheetml/2006/main">
  <c r="F36" i="51" l="1"/>
  <c r="F37" i="51"/>
  <c r="F38" i="51"/>
  <c r="H11" i="51" s="1"/>
  <c r="F39" i="51"/>
  <c r="F40" i="51"/>
  <c r="F41" i="51"/>
  <c r="F42" i="51"/>
  <c r="F43" i="51"/>
  <c r="G35" i="51"/>
  <c r="I35" i="51"/>
  <c r="L35" i="51"/>
  <c r="N35" i="51"/>
  <c r="P35" i="51"/>
  <c r="Q35" i="51"/>
  <c r="R35" i="51"/>
  <c r="F35" i="51"/>
  <c r="G34" i="51"/>
  <c r="I34" i="51"/>
  <c r="K34" i="51"/>
  <c r="P34" i="51"/>
  <c r="Q34" i="51"/>
  <c r="R34" i="51"/>
  <c r="F34" i="51"/>
  <c r="G33" i="51"/>
  <c r="I33" i="51"/>
  <c r="K33" i="51"/>
  <c r="L33" i="51"/>
  <c r="N33" i="51"/>
  <c r="P33" i="51"/>
  <c r="Q33" i="51"/>
  <c r="R33" i="51"/>
  <c r="R15" i="51" s="1"/>
  <c r="F33" i="51"/>
  <c r="J34" i="51"/>
  <c r="J35" i="51"/>
  <c r="J33" i="51"/>
  <c r="R27" i="51"/>
  <c r="N27" i="51"/>
  <c r="F25" i="51"/>
  <c r="F24" i="51"/>
  <c r="R23" i="51"/>
  <c r="N23" i="51"/>
  <c r="F23" i="51"/>
  <c r="R12" i="51"/>
  <c r="R14" i="51" s="1"/>
  <c r="Q12" i="51"/>
  <c r="Q14" i="51" s="1"/>
  <c r="P12" i="51"/>
  <c r="P14" i="51" s="1"/>
  <c r="O12" i="51"/>
  <c r="O14" i="51" s="1"/>
  <c r="N12" i="51"/>
  <c r="N14" i="51" s="1"/>
  <c r="M12" i="51"/>
  <c r="M14" i="51" s="1"/>
  <c r="L12" i="51"/>
  <c r="L14" i="51" s="1"/>
  <c r="K12" i="51"/>
  <c r="K14" i="51" s="1"/>
  <c r="J12" i="51"/>
  <c r="J14" i="51" s="1"/>
  <c r="I12" i="51"/>
  <c r="I14" i="51" s="1"/>
  <c r="H12" i="51"/>
  <c r="H14" i="51" s="1"/>
  <c r="G12" i="51"/>
  <c r="G14" i="51" s="1"/>
  <c r="F12" i="51"/>
  <c r="F14" i="51" s="1"/>
  <c r="R11" i="51"/>
  <c r="Q11" i="51"/>
  <c r="P11" i="51"/>
  <c r="O11" i="51"/>
  <c r="N11" i="51"/>
  <c r="M11" i="51"/>
  <c r="L11" i="51"/>
  <c r="K11" i="51"/>
  <c r="J11" i="51"/>
  <c r="I11" i="51"/>
  <c r="N28" i="51" l="1"/>
  <c r="R28" i="51"/>
  <c r="F27" i="51"/>
  <c r="F28" i="51" s="1"/>
  <c r="F11" i="51"/>
  <c r="M33" i="51"/>
  <c r="M35" i="51"/>
  <c r="M34" i="51"/>
  <c r="O35" i="51"/>
  <c r="O34" i="51"/>
  <c r="O33" i="51"/>
  <c r="R19" i="51"/>
  <c r="R18" i="51"/>
  <c r="R17" i="51"/>
  <c r="H34" i="51" l="1"/>
  <c r="H35" i="51"/>
  <c r="H33" i="51"/>
  <c r="K35" i="51" l="1"/>
  <c r="N34" i="51" l="1"/>
  <c r="L34" i="51"/>
  <c r="G15" i="51" l="1"/>
  <c r="G19" i="51" l="1"/>
  <c r="G18" i="51"/>
  <c r="G17" i="51"/>
  <c r="K15" i="51" l="1"/>
  <c r="Q15" i="51" l="1"/>
  <c r="K19" i="51"/>
  <c r="K18" i="51"/>
  <c r="K17" i="51"/>
  <c r="M15" i="51" l="1"/>
  <c r="P15" i="51"/>
  <c r="J15" i="51"/>
  <c r="L15" i="51"/>
  <c r="N15" i="51"/>
  <c r="F15" i="51"/>
  <c r="O15" i="51"/>
  <c r="I15" i="51"/>
  <c r="Q19" i="51"/>
  <c r="Q18" i="51"/>
  <c r="Q17" i="51"/>
  <c r="N18" i="51" l="1"/>
  <c r="N19" i="51"/>
  <c r="N17" i="51"/>
  <c r="O17" i="51"/>
  <c r="O18" i="51"/>
  <c r="O19" i="51"/>
  <c r="J19" i="51"/>
  <c r="J17" i="51"/>
  <c r="J18" i="51"/>
  <c r="F17" i="51"/>
  <c r="F19" i="51"/>
  <c r="F18" i="51"/>
  <c r="I17" i="51"/>
  <c r="I18" i="51"/>
  <c r="I19" i="51"/>
  <c r="P19" i="51"/>
  <c r="P17" i="51"/>
  <c r="P18" i="51"/>
  <c r="L17" i="51"/>
  <c r="L19" i="51"/>
  <c r="L18" i="51"/>
  <c r="M17" i="51"/>
  <c r="M19" i="51"/>
  <c r="M18" i="51"/>
  <c r="H15" i="51"/>
  <c r="H18" i="51" l="1"/>
  <c r="H17" i="51"/>
  <c r="H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Mr.Kraingkrai Suwanmalai</author>
  </authors>
  <commentList>
    <comment ref="G3" authorId="0" shapeId="0" xr:uid="{00000000-0006-0000-0000-000001000000}">
      <text>
        <r>
          <rPr>
            <b/>
            <sz val="14"/>
            <color indexed="81"/>
            <rFont val="Tahoma"/>
            <family val="2"/>
          </rPr>
          <t>8983954210;A</t>
        </r>
      </text>
    </comment>
    <comment ref="I3" authorId="0" shapeId="0" xr:uid="{00000000-0006-0000-0000-000002000000}">
      <text>
        <r>
          <rPr>
            <b/>
            <sz val="14"/>
            <color indexed="81"/>
            <rFont val="Tahoma"/>
            <family val="2"/>
          </rPr>
          <t xml:space="preserve">17881-0E020;A
</t>
        </r>
      </text>
    </comment>
    <comment ref="K3" authorId="0" shapeId="0" xr:uid="{00000000-0006-0000-0000-000003000000}">
      <text>
        <r>
          <rPr>
            <b/>
            <sz val="14"/>
            <color indexed="81"/>
            <rFont val="Tahoma"/>
            <family val="2"/>
          </rPr>
          <t>DUCT MODEL RG01  
8983943810;A
8983943860;A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3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MODEL D92A</t>
        </r>
      </text>
    </comment>
    <comment ref="F9" authorId="0" shapeId="0" xr:uid="{00000000-0006-0000-0000-000005000000}">
      <text>
        <r>
          <rPr>
            <b/>
            <sz val="14"/>
            <color indexed="81"/>
            <rFont val="Tahoma"/>
            <family val="2"/>
          </rPr>
          <t xml:space="preserve">machince number
13,14,15,16,17,18,36,37
</t>
        </r>
      </text>
    </comment>
    <comment ref="G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Machince
38,39</t>
        </r>
      </text>
    </comment>
    <comment ref="H9" authorId="0" shapeId="0" xr:uid="{00000000-0006-0000-0000-000007000000}">
      <text>
        <r>
          <rPr>
            <b/>
            <sz val="16"/>
            <color indexed="81"/>
            <rFont val="Tahoma"/>
            <family val="2"/>
          </rPr>
          <t>Machince numbeb
40,43,47,48,49,50,51,52,58,59,60,61,62,63,64</t>
        </r>
      </text>
    </comment>
    <comment ref="I9" authorId="0" shapeId="0" xr:uid="{00000000-0006-0000-0000-000008000000}">
      <text>
        <r>
          <rPr>
            <b/>
            <sz val="28"/>
            <color indexed="81"/>
            <rFont val="Tahoma"/>
            <family val="2"/>
          </rPr>
          <t>Machince number
53,54,55,56,57</t>
        </r>
      </text>
    </comment>
    <comment ref="J9" authorId="0" shapeId="0" xr:uid="{00000000-0006-0000-0000-000009000000}">
      <text>
        <r>
          <rPr>
            <b/>
            <sz val="18"/>
            <color indexed="81"/>
            <rFont val="Tahoma"/>
            <family val="2"/>
          </rPr>
          <t>Machince number
66,67,70,71,72,,75,76,77,79,80,81,82,83,84,85,86,87</t>
        </r>
      </text>
    </comment>
    <comment ref="K9" authorId="0" shapeId="0" xr:uid="{00000000-0006-0000-0000-00000A000000}">
      <text>
        <r>
          <rPr>
            <b/>
            <sz val="12"/>
            <color indexed="81"/>
            <rFont val="Tahoma"/>
            <family val="2"/>
          </rPr>
          <t>Machince number
68,69,73,74,88,89</t>
        </r>
      </text>
    </comment>
    <comment ref="L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Machince number
90,91,92,93,94</t>
        </r>
      </text>
    </comment>
    <comment ref="M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Machince number 
1 2 3</t>
        </r>
      </text>
    </comment>
    <comment ref="N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Machince number
4,16,17,28,29,32,33
34,35,36,37,38,39</t>
        </r>
      </text>
    </comment>
    <comment ref="O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Machince number
17,18,19,20</t>
        </r>
      </text>
    </comment>
    <comment ref="P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Machince number
26,27</t>
        </r>
      </text>
    </comment>
    <comment ref="Q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Machince number
20,21
</t>
        </r>
      </text>
    </comment>
    <comment ref="R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Machince number 1</t>
        </r>
      </text>
    </comment>
  </commentList>
</comments>
</file>

<file path=xl/sharedStrings.xml><?xml version="1.0" encoding="utf-8"?>
<sst xmlns="http://schemas.openxmlformats.org/spreadsheetml/2006/main" count="6461" uniqueCount="1252">
  <si>
    <t>PC</t>
  </si>
  <si>
    <t>77291-YY020;A</t>
  </si>
  <si>
    <t>77291-02130;A</t>
  </si>
  <si>
    <t>77291-06050;A</t>
  </si>
  <si>
    <t>77291-0K060;A</t>
  </si>
  <si>
    <t>75820-SELX-T100;A</t>
  </si>
  <si>
    <t>75820-SNLA-T101;A</t>
  </si>
  <si>
    <t>3G11-002-9420;A</t>
  </si>
  <si>
    <t>75830-S9E-T000;A</t>
  </si>
  <si>
    <t>77291-0K040;A</t>
  </si>
  <si>
    <t>0317-39-040;A</t>
  </si>
  <si>
    <t>0317-39-050;A</t>
  </si>
  <si>
    <t>10060-13980;A</t>
  </si>
  <si>
    <t>1093A044;A</t>
  </si>
  <si>
    <t>1093A088;A</t>
  </si>
  <si>
    <t>11315-41H00;A</t>
  </si>
  <si>
    <t>11316-41H00;A</t>
  </si>
  <si>
    <t>122159-0940;A</t>
  </si>
  <si>
    <t>12361-35050;A</t>
  </si>
  <si>
    <t>12361-05010;A</t>
  </si>
  <si>
    <t>12361-05020;A</t>
  </si>
  <si>
    <t>12371-YE010;A</t>
  </si>
  <si>
    <t>12771-09G00;A</t>
  </si>
  <si>
    <t>1505A041;A</t>
  </si>
  <si>
    <t>1505A237/664;A</t>
  </si>
  <si>
    <t>1505A376/383/665;A</t>
  </si>
  <si>
    <t>1505A416/429/681;A</t>
  </si>
  <si>
    <t>1505A781;A</t>
  </si>
  <si>
    <t>151172-0811;A</t>
  </si>
  <si>
    <t>151172-0852;A</t>
  </si>
  <si>
    <t>151172-0962;A</t>
  </si>
  <si>
    <t>151172-1251;A</t>
  </si>
  <si>
    <t>153366-1440;A</t>
  </si>
  <si>
    <t>153366-1380;A</t>
  </si>
  <si>
    <t>153366-1390;A</t>
  </si>
  <si>
    <t>17012-1230A;A</t>
  </si>
  <si>
    <t>17880-0L100;A</t>
  </si>
  <si>
    <t>17881-0L030/90;A</t>
  </si>
  <si>
    <t>17881-0L052/82;A</t>
  </si>
  <si>
    <t>17881-0L110;A</t>
  </si>
  <si>
    <t>17881-0L050/80;A</t>
  </si>
  <si>
    <t>17881-54410;A</t>
  </si>
  <si>
    <t>1911S0108;A</t>
  </si>
  <si>
    <t>17882-0P021;A</t>
  </si>
  <si>
    <t>182117-0860;A</t>
  </si>
  <si>
    <t>1G957-1452-1;A</t>
  </si>
  <si>
    <t>1G958-1452-1;A</t>
  </si>
  <si>
    <t>1T021-36412-2;A</t>
  </si>
  <si>
    <t>3204A005;A</t>
  </si>
  <si>
    <t>41184-41H00;A</t>
  </si>
  <si>
    <t>4155A042;A</t>
  </si>
  <si>
    <t>48306-E0020;A</t>
  </si>
  <si>
    <t>48306-E0030;A</t>
  </si>
  <si>
    <t>48304-1121A;A</t>
  </si>
  <si>
    <t>54120-99JL0;A</t>
  </si>
  <si>
    <t>54132-91J10;A</t>
  </si>
  <si>
    <t>54130-90L00;A</t>
  </si>
  <si>
    <t>54130-91L00;A</t>
  </si>
  <si>
    <t>54130-92L00;A</t>
  </si>
  <si>
    <t>54160-91L00;A</t>
  </si>
  <si>
    <t>54160-92L00;A</t>
  </si>
  <si>
    <t>54162-91J00;A</t>
  </si>
  <si>
    <t>5TN-E2231-10;A</t>
  </si>
  <si>
    <t>5TN-E2241-11;A</t>
  </si>
  <si>
    <t>5WT-E2231-00-0;A</t>
  </si>
  <si>
    <t>5YP-E2241-00-0;A</t>
  </si>
  <si>
    <t>61230-16H00;A</t>
  </si>
  <si>
    <t>7150S0104;A</t>
  </si>
  <si>
    <t>7150S0115;A</t>
  </si>
  <si>
    <t>74172-SLE-0000;A</t>
  </si>
  <si>
    <t>75800-SELA-T000;A</t>
  </si>
  <si>
    <t>75800-SNLA-T102;A</t>
  </si>
  <si>
    <t>75810-S9E-T000;A</t>
  </si>
  <si>
    <t>75810-SELA-T000;A</t>
  </si>
  <si>
    <t>75810-SNLA-T102;A</t>
  </si>
  <si>
    <t>75810-SELX-T100;A</t>
  </si>
  <si>
    <t>75820-S5HX-T100;A</t>
  </si>
  <si>
    <t>75820-S5H-T001;A</t>
  </si>
  <si>
    <t>75820-S9E-T000;A</t>
  </si>
  <si>
    <t>75820-SAEW-T100;A</t>
  </si>
  <si>
    <t>75820-SAEY-T000;A</t>
  </si>
  <si>
    <t>75820-SELA-T000;A</t>
  </si>
  <si>
    <t>77291-0D030;A</t>
  </si>
  <si>
    <t>894434-2081;A</t>
  </si>
  <si>
    <t>897213-4810;A</t>
  </si>
  <si>
    <t>897235-9250;A</t>
  </si>
  <si>
    <t>897235-9260;A</t>
  </si>
  <si>
    <t>897361-8110;A</t>
  </si>
  <si>
    <t>897371-6070;A</t>
  </si>
  <si>
    <t>897366-990A;A</t>
  </si>
  <si>
    <t>897911-2670;A</t>
  </si>
  <si>
    <t>897913-4700;A</t>
  </si>
  <si>
    <t>897916-0090;A</t>
  </si>
  <si>
    <t>897916-0110;A</t>
  </si>
  <si>
    <t>897916-7400;A</t>
  </si>
  <si>
    <t>897916-7630;A</t>
  </si>
  <si>
    <t>897916-7660;A</t>
  </si>
  <si>
    <t>897946-5490;A</t>
  </si>
  <si>
    <t>897946-803A;A</t>
  </si>
  <si>
    <t>898002-0850;A</t>
  </si>
  <si>
    <t>898033-5160;A</t>
  </si>
  <si>
    <t>91301-GF6-0030;A</t>
  </si>
  <si>
    <t>G231-06530;A</t>
  </si>
  <si>
    <t>HS5A2-758-00;A</t>
  </si>
  <si>
    <t>HS7A1-415-00;A</t>
  </si>
  <si>
    <t>K1662-472-1B-TH;A</t>
  </si>
  <si>
    <t>M9731-472-0B;A</t>
  </si>
  <si>
    <t>MB436578;A</t>
  </si>
  <si>
    <t>MC421202;A</t>
  </si>
  <si>
    <t>MD703280;A</t>
  </si>
  <si>
    <t>MN135030;A</t>
  </si>
  <si>
    <t>MN135025;A</t>
  </si>
  <si>
    <t>MN135027;A</t>
  </si>
  <si>
    <t>MN135024;A</t>
  </si>
  <si>
    <t>MN135031;A</t>
  </si>
  <si>
    <t>MN171422;A</t>
  </si>
  <si>
    <t>MN171012;A</t>
  </si>
  <si>
    <t>MR133062;A</t>
  </si>
  <si>
    <t>MR133061;A</t>
  </si>
  <si>
    <t>MR133073;A</t>
  </si>
  <si>
    <t>MR133074;A</t>
  </si>
  <si>
    <t>MR133078;A</t>
  </si>
  <si>
    <t>MR151237;A</t>
  </si>
  <si>
    <t>MR151326;A</t>
  </si>
  <si>
    <t>MR151348;A</t>
  </si>
  <si>
    <t>MR151375;A</t>
  </si>
  <si>
    <t>MR180656;A</t>
  </si>
  <si>
    <t>MR992706;A</t>
  </si>
  <si>
    <t>TS3E2854-R1;A</t>
  </si>
  <si>
    <t>12771-21F00;A</t>
  </si>
  <si>
    <t>12771-20G00;A</t>
  </si>
  <si>
    <t>12771-25G00;A</t>
  </si>
  <si>
    <t>12782-25G00;A</t>
  </si>
  <si>
    <t>12811-25G00;A</t>
  </si>
  <si>
    <t>MR297930;A</t>
  </si>
  <si>
    <t>MR319973;A</t>
  </si>
  <si>
    <t>MR529759;A</t>
  </si>
  <si>
    <t>MR529760;A</t>
  </si>
  <si>
    <t>MR992413;A</t>
  </si>
  <si>
    <t>MR992397;A</t>
  </si>
  <si>
    <t>MR992414;A</t>
  </si>
  <si>
    <t>MR992703;A</t>
  </si>
  <si>
    <t>MR995006;A</t>
  </si>
  <si>
    <t>MR992712;A</t>
  </si>
  <si>
    <t>MR992713;A</t>
  </si>
  <si>
    <t>MR992714;A</t>
  </si>
  <si>
    <t>MR992670;A</t>
  </si>
  <si>
    <t>MR992717;A</t>
  </si>
  <si>
    <t>MR995005;A</t>
  </si>
  <si>
    <t>7150-A112;A</t>
  </si>
  <si>
    <t>12046-1167E;A</t>
  </si>
  <si>
    <t>13144-1314C;A</t>
  </si>
  <si>
    <t>13766-76M00;A</t>
  </si>
  <si>
    <t>75830-S5HX-T100;A</t>
  </si>
  <si>
    <t>75830-SAEW-T100;A</t>
  </si>
  <si>
    <t>75830-SAEY-T000;A</t>
  </si>
  <si>
    <t>75830-SELA-T000;A</t>
  </si>
  <si>
    <t>75830-SNLA-T101;A</t>
  </si>
  <si>
    <t>75830-SELX-T100;A</t>
  </si>
  <si>
    <t>MR519863;A</t>
  </si>
  <si>
    <t>205X210-C60;A</t>
  </si>
  <si>
    <t>109337-0170;A</t>
  </si>
  <si>
    <t>54125-94L00;A</t>
  </si>
  <si>
    <t>1505A790;A</t>
  </si>
  <si>
    <t>D465-RXESA-0100;A</t>
  </si>
  <si>
    <t>1505A591;A</t>
  </si>
  <si>
    <t>13820-94L00;A</t>
  </si>
  <si>
    <t>7125-0001;A</t>
  </si>
  <si>
    <t>61124-94L00;A</t>
  </si>
  <si>
    <t>5JX2228990;A</t>
  </si>
  <si>
    <t>17881-0C110;A</t>
  </si>
  <si>
    <t>17881-0L220/240;A</t>
  </si>
  <si>
    <t>39961-K26J-C101;A</t>
  </si>
  <si>
    <t>700.1.059.1A;A</t>
  </si>
  <si>
    <t>61146-KZZJ-J001;A</t>
  </si>
  <si>
    <t>14281-78M00-000;A</t>
  </si>
  <si>
    <t>1505A873;A</t>
  </si>
  <si>
    <t>8983517840;A</t>
  </si>
  <si>
    <t>898309-7970;A</t>
  </si>
  <si>
    <t>D465-RXETA-0100;A</t>
  </si>
  <si>
    <t>54132-97L00;A</t>
  </si>
  <si>
    <t>99226-80012;A</t>
  </si>
  <si>
    <t>898309-8820;A</t>
  </si>
  <si>
    <t>77402-MJWA-J001;A</t>
  </si>
  <si>
    <t>54162-97L00;A</t>
  </si>
  <si>
    <t>75800-S5H-T001;A</t>
  </si>
  <si>
    <t>GR139203B;A</t>
  </si>
  <si>
    <t>GR136003B;A</t>
  </si>
  <si>
    <t>66-VF68-53386-N0;A</t>
  </si>
  <si>
    <t>66-VF68-53386-F0;A</t>
  </si>
  <si>
    <t>77291-0A010;A</t>
  </si>
  <si>
    <t>CC102120B;A</t>
  </si>
  <si>
    <t>CC102130B;A</t>
  </si>
  <si>
    <t>GR138703B;A</t>
  </si>
  <si>
    <t>SN907-41110;A</t>
  </si>
  <si>
    <t>45268-02300;A</t>
  </si>
  <si>
    <t>HK871-336-1E-ST;A</t>
  </si>
  <si>
    <t>77291-06230;A</t>
  </si>
  <si>
    <t>8983947931;A</t>
  </si>
  <si>
    <t>8983954210;A</t>
  </si>
  <si>
    <t>17881-0E020;A</t>
  </si>
  <si>
    <t>8983943850;A</t>
  </si>
  <si>
    <t>GR136203B;A</t>
  </si>
  <si>
    <t>8983943810;A</t>
  </si>
  <si>
    <t>8983943860;A</t>
  </si>
  <si>
    <t>45268-02290;A</t>
  </si>
  <si>
    <t>45268-F4030;A</t>
  </si>
  <si>
    <t>GR137503B;A</t>
  </si>
  <si>
    <t>GR007713B;A</t>
  </si>
  <si>
    <t>77291-02291;A</t>
  </si>
  <si>
    <t>GR136103B;A</t>
  </si>
  <si>
    <t>GR137603B;A</t>
  </si>
  <si>
    <t>Material</t>
  </si>
  <si>
    <t>F-RP</t>
  </si>
  <si>
    <t>F-EM</t>
  </si>
  <si>
    <t>F-VAC</t>
  </si>
  <si>
    <t>10060-13980</t>
  </si>
  <si>
    <t>12371-YE010</t>
  </si>
  <si>
    <t>INSU.ENG.MOUN.RR  (8X2;13)</t>
  </si>
  <si>
    <t>12361-05010</t>
  </si>
  <si>
    <t>FCA01/3 INS ENG MTG (2X1;26)(4X1;13)</t>
  </si>
  <si>
    <t>12361-05020</t>
  </si>
  <si>
    <t>12361-35050</t>
  </si>
  <si>
    <t>12771-30A10</t>
  </si>
  <si>
    <t>F-RPM</t>
  </si>
  <si>
    <t>16325-02020</t>
  </si>
  <si>
    <t>(CJ-02-3) GASKET WATER INLET (9X1;6)</t>
  </si>
  <si>
    <t>17012-1230A</t>
  </si>
  <si>
    <t>17881-54410</t>
  </si>
  <si>
    <t>(FC-A-16-4)FCA13/3HOSEAIR CLENER (2X3;7)</t>
  </si>
  <si>
    <t>1T10-466-8350</t>
  </si>
  <si>
    <t>54162-91J00</t>
  </si>
  <si>
    <t>7150S0104</t>
  </si>
  <si>
    <t>75810-S5H-T001</t>
  </si>
  <si>
    <t>75820-S5H-T001</t>
  </si>
  <si>
    <t>75830-S5H-T001</t>
  </si>
  <si>
    <t>894334-1590</t>
  </si>
  <si>
    <t>894334-1580</t>
  </si>
  <si>
    <t>897911-0270</t>
  </si>
  <si>
    <t>897916-0090</t>
  </si>
  <si>
    <t>897916-0110</t>
  </si>
  <si>
    <t>CUS R FWR LH (2X1;26)box1026</t>
  </si>
  <si>
    <t>897916-9310</t>
  </si>
  <si>
    <t>90023-9146B</t>
  </si>
  <si>
    <t>91301-GF6-0030</t>
  </si>
  <si>
    <t>91306-GF6-0030</t>
  </si>
  <si>
    <t>99226-80007</t>
  </si>
  <si>
    <t>99226-73002</t>
  </si>
  <si>
    <t>MB007023</t>
  </si>
  <si>
    <t>MB111253</t>
  </si>
  <si>
    <t>MB513386</t>
  </si>
  <si>
    <t>MB513387</t>
  </si>
  <si>
    <t>MB513336</t>
  </si>
  <si>
    <t>MC421202</t>
  </si>
  <si>
    <t>MR127412;A</t>
  </si>
  <si>
    <t>MR113271</t>
  </si>
  <si>
    <t>MR180656</t>
  </si>
  <si>
    <t>MR281816</t>
  </si>
  <si>
    <t>MR151342</t>
  </si>
  <si>
    <t>MR297930</t>
  </si>
  <si>
    <t>MR529759</t>
  </si>
  <si>
    <t>897235-9250</t>
  </si>
  <si>
    <t>99226-80012</t>
  </si>
  <si>
    <t>SOCKET COVER(9x1)5t/hr</t>
  </si>
  <si>
    <t>MR133074</t>
  </si>
  <si>
    <t>77291-06070</t>
  </si>
  <si>
    <t>75800-S9E-T000</t>
  </si>
  <si>
    <t>75830-S9E-T000</t>
  </si>
  <si>
    <t>75820-S9E-T000</t>
  </si>
  <si>
    <t>75810-S9E-T000</t>
  </si>
  <si>
    <t>MR961385</t>
  </si>
  <si>
    <t>MR133062</t>
  </si>
  <si>
    <t>MB436365</t>
  </si>
  <si>
    <t>MR143000</t>
  </si>
  <si>
    <t>MR133061</t>
  </si>
  <si>
    <t>HS7A1-415-00</t>
  </si>
  <si>
    <t>7150-A112</t>
  </si>
  <si>
    <t>77291-0D030</t>
  </si>
  <si>
    <t>12811-09G00</t>
  </si>
  <si>
    <t>12771-09G00</t>
  </si>
  <si>
    <t>MR267864</t>
  </si>
  <si>
    <t>11010-04561</t>
  </si>
  <si>
    <t>O-RING(100x1;10cyc/hr)BoxTP-362   VAC</t>
  </si>
  <si>
    <t>MD703280</t>
  </si>
  <si>
    <t>75810-SELA-T000</t>
  </si>
  <si>
    <t>75820-SELA-T000</t>
  </si>
  <si>
    <t>75830-SELA-T000</t>
  </si>
  <si>
    <t>75800-SELA-T000</t>
  </si>
  <si>
    <t>12771-20G00</t>
  </si>
  <si>
    <t>54132-91J10</t>
  </si>
  <si>
    <t>75800-S5HY-T100</t>
  </si>
  <si>
    <t>75810-S5HY-T100</t>
  </si>
  <si>
    <t>7150S0115</t>
  </si>
  <si>
    <t>5TN-E2231-10</t>
  </si>
  <si>
    <t>TG5-949321-006</t>
  </si>
  <si>
    <t>99226-79004</t>
  </si>
  <si>
    <t>75800-SAEY-T000</t>
  </si>
  <si>
    <t>75810-SAEY-T000</t>
  </si>
  <si>
    <t>75820-SAEY-T000</t>
  </si>
  <si>
    <t>75830-SAEY-T000</t>
  </si>
  <si>
    <t>12771-25G00</t>
  </si>
  <si>
    <t>12811-25G00</t>
  </si>
  <si>
    <t>TENSIONER CAM CHAIN 6x1 7cyc/hr inm</t>
  </si>
  <si>
    <t>12782-25G00</t>
  </si>
  <si>
    <t>HSDA3-NCB-00</t>
  </si>
  <si>
    <t>16910-94J00</t>
  </si>
  <si>
    <t>75820-S5HX-T100</t>
  </si>
  <si>
    <t>75830-S5HX-T100</t>
  </si>
  <si>
    <t>897371-6070</t>
  </si>
  <si>
    <t>897371-6060</t>
  </si>
  <si>
    <t>897361-8110</t>
  </si>
  <si>
    <t>MOUNTING:RUB (100X3 5CYC/HR)TP-363</t>
  </si>
  <si>
    <t>17881-05040</t>
  </si>
  <si>
    <t>17881-0L030</t>
  </si>
  <si>
    <t>FCA13/1 HOSE AIR CLEANER(1x7;7Cyc/Hr)</t>
  </si>
  <si>
    <t>HOSE ASSY AIR CLEANER(2x2;7Cyc/Hr)</t>
  </si>
  <si>
    <t>17880-0L050</t>
  </si>
  <si>
    <t>(CJ-01-2) (4x2;6CyC/Hr)</t>
  </si>
  <si>
    <t>897366-990A</t>
  </si>
  <si>
    <t>5YP-E2241-00-0</t>
  </si>
  <si>
    <t>GUIDE,STOPPER 2(6x4;6Cyc/hr)(8x2;9mi/c)</t>
  </si>
  <si>
    <t>MR992397</t>
  </si>
  <si>
    <t>17880-0C050</t>
  </si>
  <si>
    <t>897922-6020</t>
  </si>
  <si>
    <t>77291-0K040</t>
  </si>
  <si>
    <t>77291-0K060</t>
  </si>
  <si>
    <t>1221-082-01;A</t>
  </si>
  <si>
    <t>1221-082-02</t>
  </si>
  <si>
    <t>1221-082-02;A</t>
  </si>
  <si>
    <t>1505A041</t>
  </si>
  <si>
    <t>3204A005</t>
  </si>
  <si>
    <t>1G957-1452-1</t>
  </si>
  <si>
    <t>Gasket (2x2x1;6Cyc/Hr)</t>
  </si>
  <si>
    <t>1G958-1452-1</t>
  </si>
  <si>
    <t>MR992713</t>
  </si>
  <si>
    <t>MN171012</t>
  </si>
  <si>
    <t>MR594351</t>
  </si>
  <si>
    <t>MR992714</t>
  </si>
  <si>
    <t>FCV300E</t>
  </si>
  <si>
    <t>MR992670</t>
  </si>
  <si>
    <t>75800-SELX-T100</t>
  </si>
  <si>
    <t>75810-SELX-T100</t>
  </si>
  <si>
    <t>75830-SELX-T100</t>
  </si>
  <si>
    <t>75820-SELX-T100</t>
  </si>
  <si>
    <t>MR992712</t>
  </si>
  <si>
    <t>MN135031</t>
  </si>
  <si>
    <t>75820-SNLA-T101</t>
  </si>
  <si>
    <t>mud guard r rr</t>
  </si>
  <si>
    <t>75830-SNLA-T101</t>
  </si>
  <si>
    <t>mud guard l rr</t>
  </si>
  <si>
    <t>21114-23F00</t>
  </si>
  <si>
    <t>RING,PRIMARY DRIVE GEAR</t>
  </si>
  <si>
    <t>12771-33G10</t>
  </si>
  <si>
    <t>75830-SAEW-T100</t>
  </si>
  <si>
    <t>75820-SAEW-T100</t>
  </si>
  <si>
    <t>77291-06050</t>
  </si>
  <si>
    <t>MN135024</t>
  </si>
  <si>
    <t>17881-0L110</t>
  </si>
  <si>
    <t>1093A035</t>
  </si>
  <si>
    <t>77291-0D080</t>
  </si>
  <si>
    <t>MR992706</t>
  </si>
  <si>
    <t>HS5A2-758-00</t>
  </si>
  <si>
    <t>48306-E0010</t>
  </si>
  <si>
    <t>48306-E0030</t>
  </si>
  <si>
    <t>48306-E0020</t>
  </si>
  <si>
    <t>5TN-E2241-11</t>
  </si>
  <si>
    <t>4PB30948-1</t>
  </si>
  <si>
    <t>INSULATION MATERIAL(B) (54x1;6cyc/hr)</t>
  </si>
  <si>
    <t>4PB30946-1</t>
  </si>
  <si>
    <t>1505A365</t>
  </si>
  <si>
    <t>1505A366;A</t>
  </si>
  <si>
    <t>61230-16H00</t>
  </si>
  <si>
    <t>BUSH COMP. RR SWGARM PVT</t>
  </si>
  <si>
    <t>17881-0C050</t>
  </si>
  <si>
    <t>HOSE AIR (2x5hot ;2x2Cold 9 Cyc/Hr)</t>
  </si>
  <si>
    <t>13144-1314C</t>
  </si>
  <si>
    <t>SPOCKET-OUTPUT#C/M 13144-0577A</t>
  </si>
  <si>
    <t>12046-1165D</t>
  </si>
  <si>
    <t>74172-TA0A-A000</t>
  </si>
  <si>
    <t>11456-17068</t>
  </si>
  <si>
    <t>SOCKET COVER (25X1;5CYC/HR)</t>
  </si>
  <si>
    <t>898002-0850</t>
  </si>
  <si>
    <t>BUMPER AM; RR SPR (4x1;5cyc/hr)</t>
  </si>
  <si>
    <t>122159-0940</t>
  </si>
  <si>
    <t>SUPPORT RUBBER (9x1=4.5cyc/hr)boxTP-331</t>
  </si>
  <si>
    <t>109337-0170</t>
  </si>
  <si>
    <t>RUBBER;MOUNTING (6x1:4cyc/hr)boxTP-331</t>
  </si>
  <si>
    <t>1505A416</t>
  </si>
  <si>
    <t>11315-41H00</t>
  </si>
  <si>
    <t>17881-0L170;A</t>
  </si>
  <si>
    <t>11316-41H00</t>
  </si>
  <si>
    <t>897946-803A</t>
  </si>
  <si>
    <t>630 cap Bump Rub 6x3 5cyc;hr</t>
  </si>
  <si>
    <t>1093A088</t>
  </si>
  <si>
    <t>17881-0L180</t>
  </si>
  <si>
    <t>4155A042</t>
  </si>
  <si>
    <t>898033-5160</t>
  </si>
  <si>
    <t>bump rubber:frt 4x1 6 cycle/hr</t>
  </si>
  <si>
    <t>151172-0852</t>
  </si>
  <si>
    <t>1093A106</t>
  </si>
  <si>
    <t>74172-SLE-0000</t>
  </si>
  <si>
    <t>1T021-36412-2</t>
  </si>
  <si>
    <t>Gauge Oil 20x1 6 cyc/hr D510</t>
  </si>
  <si>
    <t>21114-23F20</t>
  </si>
  <si>
    <t>1505A665</t>
  </si>
  <si>
    <t>1505A664</t>
  </si>
  <si>
    <t>1505A681</t>
  </si>
  <si>
    <t>1505A704</t>
  </si>
  <si>
    <t>1505A591</t>
  </si>
  <si>
    <t>54120-99JL0</t>
  </si>
  <si>
    <t>MOUNT COMP UPPER THRUST 2x1 7cyc/hr</t>
  </si>
  <si>
    <t>151172-0811</t>
  </si>
  <si>
    <t>Plate; Clamp, FW FR (5X1 5 CYC/HR)</t>
  </si>
  <si>
    <t>153366-1380</t>
  </si>
  <si>
    <t>SEAT ; BODY FRT SP 4x1 5 cyc;hr</t>
  </si>
  <si>
    <t>153366-1390</t>
  </si>
  <si>
    <t>RUBBER;CUSHION, CAB MTG 4x1 6 cyc;hr</t>
  </si>
  <si>
    <t>151172-0962</t>
  </si>
  <si>
    <t>153366-1440</t>
  </si>
  <si>
    <t>RUBBER CUSHION 4x1 6 cyc;hr</t>
  </si>
  <si>
    <t>12771-21F00</t>
  </si>
  <si>
    <t>GUIDE CAM CHAIN 8x1 6cyc;hr</t>
  </si>
  <si>
    <t>12811-21F00</t>
  </si>
  <si>
    <t>1505A781</t>
  </si>
  <si>
    <t>MB538926</t>
  </si>
  <si>
    <t>MR455020</t>
  </si>
  <si>
    <t>F117-RZWLA-04;A</t>
  </si>
  <si>
    <t>3G11-002-9420</t>
  </si>
  <si>
    <t>17880-0C090</t>
  </si>
  <si>
    <t>iMV HOSE ASSY(17881-0C110)  4x2  8 cyc</t>
  </si>
  <si>
    <t>54130-90L00</t>
  </si>
  <si>
    <t>54160-92L00</t>
  </si>
  <si>
    <t>54160-91L00</t>
  </si>
  <si>
    <t>MOUNT COMP LOWER    4x1 3 cyc/hr</t>
  </si>
  <si>
    <t>54130-91L00</t>
  </si>
  <si>
    <t>MOUNT COMP UPPER THRUST   4x1 3cyc/hr</t>
  </si>
  <si>
    <t>54130-92L00</t>
  </si>
  <si>
    <t>13766-76M00</t>
  </si>
  <si>
    <t>13881-84MA0</t>
  </si>
  <si>
    <t>77291-12150-A</t>
  </si>
  <si>
    <t>MR353470</t>
  </si>
  <si>
    <t>MR373032</t>
  </si>
  <si>
    <t>MR519863</t>
  </si>
  <si>
    <t>75800-SNLA-T102</t>
  </si>
  <si>
    <t>mud guard R FR</t>
  </si>
  <si>
    <t>75810-SNLA-T102</t>
  </si>
  <si>
    <t>mud guard L FR</t>
  </si>
  <si>
    <t>MN171422</t>
  </si>
  <si>
    <t>77291-0D070</t>
  </si>
  <si>
    <t>1093A044</t>
  </si>
  <si>
    <t>61124-94L00</t>
  </si>
  <si>
    <t>61124-94L20</t>
  </si>
  <si>
    <t>75800-S5H-T001</t>
  </si>
  <si>
    <t>17880-0L110</t>
  </si>
  <si>
    <t>17880-05020</t>
  </si>
  <si>
    <t>17880-0L130</t>
  </si>
  <si>
    <t>5JX2228990</t>
  </si>
  <si>
    <t>DUCT ASM;A/CL OTLT</t>
  </si>
  <si>
    <t>7125-0001</t>
  </si>
  <si>
    <t>1505A790</t>
  </si>
  <si>
    <t>1911S0108</t>
  </si>
  <si>
    <t>13820-94L00</t>
  </si>
  <si>
    <t>48304-1121A</t>
  </si>
  <si>
    <t>48306-1290A</t>
  </si>
  <si>
    <t>897213-4810</t>
  </si>
  <si>
    <t>5040 (60X1) CLIP;PIPE 510 Last lot mar15</t>
  </si>
  <si>
    <t>92161-1284A</t>
  </si>
  <si>
    <t>54125-94L00</t>
  </si>
  <si>
    <t>17881-0C110</t>
  </si>
  <si>
    <t>17881-0L082</t>
  </si>
  <si>
    <t>Hose Air No holes</t>
  </si>
  <si>
    <t>17882-0P021</t>
  </si>
  <si>
    <t>GR006313B</t>
  </si>
  <si>
    <t>17881-0L052</t>
  </si>
  <si>
    <t>Hose Air pierce</t>
  </si>
  <si>
    <t>77291-02180</t>
  </si>
  <si>
    <t>77291-YY020</t>
  </si>
  <si>
    <t>17881-0L051</t>
  </si>
  <si>
    <t>77402-MJWA-J001</t>
  </si>
  <si>
    <t>897234-9660</t>
  </si>
  <si>
    <t>897234-9660;A</t>
  </si>
  <si>
    <t>897235-9260</t>
  </si>
  <si>
    <t>66-VF68-53386-F000</t>
  </si>
  <si>
    <t>Cover Dust</t>
  </si>
  <si>
    <t>GR136203B</t>
  </si>
  <si>
    <t>Tail Gate Hi-Grommet</t>
  </si>
  <si>
    <t>66-VF68-53386-N000</t>
  </si>
  <si>
    <t>45025-02290</t>
  </si>
  <si>
    <t>Cover Sub-Assy,Steering Column Hole</t>
  </si>
  <si>
    <t>45025-02300</t>
  </si>
  <si>
    <t>17881-0V310</t>
  </si>
  <si>
    <t>45025-F4030</t>
  </si>
  <si>
    <t>COVER SUB-ASSY,STEERING COLUMN HOLE</t>
  </si>
  <si>
    <t>77291-06230</t>
  </si>
  <si>
    <t>700.1.097.1A-F</t>
  </si>
  <si>
    <t>GR136003B</t>
  </si>
  <si>
    <t>FR DR DOOR GROMMET</t>
  </si>
  <si>
    <t>GR136103B</t>
  </si>
  <si>
    <t>FR AS DOOR GROMMET</t>
  </si>
  <si>
    <t>898309-8820</t>
  </si>
  <si>
    <t>61146-KZZJ-J001</t>
  </si>
  <si>
    <t>RING,HEAD LIGHT</t>
  </si>
  <si>
    <t>1505A873</t>
  </si>
  <si>
    <t>898309-7970</t>
  </si>
  <si>
    <t>1505A376</t>
  </si>
  <si>
    <t>54162-97L00</t>
  </si>
  <si>
    <t>RUBBER,MOUNT LOWER</t>
  </si>
  <si>
    <t>77291-06150</t>
  </si>
  <si>
    <t>54132-97L00</t>
  </si>
  <si>
    <t>RUBBER , MOUNT UPPER</t>
  </si>
  <si>
    <t>17881-0L080</t>
  </si>
  <si>
    <t>D465-RXESA-0100</t>
  </si>
  <si>
    <t>14281-78M00-000</t>
  </si>
  <si>
    <t>17880-0P070</t>
  </si>
  <si>
    <t>MN135027</t>
  </si>
  <si>
    <t>77291-02130</t>
  </si>
  <si>
    <t>77291-F4020</t>
  </si>
  <si>
    <t>39961-K26J-C101</t>
  </si>
  <si>
    <t>RUBBER G SENSOR</t>
  </si>
  <si>
    <t>52203-1422A</t>
  </si>
  <si>
    <t>52203-1460A</t>
  </si>
  <si>
    <t>700.1.059.1A</t>
  </si>
  <si>
    <t>17515-GBJ-M300</t>
  </si>
  <si>
    <t>77291-02291</t>
  </si>
  <si>
    <t>SHIELD,FULE TANK FILLER PIPE</t>
  </si>
  <si>
    <t>GR137003B</t>
  </si>
  <si>
    <t>1215093S01</t>
  </si>
  <si>
    <t>894434-2081</t>
  </si>
  <si>
    <t>897911-2670</t>
  </si>
  <si>
    <t>MR995005</t>
  </si>
  <si>
    <t>MR995006</t>
  </si>
  <si>
    <t>MR992703</t>
  </si>
  <si>
    <t>MR992717</t>
  </si>
  <si>
    <t>MR992413</t>
  </si>
  <si>
    <t>STOPPER BUMP (4x2;5Cyc/Hr)LH</t>
  </si>
  <si>
    <t>MR992414</t>
  </si>
  <si>
    <t>(AB-12)STOPPER BUMP (4x2;5Cyc/Hr)RH</t>
  </si>
  <si>
    <t>MR992642</t>
  </si>
  <si>
    <t>D465-RXETA-0100</t>
  </si>
  <si>
    <t>GR007713B</t>
  </si>
  <si>
    <t>J59 Rear Bumper Grommet</t>
  </si>
  <si>
    <t>MR133072</t>
  </si>
  <si>
    <t>MR133073</t>
  </si>
  <si>
    <t>MR133078</t>
  </si>
  <si>
    <t>MR133173</t>
  </si>
  <si>
    <t>MR133206</t>
  </si>
  <si>
    <t>MR151237</t>
  </si>
  <si>
    <t>MR151326</t>
  </si>
  <si>
    <t>MR151348</t>
  </si>
  <si>
    <t>MR151375</t>
  </si>
  <si>
    <t>GR137603B</t>
  </si>
  <si>
    <t>J59 Rear Door Panel Grommet</t>
  </si>
  <si>
    <t>GR137503B</t>
  </si>
  <si>
    <t>J59 Front Door Panel Grommet</t>
  </si>
  <si>
    <t>182117-0860</t>
  </si>
  <si>
    <t>Rubber Support Headlamp 8x1 6 cyc/hr</t>
  </si>
  <si>
    <t>77291-0A010</t>
  </si>
  <si>
    <t>HK871-336-1E-ST</t>
  </si>
  <si>
    <t>GR008113B</t>
  </si>
  <si>
    <t>CC102120B</t>
  </si>
  <si>
    <t>CONNECTOR COVER</t>
  </si>
  <si>
    <t>CC102130B</t>
  </si>
  <si>
    <t>GR139203B</t>
  </si>
  <si>
    <t>45025-0A010</t>
  </si>
  <si>
    <t>17881-0E020</t>
  </si>
  <si>
    <t>HOSE AIR CLEANER</t>
  </si>
  <si>
    <t>SN907-41110</t>
  </si>
  <si>
    <t>897946-5490</t>
  </si>
  <si>
    <t>RUBBER,BUMPER REAR</t>
  </si>
  <si>
    <t>PRESS 510X510</t>
  </si>
  <si>
    <t>INJECT 0.8 L 450x510</t>
  </si>
  <si>
    <t>INJ 350 T 700x700 COOL RUNNER</t>
  </si>
  <si>
    <t>PRESS 500 T 700x1100</t>
  </si>
  <si>
    <t>Working days</t>
  </si>
  <si>
    <t>Holiday Overtime</t>
  </si>
  <si>
    <t>Special Holiday Overtime</t>
  </si>
  <si>
    <t>Normal time, (hours.)</t>
  </si>
  <si>
    <t>Day shift</t>
  </si>
  <si>
    <t>Total machince production line</t>
  </si>
  <si>
    <t>Quantity Of Machine  Production Line</t>
  </si>
  <si>
    <t>Production Available Time /Month(Hours)</t>
  </si>
  <si>
    <t>Utilization(- Set Up, PM, 5S, Train, Count Stock)</t>
  </si>
  <si>
    <t>Net Production Available Time (Month/hours)</t>
  </si>
  <si>
    <t>Man Power Request (3 Person/1Group) SHIFT 1</t>
  </si>
  <si>
    <t>TOTAL MAN POWER Requirement 3 Shift/Day</t>
  </si>
  <si>
    <t>Manpower Actual Shift 1</t>
  </si>
  <si>
    <t>Manpower Actual Shift 2</t>
  </si>
  <si>
    <t>Manpower Actual Shift 3</t>
  </si>
  <si>
    <t>Manpower Diff</t>
  </si>
  <si>
    <t>Description</t>
  </si>
  <si>
    <t>Cust.Code</t>
  </si>
  <si>
    <t>Name</t>
  </si>
  <si>
    <t>Mat.Group</t>
  </si>
  <si>
    <t>ASIAN HONDA MOTOR CO.,LTD</t>
  </si>
  <si>
    <t>DAIKIN INDUSTRIES(THAILAND) LTD.</t>
  </si>
  <si>
    <t>FUKUI KASEI (THAILAND)CO.,LTD.</t>
  </si>
  <si>
    <t>HONDA AUTOMOBILE (THAILAND)</t>
  </si>
  <si>
    <t>ISUZU ENGINE MANUFACTURING</t>
  </si>
  <si>
    <t>KAWASAKI MOTORS ENTERPRISE</t>
  </si>
  <si>
    <t>MITSUBISHI MOTORS(THAILAND)</t>
  </si>
  <si>
    <t>K1662-472-1B-TH</t>
  </si>
  <si>
    <t>THAI KOITO COMPANY LIMITED</t>
  </si>
  <si>
    <t>THAI SUZUKI MOTOR CO.,LTD.</t>
  </si>
  <si>
    <t>THAI YAMAHA MOTOR CO.,LTD.</t>
  </si>
  <si>
    <t>Siam Kubota Corporation Co.,Ltd.</t>
  </si>
  <si>
    <t>17883-0L010</t>
  </si>
  <si>
    <t>hose,air clean no.3</t>
  </si>
  <si>
    <t>SIAM NSK STEERING SYSTEMS CO.,LTD.</t>
  </si>
  <si>
    <t>13766-79M00</t>
  </si>
  <si>
    <t>YAMADA SOMBOON CO.,LTD.</t>
  </si>
  <si>
    <t>ISUZU GLOBAL CV ENGINEERING CENTER</t>
  </si>
  <si>
    <t>FUJIKURA AUTOMOTIVE</t>
  </si>
  <si>
    <t>THAI  STANLEY  ELECTRIC</t>
  </si>
  <si>
    <t>Actual Production Requirement ( Hours.)</t>
  </si>
  <si>
    <t>Production Requirement ( Hours.)</t>
  </si>
  <si>
    <t>1200</t>
  </si>
  <si>
    <t>45268-0A010;A</t>
  </si>
  <si>
    <t>DAMPER BUSH (10x1;4Cyc/Hr) 2W</t>
  </si>
  <si>
    <t>TOTAL MAN POWER ACTUAL</t>
  </si>
  <si>
    <t>Machince number</t>
  </si>
  <si>
    <t>MACHINCE</t>
  </si>
  <si>
    <t>Working</t>
  </si>
  <si>
    <t xml:space="preserve">Capacity Required (Day.) </t>
  </si>
  <si>
    <t>Rubber Damper MT 4W</t>
  </si>
  <si>
    <t>SHIELD,FUEL TANK FILLER PIPE</t>
  </si>
  <si>
    <t>SHIELD FUEL TANK FILLER PIPE</t>
  </si>
  <si>
    <t>HOSE (17881-0C110)  4x2  8 cyc</t>
  </si>
  <si>
    <t>8X3 7CYC/SHIFT 1000 PCS/MOLD (F)</t>
  </si>
  <si>
    <t>13144-0597A</t>
  </si>
  <si>
    <t>13144-0597A;A</t>
  </si>
  <si>
    <t>ISUZU BODY CORPORATION (THAILAND)</t>
  </si>
  <si>
    <t>17883-0L010;B</t>
  </si>
  <si>
    <t>MN135024/682;B</t>
  </si>
  <si>
    <t>MN135027/683;B</t>
  </si>
  <si>
    <t>MR127412;B</t>
  </si>
  <si>
    <t>8975579810;A</t>
  </si>
  <si>
    <t>Cust.Group Name</t>
  </si>
  <si>
    <t>Industrial parts</t>
  </si>
  <si>
    <t>OEM/Auto</t>
  </si>
  <si>
    <t>OEM/MC</t>
  </si>
  <si>
    <t>OEM/Sub auto</t>
  </si>
  <si>
    <t>COVER 20x1 6 cyc/hr</t>
  </si>
  <si>
    <t>JOHOKU (THAILAND) CO.,LTD.</t>
  </si>
  <si>
    <t>OEM/SUB MC</t>
  </si>
  <si>
    <t>Spare parts</t>
  </si>
  <si>
    <t>8983943830;A</t>
  </si>
  <si>
    <t>240X290-E30;A</t>
  </si>
  <si>
    <t>969XV5R50A</t>
  </si>
  <si>
    <t>96301 10Z04;A</t>
  </si>
  <si>
    <t>96301 10Z04</t>
  </si>
  <si>
    <t>1511720971;A</t>
  </si>
  <si>
    <t>INSULATOR,ENG MOUNTING</t>
  </si>
  <si>
    <t>INSULATOR,T/M MOUNTING</t>
  </si>
  <si>
    <t>DUCT,AIR CLEANER TO THROTTLE BODY</t>
  </si>
  <si>
    <t>STOPPER,T/F MOUNTING CROSSMEMBER</t>
  </si>
  <si>
    <t>INS E/G MT NO 1</t>
  </si>
  <si>
    <t>Yoke Assy</t>
  </si>
  <si>
    <t>STOPPER UPPER MOUNT THRUST</t>
  </si>
  <si>
    <t>RUBBER;BUMPER,RE</t>
  </si>
  <si>
    <t>STOPPER,REBOUND</t>
  </si>
  <si>
    <t>HOSE,ENG AIR INTAKE TO THROTTLE BODY</t>
  </si>
  <si>
    <t>77291-BZ050-J;A</t>
  </si>
  <si>
    <t>CUSHION,CROSSMEMBER ENG MOUNTING</t>
  </si>
  <si>
    <t>77291-BZ050-J</t>
  </si>
  <si>
    <t>17880-BZ110-H</t>
  </si>
  <si>
    <t>17880-BZ130-H</t>
  </si>
  <si>
    <t>45254-BZ330-H</t>
  </si>
  <si>
    <t>45254-BZ340-H</t>
  </si>
  <si>
    <t>14566W000P</t>
  </si>
  <si>
    <t>17883-BZ050-H;A</t>
  </si>
  <si>
    <t>17881-BZ340-50-H;A</t>
  </si>
  <si>
    <t>45254-BZ330-RI3N;A</t>
  </si>
  <si>
    <t>45254-BZ330-RI2N;A</t>
  </si>
  <si>
    <t>17881-BZ320-H;A</t>
  </si>
  <si>
    <t>17883-BZ070-H;A</t>
  </si>
  <si>
    <t>45254-BZ340-RI3N;A</t>
  </si>
  <si>
    <t>45254-BZ340-RI2N;A</t>
  </si>
  <si>
    <t>14566W000P;A</t>
  </si>
  <si>
    <t>17752-BZ100-H;A</t>
  </si>
  <si>
    <t>17752-BZ100-H</t>
  </si>
  <si>
    <t>1WAB136411</t>
  </si>
  <si>
    <t>BUMPER ASM;FRT SPR FRT</t>
  </si>
  <si>
    <t>Mat.Group4</t>
  </si>
  <si>
    <t>PRESS</t>
  </si>
  <si>
    <t>SPC</t>
  </si>
  <si>
    <t>GAUGE(OIL)</t>
  </si>
  <si>
    <t>HOSE, AIR CLEANER</t>
  </si>
  <si>
    <t>GUIDE CAM CHAIN (6X1;6Cyc/Hr)</t>
  </si>
  <si>
    <t>INLET AIR CLEANER No.2</t>
  </si>
  <si>
    <t>TIGERPOLY(THAILAND) LTD.</t>
  </si>
  <si>
    <t>17752-BZ120</t>
  </si>
  <si>
    <t>BOOT (ARC7)</t>
  </si>
  <si>
    <t>Rubber part(10x1;12min/Cyc)OK9.</t>
  </si>
  <si>
    <t>17752-BZ120;A</t>
  </si>
  <si>
    <t>1J630-69F-A000</t>
  </si>
  <si>
    <t>1J670-69F-A000</t>
  </si>
  <si>
    <t>CUSHION,BODY MOUNTING</t>
  </si>
  <si>
    <t>2A69A072-00</t>
  </si>
  <si>
    <t>2A69A073-00</t>
  </si>
  <si>
    <t>STOPPER REBOUND (8x1;7Cyc/Hr)</t>
  </si>
  <si>
    <t>1J630-69F-A000;A</t>
  </si>
  <si>
    <t>1J670-69F-A000;A</t>
  </si>
  <si>
    <t>2A69A072-00;A</t>
  </si>
  <si>
    <t>2A69A073-00;A</t>
  </si>
  <si>
    <t>CUSHION,ENG RR MOUNTING</t>
  </si>
  <si>
    <t>guide cam chain(8x2;10min).</t>
  </si>
  <si>
    <t>HOSE ASSY,AIR CLEANER</t>
  </si>
  <si>
    <t>SHIELD STEERING COLUMN HOLE</t>
  </si>
  <si>
    <t>Shield, Fuel Tank Inlet Pipe</t>
  </si>
  <si>
    <t>INLET, AIR CLEANER NO.2</t>
  </si>
  <si>
    <t>THAI HONDA CO.,LTD.</t>
  </si>
  <si>
    <t>2A69A074-00</t>
  </si>
  <si>
    <t>2A69A074-00;A</t>
  </si>
  <si>
    <t>INJECT 1.6 L 500x600 HOT</t>
  </si>
  <si>
    <t>INJECT 1.6 L 600x600 COOL RUNNER VC</t>
  </si>
  <si>
    <t>2A69A077-00;A</t>
  </si>
  <si>
    <t>AR2058305;A</t>
  </si>
  <si>
    <t>52170-K1TF-EB01;A</t>
  </si>
  <si>
    <t>17883-BZ060-H;A</t>
  </si>
  <si>
    <t>17881-BZ330-H;A</t>
  </si>
  <si>
    <t>17882-BZ130-H;A</t>
  </si>
  <si>
    <t>INJECT 2.5 L 700x700 COOL RUNNER VJ</t>
  </si>
  <si>
    <t>INJECT 1.6 L 500x600 COOL RUNNER VA</t>
  </si>
  <si>
    <t>VACUUM 510x510</t>
  </si>
  <si>
    <t>VACUUM 700x700</t>
  </si>
  <si>
    <t>INJECT 2.5 L 500x600 HOT</t>
  </si>
  <si>
    <t>17881-BZ340-H-SP</t>
  </si>
  <si>
    <t>17883-BZ070-H-SP</t>
  </si>
  <si>
    <t>BOOT</t>
  </si>
  <si>
    <t>TENSIONEA CAM (6x1;6cyc/hr)/8x1</t>
  </si>
  <si>
    <t>TENSIONER, CAM CHAIN</t>
  </si>
  <si>
    <t>2A33-121-00</t>
  </si>
  <si>
    <t>2A33-126-00</t>
  </si>
  <si>
    <t>RUBBER STEEL BUSH 16x38x40</t>
  </si>
  <si>
    <t>2A33-121-00;A</t>
  </si>
  <si>
    <t>2A33-125-00;A</t>
  </si>
  <si>
    <t>2A33-126-00;A</t>
  </si>
  <si>
    <t>LATERAL LINK ASM</t>
  </si>
  <si>
    <t>17881-BZ350-H-SP</t>
  </si>
  <si>
    <t>2A69A077-00</t>
  </si>
  <si>
    <t>SOCKET COVER (9X1;14) 90c/d</t>
  </si>
  <si>
    <t>SHIELDFUEL TANKFILLER PIP</t>
  </si>
  <si>
    <t>BUSH ENG.MTG 30x1 5cyc;hr,16x1;11 min/cy</t>
  </si>
  <si>
    <t>BUSH REAR SHOCK ABS</t>
  </si>
  <si>
    <t>GUIDE CAM,CHAIN(6x1;6cyc/hr)</t>
  </si>
  <si>
    <t>J59 R-GATE GROMMET</t>
  </si>
  <si>
    <t>HK3S1-336-0C-00</t>
  </si>
  <si>
    <t>BUSHING,FR SUSP STABILIZER</t>
  </si>
  <si>
    <t>RUBBER  STOP(4x1;12min) 4W</t>
  </si>
  <si>
    <t>GUIDE STOPER  4x1 6cyc 9x1</t>
  </si>
  <si>
    <t>F.T. INDUSTRIAL SUPPLIES (THAILAND)</t>
  </si>
  <si>
    <t>RUBBER BUSH</t>
  </si>
  <si>
    <t>HOSE AIR CLEANER(2x3;9m)</t>
  </si>
  <si>
    <t>52170-K1TF-EB01</t>
  </si>
  <si>
    <t>SLIDER, CHAIN</t>
  </si>
  <si>
    <t>DUCT ASM;A/CL-OTLT</t>
  </si>
  <si>
    <t>iMV HOSE ASSY,AIR 17881-0L220 2x1 8cyc</t>
  </si>
  <si>
    <t>Bump rubber (4x2,6x1 inj:5cyc/hr)</t>
  </si>
  <si>
    <t>TI Automotive (Thailand) Ltd.</t>
  </si>
  <si>
    <t>Seal-lip</t>
  </si>
  <si>
    <t>BOOT,CLUTCH RELEASE FORK</t>
  </si>
  <si>
    <t>STOPPER ROLL T/F (4X1;21) MOQ 1,200</t>
  </si>
  <si>
    <t>Hose Air Cleaner W/Resonat.(2x1;9Cyc/Hr)</t>
  </si>
  <si>
    <t>Hose Air cleaner 1x1 7cyc;hr</t>
  </si>
  <si>
    <t>HOSE,AIR CLEANER,NO.1</t>
  </si>
  <si>
    <t>HOSE,AIR CLEANER</t>
  </si>
  <si>
    <t>Shield,Fuel Tank Filler Pipe 2x1 9 cyc/h</t>
  </si>
  <si>
    <t>Shield,Fuel Tank Pipe 2x1 6.5cyc:hr</t>
  </si>
  <si>
    <t>RUBBER MOUNT UPPER  (4x1,10,11)</t>
  </si>
  <si>
    <t>RUBBER STEEL BUSH 14x41x40</t>
  </si>
  <si>
    <t>RUBBER STEEL BUSH 14x49x40</t>
  </si>
  <si>
    <t>RUBBER STEEL BUSH 19x45.2x40</t>
  </si>
  <si>
    <t>BUMPER SUB ASSY (2x1;26)box1026</t>
  </si>
  <si>
    <t>Hino Motors Manufacturing</t>
  </si>
  <si>
    <t>Machine Requirement january 2023/MC</t>
  </si>
  <si>
    <t>% Machine Utilization January 2023</t>
  </si>
  <si>
    <t>INJECT 1.6 L 500x600 COOL RUNNER VA.</t>
  </si>
  <si>
    <t>INJECT 1.6 L 600x600 COOL RUNNER VC.</t>
  </si>
  <si>
    <t xml:space="preserve">SUMMARY PRESS CAPACITY  JANUARY 2023  WORKS 23 DAY 3 SHIFT </t>
  </si>
  <si>
    <t>INJECT 1.6 L 600x600 COOL RUNNER VC. (Daylight 800-870 mm.)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</si>
  <si>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</si>
  <si>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</si>
  <si>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</si>
  <si>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</si>
  <si>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</si>
  <si>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</si>
  <si>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</si>
  <si>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</si>
  <si>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</si>
  <si>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</si>
  <si>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</si>
  <si>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DUCT B,IPU INLET</t>
  </si>
  <si>
    <t>DUCT,FAN OUTLET</t>
  </si>
  <si>
    <t>PAD,FR SUSP SPRING,UPR</t>
  </si>
  <si>
    <t>INSUL ASSY ENG SUPP</t>
  </si>
  <si>
    <t>SOCKET COVER (16X1;16)75 CYC</t>
  </si>
  <si>
    <t>TRI PETCH ISUZU SALES CO.,LTD.</t>
  </si>
  <si>
    <t>BUMPER;RUBBER FT</t>
  </si>
  <si>
    <t>BOOT(6x1;12min/cyc)(1x1prototype).</t>
  </si>
  <si>
    <t>17883-BZ050-H-SP</t>
  </si>
  <si>
    <t>HOSE,AIR CLEANER NO.3</t>
  </si>
  <si>
    <t>INLET,AIR CLEANER NO.2</t>
  </si>
  <si>
    <t>17752-BZ130-H</t>
  </si>
  <si>
    <t>RUBBER STEEL BUSH 12x40x40</t>
  </si>
  <si>
    <t>RUBBER STEEL BUSH 14x39x40</t>
  </si>
  <si>
    <t>SPROCKET</t>
  </si>
  <si>
    <t>17752-BZ130-H;A</t>
  </si>
  <si>
    <t>RUBBER CUSHION</t>
  </si>
  <si>
    <t>GUIDE CAM CHAIN</t>
  </si>
  <si>
    <t>14566A010P</t>
  </si>
  <si>
    <t>16575W010P</t>
  </si>
  <si>
    <t>16578W000P</t>
  </si>
  <si>
    <t>14566A010P;A</t>
  </si>
  <si>
    <t>16575W010P;A</t>
  </si>
  <si>
    <t>16578W000P;A</t>
  </si>
  <si>
    <t>DUCT ASM:\;A/CL OTLT</t>
  </si>
  <si>
    <t>2A33-128-00;A</t>
  </si>
  <si>
    <t>STOPPER,RR SUSP SPRING BUMP</t>
  </si>
  <si>
    <t>17880-BZ120-H</t>
  </si>
  <si>
    <t>HOSE ASSY AIR CLEANER</t>
  </si>
  <si>
    <t>17890-BZ010-H</t>
  </si>
  <si>
    <t>HOSE ASSY AIR CLEANER  NO.2</t>
  </si>
  <si>
    <t>17881-BZ330</t>
  </si>
  <si>
    <t>17882-BZ130</t>
  </si>
  <si>
    <t>17883-BZ060</t>
  </si>
  <si>
    <t>8978760470;A</t>
  </si>
  <si>
    <t>KOHSAN INDUSTRY CO.,LTD.</t>
  </si>
  <si>
    <t>DUCT ASM;A/C</t>
  </si>
  <si>
    <t>Disk Precision Industries</t>
  </si>
  <si>
    <t>42000736A</t>
  </si>
  <si>
    <t>RUBBER COVER,HEAD ADAPTER</t>
  </si>
  <si>
    <t>DUCT ASSY AIR</t>
  </si>
  <si>
    <t>HOSE AIR</t>
  </si>
  <si>
    <t>42000736A;A</t>
  </si>
  <si>
    <t>17511-K12-9300</t>
  </si>
  <si>
    <t>TUBE,FUEL JOINT</t>
  </si>
  <si>
    <t>EP416-03930</t>
  </si>
  <si>
    <t>F-PUNCH</t>
  </si>
  <si>
    <t>EP446-06031</t>
  </si>
  <si>
    <t>17511-K12-9300;A</t>
  </si>
  <si>
    <t>HOSE-AIR,INLET</t>
  </si>
  <si>
    <t>2A33-130-00;A</t>
  </si>
  <si>
    <t>0000100013</t>
  </si>
  <si>
    <t>0000100029</t>
  </si>
  <si>
    <t>0000100039</t>
  </si>
  <si>
    <t>0000100048</t>
  </si>
  <si>
    <t>0000100056</t>
  </si>
  <si>
    <t>0000100057</t>
  </si>
  <si>
    <t>0000100058</t>
  </si>
  <si>
    <t>0000100077</t>
  </si>
  <si>
    <t>0000100078</t>
  </si>
  <si>
    <t xml:space="preserve"> INSULATOR,T/M MOUNTING</t>
  </si>
  <si>
    <t xml:space="preserve"> DUCT,AIR CLEANER TO T/C</t>
  </si>
  <si>
    <t>Hose,Air Cleaner 1x1 5cyc:hr</t>
  </si>
  <si>
    <t>AE-08STOPPER ROLLT/F(pcar03;8x1;6cyc/hr)</t>
  </si>
  <si>
    <t>0000100123</t>
  </si>
  <si>
    <t>0000100138</t>
  </si>
  <si>
    <t>0000100151</t>
  </si>
  <si>
    <t>0000100154</t>
  </si>
  <si>
    <t>0000100158</t>
  </si>
  <si>
    <t>0000100166</t>
  </si>
  <si>
    <t>0000100167</t>
  </si>
  <si>
    <t>0000100169</t>
  </si>
  <si>
    <t>0000100190</t>
  </si>
  <si>
    <t>0000100279</t>
  </si>
  <si>
    <t xml:space="preserve"> FCA01/5 INS ENG MTG</t>
  </si>
  <si>
    <t>17881-BZ320-J-SP</t>
  </si>
  <si>
    <t>HOSE,AIR CLEANER NO.1</t>
  </si>
  <si>
    <t>0000100293</t>
  </si>
  <si>
    <t>0000100300</t>
  </si>
  <si>
    <t xml:space="preserve"> O-RING, 14.5MM  (49x1;22)</t>
  </si>
  <si>
    <t>0000100329</t>
  </si>
  <si>
    <t>0000100344</t>
  </si>
  <si>
    <t>0000100379</t>
  </si>
  <si>
    <t>0000100445</t>
  </si>
  <si>
    <t>0000100449</t>
  </si>
  <si>
    <t>0000100463</t>
  </si>
  <si>
    <t>0000100488</t>
  </si>
  <si>
    <t>0000100555</t>
  </si>
  <si>
    <t>0000100642</t>
  </si>
  <si>
    <t>0000100690</t>
  </si>
  <si>
    <t>0000100708</t>
  </si>
  <si>
    <t>0000110001</t>
  </si>
  <si>
    <t>0000110011</t>
  </si>
  <si>
    <t>0000110019</t>
  </si>
  <si>
    <t>0000110024</t>
  </si>
  <si>
    <t>0000200002</t>
  </si>
  <si>
    <t>17505-K3M-T00</t>
  </si>
  <si>
    <t>610X700X2C60;A</t>
  </si>
  <si>
    <t>73525-SWA-0000</t>
  </si>
  <si>
    <t>M-90480-801XZ-1</t>
  </si>
  <si>
    <t>M-AFS-IRCT01</t>
  </si>
  <si>
    <t>CUSHION,C/MBR ENG MOUNTING</t>
  </si>
  <si>
    <t>17881-0C130</t>
  </si>
  <si>
    <t>Unrestricted</t>
  </si>
  <si>
    <t>bump rub(1x1).(4x1inj).Common mould 990A</t>
  </si>
  <si>
    <t>87211-X7V00-A</t>
  </si>
  <si>
    <t>DUCT,AIR</t>
  </si>
  <si>
    <t>0000100387</t>
  </si>
  <si>
    <t>bump RUBBER(4x1;5.5c/hB)(6x1;5c/hC)1026</t>
  </si>
  <si>
    <t>0000100746</t>
  </si>
  <si>
    <t>NHK SPRING (THAILAND) CO.,LTD.</t>
  </si>
  <si>
    <t>87211-X7V00-A;A</t>
  </si>
  <si>
    <t>0000100682</t>
  </si>
  <si>
    <t>Pandrol (Thailand) Co.,Ltd</t>
  </si>
  <si>
    <t>HK2E1-336-0A-04</t>
  </si>
  <si>
    <t>0000100064</t>
  </si>
  <si>
    <t>0000100323</t>
  </si>
  <si>
    <t>19155/1</t>
  </si>
  <si>
    <t>0000100751</t>
  </si>
  <si>
    <t>Y.S.S. (Thailand) Public Company</t>
  </si>
  <si>
    <t>HK2E1-336-0A-04;A</t>
  </si>
  <si>
    <t>19155/1;A</t>
  </si>
  <si>
    <t>2A33-103-05;A</t>
  </si>
  <si>
    <t>2A33-129-00;A</t>
  </si>
  <si>
    <t>42528-SMA-9010;A</t>
  </si>
  <si>
    <t>0000100050</t>
  </si>
  <si>
    <t>Minebea AccessSolutions Thai Ltd.</t>
  </si>
  <si>
    <t>42528-SMA-9010-Y1</t>
  </si>
  <si>
    <t>RUBBER GUIDE (24X2;7.5)</t>
  </si>
  <si>
    <t>0000100060</t>
  </si>
  <si>
    <t>TOYOTA MOTOR ASIA (THAILAND)</t>
  </si>
  <si>
    <t>0000100681</t>
  </si>
  <si>
    <t>DAITO LARGE MIRROR</t>
  </si>
  <si>
    <t>MOTOR COVER</t>
  </si>
  <si>
    <t>0000100720</t>
  </si>
  <si>
    <t>BUMPER SUB ASSY</t>
  </si>
  <si>
    <t>0000100355</t>
  </si>
  <si>
    <t>SEAL;CHARING PORT</t>
  </si>
  <si>
    <t>RUBBER;SUPPORT FRONT MOTOR MTG,FRT</t>
  </si>
  <si>
    <t>RUBBER;SUPPORT FRONT MOTOR MTG,RH</t>
  </si>
  <si>
    <t>RUUBER;SUPPORT FRONT MOTOR MTG,LH</t>
  </si>
  <si>
    <t>RUBBER;SUPPORT REAR MOTOR MTG,RH</t>
  </si>
  <si>
    <t>RUBBER;SUPPORT REAR MOTOR MT,LH</t>
  </si>
  <si>
    <t>RUBBER;SUPPORT REAR MOTOR MTG,RR</t>
  </si>
  <si>
    <t>BUMPER SUB ASS'Y,RR 2x1 2cyc/hr/box1026</t>
  </si>
  <si>
    <t>17881-BZ370-H;A</t>
  </si>
  <si>
    <t>17883-BZ080-H;A</t>
  </si>
  <si>
    <t>17883-BZ090-H;A</t>
  </si>
  <si>
    <t>2A33-045-00</t>
  </si>
  <si>
    <t>AR2058305</t>
  </si>
  <si>
    <t>RB.STEEL BUSH 10x25x23x22</t>
  </si>
  <si>
    <t>2A33-045-00;A</t>
  </si>
  <si>
    <t>7552008070;A</t>
  </si>
  <si>
    <t>7552218320;A</t>
  </si>
  <si>
    <t>7552218330;A</t>
  </si>
  <si>
    <t>7552218340;A</t>
  </si>
  <si>
    <t>7552218350;A</t>
  </si>
  <si>
    <t>GROMMET CABLE (MZ)</t>
  </si>
  <si>
    <t>GROMMET CABLE (ME)</t>
  </si>
  <si>
    <t>87211-X7A04;A</t>
  </si>
  <si>
    <t>7552296440;A</t>
  </si>
  <si>
    <t>17752-BZ100-J-SP</t>
  </si>
  <si>
    <t>17881-BZ370-H</t>
  </si>
  <si>
    <t>17890-BZ020-J</t>
  </si>
  <si>
    <t>17890-BZ030-J</t>
  </si>
  <si>
    <t>420 Cap  5 Cyc (4x1) INM   CUSHION SUB A</t>
  </si>
  <si>
    <t>ASTEMO CHONBURI MANUFACTURING</t>
  </si>
  <si>
    <t>17883-BZ080-H-SP</t>
  </si>
  <si>
    <t>17883-BZ090-H-SP</t>
  </si>
  <si>
    <t>ASTEMO CHONBURI AUTO PARTS LTD.</t>
  </si>
  <si>
    <t>77291-0G040</t>
  </si>
  <si>
    <t>17752-BZ120-H-SP</t>
  </si>
  <si>
    <t>0000100559</t>
  </si>
  <si>
    <t>66-VF68-53386-F</t>
  </si>
  <si>
    <t>66-VF68-53386-N</t>
  </si>
  <si>
    <t>Z1C1-07681;A</t>
  </si>
  <si>
    <t>Z1C1-07681</t>
  </si>
  <si>
    <t>OEM/Non Auto</t>
  </si>
  <si>
    <t>0000100084</t>
  </si>
  <si>
    <t>NHK SPRING(THAILAND)CO.,LTD.</t>
  </si>
  <si>
    <t>BUMPER</t>
  </si>
  <si>
    <t>97295-24110T-01</t>
  </si>
  <si>
    <t>92161F22-006A;A</t>
  </si>
  <si>
    <t>HOSE ASSY,AIR CLEANER NO.2</t>
  </si>
  <si>
    <t>RING PRIMARY DRIVE GEAR 36x1 6 cyc/hr</t>
  </si>
  <si>
    <t>FG - PRESS LINE 2</t>
  </si>
  <si>
    <t>77291-0G040;A</t>
  </si>
  <si>
    <t>97295-24110T-01;A</t>
  </si>
  <si>
    <t>97295-24110T-01-B2</t>
  </si>
  <si>
    <t>250X500X2</t>
  </si>
  <si>
    <t>J25-73134-0002</t>
  </si>
  <si>
    <t>RUBBER, GUIDE</t>
  </si>
  <si>
    <t>RUBBER,BUMPER,REAR,FOR LCV</t>
  </si>
  <si>
    <t>0000100518</t>
  </si>
  <si>
    <t>THAI SANKYO CO.,LTD</t>
  </si>
  <si>
    <t>UV RING</t>
  </si>
  <si>
    <t>0000100576</t>
  </si>
  <si>
    <t>Giant Interholding Co., Ltd.</t>
  </si>
  <si>
    <t>EPDM Rubber Sheet</t>
  </si>
  <si>
    <t>0000100583</t>
  </si>
  <si>
    <t>7553180490;A</t>
  </si>
  <si>
    <t>J25-73134-0002;A</t>
  </si>
  <si>
    <t>BOOT,GEARSHIFT LEVER</t>
  </si>
  <si>
    <t>Studded Rubber Rail Pad</t>
  </si>
  <si>
    <t>0000110028</t>
  </si>
  <si>
    <t>1505A416/429;A</t>
  </si>
  <si>
    <t>0000110021</t>
  </si>
  <si>
    <t>Ducati Motor (Thailand) Co.,Ltd.</t>
  </si>
  <si>
    <t>BUSH RUBBER</t>
  </si>
  <si>
    <t>FO(Pcs)-08.2026</t>
  </si>
  <si>
    <t>ORD(Pcs)-08.2026</t>
  </si>
  <si>
    <t>FO(Amt)-08.2026</t>
  </si>
  <si>
    <t>ORD(Amt)-08.2026</t>
  </si>
  <si>
    <t>7150S0126</t>
  </si>
  <si>
    <t>7150S0138</t>
  </si>
  <si>
    <t>0000110031</t>
  </si>
  <si>
    <t>THAI SWEDISH ASSEMBLY</t>
  </si>
  <si>
    <t>250X500X2;A</t>
  </si>
  <si>
    <t>FO(Pcs)-09.2026</t>
  </si>
  <si>
    <t>ORD(Pcs)-09.2026</t>
  </si>
  <si>
    <t>FO(Amt)-09.2026</t>
  </si>
  <si>
    <t>ORD(Amt)-09.2026</t>
  </si>
  <si>
    <t>spacer (60x1:8cycle/hr)</t>
  </si>
  <si>
    <t>ISUZU MOTORS CO., (THAILAND) LTD.</t>
  </si>
  <si>
    <t xml:space="preserve"> BODY MOUNTIONG (16X1;29)</t>
  </si>
  <si>
    <t>RUBBER;CUSHION(4x1;6cyc/hr)</t>
  </si>
  <si>
    <t>RUBBER CUSHION RR                box1026</t>
  </si>
  <si>
    <t>48157-0K070</t>
  </si>
  <si>
    <t>INSULATOR,FR COIL SPRING UPR</t>
  </si>
  <si>
    <t>0000100368</t>
  </si>
  <si>
    <t>HOSE DRAIN</t>
  </si>
  <si>
    <t>0000100577</t>
  </si>
  <si>
    <t>Plant</t>
  </si>
  <si>
    <t>Storage Location</t>
  </si>
  <si>
    <t>DF stor. loc. level</t>
  </si>
  <si>
    <t>Base Unit of Measure</t>
  </si>
  <si>
    <t>1201</t>
  </si>
  <si>
    <t>QC01</t>
  </si>
  <si>
    <t>FG01</t>
  </si>
  <si>
    <t>PP01</t>
  </si>
  <si>
    <t>PSJ1</t>
  </si>
  <si>
    <t>PSI1</t>
  </si>
  <si>
    <t>PSP1</t>
  </si>
  <si>
    <t>PSNP</t>
  </si>
  <si>
    <t>PSA1</t>
  </si>
  <si>
    <t>PSBB</t>
  </si>
  <si>
    <t>TIC1</t>
  </si>
  <si>
    <t>PSAD</t>
  </si>
  <si>
    <t>30E-73134-0000;A</t>
  </si>
  <si>
    <t>30E-73134-0000</t>
  </si>
  <si>
    <t>48157-0K070;A</t>
  </si>
  <si>
    <t>7150S0138;A</t>
  </si>
  <si>
    <t>PSTI</t>
  </si>
  <si>
    <t>PSWD</t>
  </si>
  <si>
    <t>EA</t>
  </si>
  <si>
    <t>PSS1</t>
  </si>
  <si>
    <t>Capa/07.2026</t>
  </si>
  <si>
    <t>FO(Pcs)-07.2026</t>
  </si>
  <si>
    <t>ORD(Pcs)-07.2026</t>
  </si>
  <si>
    <t>FO(Amt)-07.2026</t>
  </si>
  <si>
    <t>ORD(Amt)-07.2026</t>
  </si>
  <si>
    <t>Cust.Mat.</t>
  </si>
  <si>
    <t>73525SWA000</t>
  </si>
  <si>
    <t>75800SNLT00</t>
  </si>
  <si>
    <t>75810SNLT00</t>
  </si>
  <si>
    <t>75820SNLT00</t>
  </si>
  <si>
    <t>75830SNLT00</t>
  </si>
  <si>
    <t>0000100015</t>
  </si>
  <si>
    <t>BANGKOK DIECASTING AND INJECTION</t>
  </si>
  <si>
    <t>PAD COMP SEAT COWL</t>
  </si>
  <si>
    <t>77402-MJW-J000</t>
  </si>
  <si>
    <t>INSULATION MATERIAL (36x1;6cyc/hr)TP-332</t>
  </si>
  <si>
    <t>4PB30946-1C</t>
  </si>
  <si>
    <t>4PB30948-1A</t>
  </si>
  <si>
    <t>Gasket (4x2  7 Cyc/Hr). 8min/cyc</t>
  </si>
  <si>
    <t>0000100044</t>
  </si>
  <si>
    <t>HINO MOTORS SALES (THAILAND)LTD.</t>
  </si>
  <si>
    <t>CUSHION SUB</t>
  </si>
  <si>
    <t>52203-1422G</t>
  </si>
  <si>
    <t>RUBBER, WIRE GUIDE</t>
  </si>
  <si>
    <t>SMA-73134-0001</t>
  </si>
  <si>
    <t>8983943812</t>
  </si>
  <si>
    <t>8983943862</t>
  </si>
  <si>
    <t>8983947931</t>
  </si>
  <si>
    <t>8983954210</t>
  </si>
  <si>
    <t>898278-8110</t>
  </si>
  <si>
    <t>897946-5493</t>
  </si>
  <si>
    <t>897946-8031</t>
  </si>
  <si>
    <t>897361-8111</t>
  </si>
  <si>
    <t>8975470950</t>
  </si>
  <si>
    <t>7552008072</t>
  </si>
  <si>
    <t>7552091840</t>
  </si>
  <si>
    <t>7552125760</t>
  </si>
  <si>
    <t>7552125770</t>
  </si>
  <si>
    <t>7552125780</t>
  </si>
  <si>
    <t>7552125790</t>
  </si>
  <si>
    <t>7552125800</t>
  </si>
  <si>
    <t>7552125811</t>
  </si>
  <si>
    <t>7552296441</t>
  </si>
  <si>
    <t>7553180490</t>
  </si>
  <si>
    <t>8978760471</t>
  </si>
  <si>
    <t>8983943831</t>
  </si>
  <si>
    <t>8983943851</t>
  </si>
  <si>
    <t>897948-0230</t>
  </si>
  <si>
    <t>897926-5720</t>
  </si>
  <si>
    <t>897926-5710</t>
  </si>
  <si>
    <t>897924-2220</t>
  </si>
  <si>
    <t>897925-2490</t>
  </si>
  <si>
    <t>13144-0577  2A</t>
  </si>
  <si>
    <t>INS ENG MTG RR (4X1;13)(2X1;28)</t>
  </si>
  <si>
    <t>MR133206  T</t>
  </si>
  <si>
    <t>01C3-11681</t>
  </si>
  <si>
    <t>HK2E1-336-00-04</t>
  </si>
  <si>
    <t>HS5A2-758-01</t>
  </si>
  <si>
    <t>HS7A1-415-02</t>
  </si>
  <si>
    <t>K1662-472-11-TH</t>
  </si>
  <si>
    <t>54130-91L01</t>
  </si>
  <si>
    <t>5TNE2231100080</t>
  </si>
  <si>
    <t>5TNE2241110080</t>
  </si>
  <si>
    <t>5YPE2241000080</t>
  </si>
  <si>
    <t>11010-0456-1</t>
  </si>
  <si>
    <t>1T021-3641-4</t>
  </si>
  <si>
    <t>17880-0C091-00</t>
  </si>
  <si>
    <t>17880-BZ110-00</t>
  </si>
  <si>
    <t>17880-BZ120-00</t>
  </si>
  <si>
    <t>17880-BZ130-00</t>
  </si>
  <si>
    <t>17881-0E021-00</t>
  </si>
  <si>
    <t>17890-BZ010-00</t>
  </si>
  <si>
    <t>45025-02290-00</t>
  </si>
  <si>
    <t>45025-02300-00</t>
  </si>
  <si>
    <t>45025-0A010-00</t>
  </si>
  <si>
    <t>45025-F4030-00</t>
  </si>
  <si>
    <t>45254-BZ330-00</t>
  </si>
  <si>
    <t>45254-BZ340-00</t>
  </si>
  <si>
    <t>77291-02291-00</t>
  </si>
  <si>
    <t>77291-06230-00</t>
  </si>
  <si>
    <t>77291-0A010-00</t>
  </si>
  <si>
    <t>77291-BZ050-00</t>
  </si>
  <si>
    <t>17881-0C130-00</t>
  </si>
  <si>
    <t>48157-0K070-00</t>
  </si>
  <si>
    <t>CAB MTG RUB CTR REB (16X1;6) MOQ 1,000</t>
  </si>
  <si>
    <t>894325-1571</t>
  </si>
  <si>
    <t>7150S0112</t>
  </si>
  <si>
    <t>7150S0104(D)</t>
  </si>
  <si>
    <t>0000100237</t>
  </si>
  <si>
    <t>ISUZU TECHNICAL CENTER</t>
  </si>
  <si>
    <t>8983943861</t>
  </si>
  <si>
    <t>0000100240</t>
  </si>
  <si>
    <t>MARELLI (THAILAND) CO.,LTD.</t>
  </si>
  <si>
    <t>SHEET</t>
  </si>
  <si>
    <t>12361-35050-1</t>
  </si>
  <si>
    <t>12371-05030</t>
  </si>
  <si>
    <t>17880-0C091</t>
  </si>
  <si>
    <t>17881-0C111</t>
  </si>
  <si>
    <t>17881-0E021</t>
  </si>
  <si>
    <t>17881-0L081</t>
  </si>
  <si>
    <t>17881-54410-1</t>
  </si>
  <si>
    <t>17881-BZ320</t>
  </si>
  <si>
    <t>17881-BZ340</t>
  </si>
  <si>
    <t>17881-BZ350</t>
  </si>
  <si>
    <t>17883-BZ050</t>
  </si>
  <si>
    <t>17883-BZ070</t>
  </si>
  <si>
    <t>17890-BZ010</t>
  </si>
  <si>
    <t>77291-BZ050</t>
  </si>
  <si>
    <t>PACKING FUEL PUMP (16x1 5cycle/hr)</t>
  </si>
  <si>
    <t>17515GBJM30</t>
  </si>
  <si>
    <t>91301GF6003</t>
  </si>
  <si>
    <t>91306-GF6-0030 GASKET,RUB. 9MM</t>
  </si>
  <si>
    <t>91306GF6003</t>
  </si>
  <si>
    <t>17881-BZ370-00</t>
  </si>
  <si>
    <t>17890-BZ020-00</t>
  </si>
  <si>
    <t>17890-BZ030-00</t>
  </si>
  <si>
    <t>77291-0G040-00</t>
  </si>
  <si>
    <t>HK3S1-336-00-00</t>
  </si>
  <si>
    <t>HK871-336-10-ST</t>
  </si>
  <si>
    <t>1221590940</t>
  </si>
  <si>
    <t>0000100393</t>
  </si>
  <si>
    <t>77402MJWJ00</t>
  </si>
  <si>
    <t>0000100412</t>
  </si>
  <si>
    <t>NISSEI MIZUKI CO.,LTD.</t>
  </si>
  <si>
    <t>COVER SOCKET (16X1;10)</t>
  </si>
  <si>
    <t>3875796200</t>
  </si>
  <si>
    <t>897234-9670</t>
  </si>
  <si>
    <t>RUBBER ASM;BUMPE(4x3RL,4x1;12min/cl)1026</t>
  </si>
  <si>
    <t>897235-9251</t>
  </si>
  <si>
    <t>898309-7971</t>
  </si>
  <si>
    <t>898309-8821</t>
  </si>
  <si>
    <t>17752-BZ100-J</t>
  </si>
  <si>
    <t>17752-BZ100</t>
  </si>
  <si>
    <t>17752-BZ120-H</t>
  </si>
  <si>
    <t>17752-BZ130-H-SP</t>
  </si>
  <si>
    <t>17752-BZ130</t>
  </si>
  <si>
    <t>12771-21F10</t>
  </si>
  <si>
    <t>12811-25G10</t>
  </si>
  <si>
    <t>21114-23F10</t>
  </si>
  <si>
    <t>41184-41H00</t>
  </si>
  <si>
    <t>BUSH 16x1 5cyc;hr</t>
  </si>
  <si>
    <t>61230-16H10</t>
  </si>
  <si>
    <t>0000100492</t>
  </si>
  <si>
    <t>MAHLE Thermal and Fluid Systems</t>
  </si>
  <si>
    <t>526K-34C0-A5A0-PRO</t>
  </si>
  <si>
    <t>GROM HEATER PIPE</t>
  </si>
  <si>
    <t>526K34C0A5A0</t>
  </si>
  <si>
    <t>97295-24110T-01-B1</t>
  </si>
  <si>
    <t>8975579811</t>
  </si>
  <si>
    <t>0000100557</t>
  </si>
  <si>
    <t>MANN AND HUMMEL (THAILAND) LTD.</t>
  </si>
  <si>
    <t>Clean Air Duct</t>
  </si>
  <si>
    <t>1215093S03</t>
  </si>
  <si>
    <t>250-500-2</t>
  </si>
  <si>
    <t>HCAR2058305</t>
  </si>
  <si>
    <t>GR138403B</t>
  </si>
  <si>
    <t>GR138503B</t>
  </si>
  <si>
    <t>0000100658</t>
  </si>
  <si>
    <t>SCC TECH CO.,LTD.</t>
  </si>
  <si>
    <t>Sprocket Output</t>
  </si>
  <si>
    <t>13144-0597E</t>
  </si>
  <si>
    <t>39961-K26-C100</t>
  </si>
  <si>
    <t>52170-K1T-EB00</t>
  </si>
  <si>
    <t>61146-KZZ-J001</t>
  </si>
  <si>
    <t>42000736</t>
  </si>
  <si>
    <t>S17012-1230</t>
  </si>
  <si>
    <t>48304-E0010B</t>
  </si>
  <si>
    <t>48306-E0011</t>
  </si>
  <si>
    <t>48306-E0021</t>
  </si>
  <si>
    <t>87211-X7A03</t>
  </si>
  <si>
    <t>2A33-125-00</t>
  </si>
  <si>
    <t>RUBBER STEEL BUSH 14x61.8x40</t>
  </si>
  <si>
    <t>2A33-122-00</t>
  </si>
  <si>
    <t>2A33-123-00</t>
  </si>
  <si>
    <t>2A33-124-00</t>
  </si>
  <si>
    <t>2A33-127-00</t>
  </si>
  <si>
    <t>0000100769</t>
  </si>
  <si>
    <t>Daihatsu Asia Trading (Thailand)</t>
  </si>
  <si>
    <t>Trading company</t>
  </si>
  <si>
    <t>SHIELD,STEERING COLUMN HOLE</t>
  </si>
  <si>
    <t>Hose-Air, Inlet</t>
  </si>
  <si>
    <t>14566W010P</t>
  </si>
  <si>
    <t>12046-1165</t>
  </si>
  <si>
    <t>DAMPER(42x1;4Cyc/Hr) 12 min/Cyc..</t>
  </si>
  <si>
    <t>92161-1284</t>
  </si>
  <si>
    <t>92161F22-006A</t>
  </si>
  <si>
    <t>DAMPER</t>
  </si>
  <si>
    <t>92161-2777</t>
  </si>
  <si>
    <t>700.1.097.1A</t>
  </si>
  <si>
    <t>16575W010PG</t>
  </si>
  <si>
    <t>16578W000PG</t>
  </si>
  <si>
    <t>3204A005G</t>
  </si>
  <si>
    <t>95641431</t>
  </si>
  <si>
    <t>6508817700</t>
  </si>
  <si>
    <t>GASKET R 108 (4X2RL;3)</t>
  </si>
  <si>
    <t>9888279000</t>
  </si>
  <si>
    <t>0000300128</t>
  </si>
  <si>
    <t>GENERAL MOTORS DO BRASIL LTDA</t>
  </si>
  <si>
    <t>BUMP RUBBER;REAR 6x1 6cyc/hr</t>
  </si>
  <si>
    <t>Export</t>
  </si>
  <si>
    <t>97235925</t>
  </si>
  <si>
    <t>0000400002</t>
  </si>
  <si>
    <t>INOAC INTERNATIONAL CO.,LTD.</t>
  </si>
  <si>
    <t>GL1400-90004-PRO</t>
  </si>
  <si>
    <t>SEALING,POWER BACK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</si>
</sst>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8" formatCode="&quot;£&quot;#,##0.00;[Red]\-&quot;£&quot;#,##0.00"/>
    <numFmt numFmtId="41" formatCode="_-* #,##0_-;\-* #,##0_-;_-* &quot;-&quot;_-;_-@_-"/>
    <numFmt numFmtId="43" formatCode="_-* #,##0.00_-;\-* #,##0.00_-;_-* &quot;-&quot;??_-;_-@_-"/>
    <numFmt numFmtId="164" formatCode="&quot;฿&quot;#,##0;\-&quot;฿&quot;#,##0"/>
    <numFmt numFmtId="165" formatCode="_-&quot;฿&quot;* #,##0_-;\-&quot;฿&quot;* #,##0_-;_-&quot;฿&quot;* &quot;-&quot;_-;_-@_-"/>
    <numFmt numFmtId="166" formatCode="_-&quot;฿&quot;* #,##0.00_-;\-&quot;฿&quot;* #,##0.00_-;_-&quot;฿&quot;* &quot;-&quot;??_-;_-@_-"/>
    <numFmt numFmtId="167" formatCode="&quot;$&quot;#,##0_);[Red]\(&quot;$&quot;#,##0\)"/>
    <numFmt numFmtId="168" formatCode="&quot;$&quot;#,##0.00_);[Red]\(&quot;$&quot;#,##0.00\)"/>
    <numFmt numFmtId="169" formatCode="_(&quot;$&quot;* #,##0_);_(&quot;$&quot;* \(#,##0\);_(&quot;$&quot;* &quot;-&quot;_);_(@_)"/>
    <numFmt numFmtId="170" formatCode="_(* #,##0_);_(* \(#,##0\);_(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0.0"/>
    <numFmt numFmtId="174" formatCode="_-* #,##0_-;\-* #,##0_-;_-* &quot;-&quot;??_-;_-@_-"/>
    <numFmt numFmtId="175" formatCode="#,###"/>
    <numFmt numFmtId="176" formatCode="&quot;¥&quot;#,##0.00;[Red]&quot;¥&quot;\-#,##0.00"/>
    <numFmt numFmtId="177" formatCode="_ &quot;¥&quot;* #,##0_ ;_ &quot;¥&quot;* \-#,##0_ ;_ &quot;¥&quot;* &quot;-&quot;_ ;_ @_ "/>
    <numFmt numFmtId="178" formatCode="_ * #,##0_ ;_ * \-#,##0_ ;_ * &quot;-&quot;_ ;_ @_ "/>
    <numFmt numFmtId="179" formatCode="0.00000%"/>
    <numFmt numFmtId="180" formatCode="_(&quot;$&quot;* #,##0.0_);_(&quot;$&quot;* \(#,##0.0\);_(&quot;$&quot;* &quot;-&quot;??_);_(@_)"/>
    <numFmt numFmtId="181" formatCode="_ * #,##0.00_ ;_ * \-#,##0.00_ ;_ * &quot;-&quot;??_ ;_ @_ "/>
    <numFmt numFmtId="182" formatCode="_ &quot;¥&quot;* #,##0.00_ ;_ &quot;¥&quot;* \-#,##0.00_ ;_ &quot;¥&quot;* &quot;-&quot;??_ ;_ @_ "/>
    <numFmt numFmtId="183" formatCode="&quot;$&quot;#,##0;[Red]\-&quot;$&quot;#,##0"/>
    <numFmt numFmtId="184" formatCode="General_)"/>
    <numFmt numFmtId="185" formatCode="_-* #,##0\ &quot;F&quot;_-;\-* #,##0\ &quot;F&quot;_-;_-* &quot;-&quot;\ &quot;F&quot;_-;_-@_-"/>
    <numFmt numFmtId="186" formatCode="_(&quot;฿&quot;* #,##0.00_);_(&quot;฿&quot;* \(#,##0.00\);_(&quot;฿&quot;* &quot;-&quot;??_);_(@_)"/>
    <numFmt numFmtId="187" formatCode="&quot;¥&quot;#,##0;[Red]&quot;¥&quot;\-#,##0"/>
    <numFmt numFmtId="188" formatCode="_(* #,##0.000_);_(* \(#,##0.000\);_(* &quot;-&quot;??_);_(@_)"/>
    <numFmt numFmtId="189" formatCode="_-&quot;$&quot;* #,##0_-;\-&quot;$&quot;* #,##0_-;_-&quot;$&quot;* &quot;-&quot;_-;_-@_-"/>
    <numFmt numFmtId="190" formatCode="\a\a\a\a&quot;, &quot;\o\o\o\o\ dd&quot;, &quot;yyyy"/>
    <numFmt numFmtId="191" formatCode="#,##0;\-#,##0;&quot;-&quot;"/>
    <numFmt numFmtId="192" formatCode="#,##0;\(#,##0\)"/>
    <numFmt numFmtId="193" formatCode="\$#,##0\ ;\(\$#,##0\)"/>
    <numFmt numFmtId="194" formatCode="\t#,##0"/>
    <numFmt numFmtId="195" formatCode="#."/>
    <numFmt numFmtId="196" formatCode="\t&quot;฿&quot;#,##0.00_);\(\t&quot;฿&quot;#,##0.00\)"/>
    <numFmt numFmtId="197" formatCode="_-* #,##0.00\ _P_t_s_-;\-* #,##0.00\ _P_t_s_-;_-* &quot;-&quot;??\ _P_t_s_-;_-@_-"/>
    <numFmt numFmtId="198" formatCode="\t#,##0_);\(\t#,##0\)"/>
    <numFmt numFmtId="199" formatCode="_([$€-2]* #,##0.00_);_([$€-2]* \(#,##0.00\);_([$€-2]* &quot;-&quot;??_)"/>
    <numFmt numFmtId="200" formatCode="\t&quot;฿&quot;#,##0_);\(\t&quot;฿&quot;#,##0\)"/>
    <numFmt numFmtId="201" formatCode="\t&quot;฿&quot;#,##0_);[Red]\(\t&quot;฿&quot;#,##0\)"/>
    <numFmt numFmtId="202" formatCode="0.0%;[Red]\(0.0%\)"/>
    <numFmt numFmtId="203" formatCode="&quot;$&quot;#,##0.00;[Red]\-&quot;$&quot;#,##0.00"/>
    <numFmt numFmtId="204" formatCode="0.00_)"/>
    <numFmt numFmtId="205" formatCode="&quot;$&quot;#.##"/>
    <numFmt numFmtId="206" formatCode="&quot;$&quot;#,##0.0000_);\(&quot;$&quot;#,##0.0000\)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0.00%;[Red]\-0.00%;&quot;－&quot;"/>
    <numFmt numFmtId="210" formatCode="\t#\ ?/?"/>
    <numFmt numFmtId="211" formatCode="\t0.00E+00"/>
    <numFmt numFmtId="212" formatCode="#,##0,"/>
    <numFmt numFmtId="213" formatCode="&quot;¥&quot;#,##0.00;[Red]\-&quot;¥&quot;#,##0.00"/>
    <numFmt numFmtId="214" formatCode="_ * #,##0.0000_ ;_ * \-#,##0.0000_ ;_ * &quot;-&quot;????_ ;_ @_ "/>
    <numFmt numFmtId="215" formatCode="yyyy\.mm\.dd"/>
    <numFmt numFmtId="216" formatCode="_-&quot;ﾟ&quot;* #,##0_-;\-&quot;ﾟ&quot;* #,##0_-;_-&quot;ﾟ&quot;* &quot;-&quot;_-;_-@_-"/>
    <numFmt numFmtId="217" formatCode="_-&quot;ﾟ&quot;* #,##0.00_-;\-&quot;ﾟ&quot;* #,##0.00_-;_-&quot;ﾟ&quot;* &quot;-&quot;??_-;_-@_-"/>
    <numFmt numFmtId="218" formatCode="0.000"/>
  </numFmts>
  <fonts count="273">
    <font>
      <sz val="11"/>
      <color theme="1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1"/>
      <name val="Tahoma"/>
      <family val="2"/>
    </font>
    <font>
      <sz val="11"/>
      <color theme="1"/>
      <name val="Courier New"/>
      <family val="2"/>
      <charset val="222"/>
    </font>
    <font>
      <sz val="11"/>
      <color rgb="FF9C0006"/>
      <name val="Courier New"/>
      <family val="2"/>
      <charset val="222"/>
    </font>
    <font>
      <b/>
      <sz val="11"/>
      <color rgb="FFFA7D00"/>
      <name val="Courier New"/>
      <family val="2"/>
      <charset val="222"/>
    </font>
    <font>
      <b/>
      <sz val="11"/>
      <color theme="0"/>
      <name val="Courier New"/>
      <family val="2"/>
      <charset val="222"/>
    </font>
    <font>
      <sz val="11"/>
      <color rgb="FF3F3F76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scheme val="minor"/>
    </font>
    <font>
      <b/>
      <sz val="11"/>
      <color rgb="FF3F3F3F"/>
      <name val="Courier New"/>
      <family val="2"/>
      <charset val="22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FA7D00"/>
      <name val="Calibri"/>
      <family val="2"/>
    </font>
    <font>
      <b/>
      <sz val="11"/>
      <color rgb="FF3F3F3F"/>
      <name val="Calibri"/>
      <family val="2"/>
    </font>
    <font>
      <sz val="11"/>
      <color rgb="FF3F3F76"/>
      <name val="Calibri"/>
      <family val="2"/>
    </font>
    <font>
      <b/>
      <sz val="28"/>
      <color theme="1"/>
      <name val="Calibri"/>
      <family val="2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8"/>
      <color indexed="81"/>
      <name val="Tahoma"/>
      <family val="2"/>
    </font>
    <font>
      <b/>
      <sz val="28"/>
      <color indexed="81"/>
      <name val="Tahoma"/>
      <family val="2"/>
    </font>
    <font>
      <sz val="8"/>
      <color theme="1"/>
      <name val="Calibri"/>
      <family val="2"/>
    </font>
    <font>
      <sz val="14"/>
      <color indexed="81"/>
      <name val="Tahoma"/>
      <family val="2"/>
    </font>
    <font>
      <sz val="12"/>
      <name val="Arial"/>
      <family val="2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4"/>
      <name val="Cordia New"/>
      <family val="2"/>
    </font>
    <font>
      <b/>
      <sz val="11"/>
      <color rgb="FF3F3F3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8"/>
      <name val="新細明體"/>
      <family val="1"/>
    </font>
    <font>
      <sz val="10"/>
      <name val="System"/>
      <family val="2"/>
    </font>
    <font>
      <sz val="12"/>
      <name val="ｷsｲﾓｩ愰 "/>
      <family val="1"/>
      <charset val="128"/>
    </font>
    <font>
      <sz val="11"/>
      <name val="ＭＳ Ｐゴシック"/>
      <family val="3"/>
      <charset val="128"/>
    </font>
    <font>
      <sz val="11"/>
      <name val="｢ﾛ｢・｢ﾞ????"/>
      <family val="3"/>
      <charset val="128"/>
    </font>
    <font>
      <sz val="10"/>
      <name val="ｲﾓｩ愰 "/>
      <family val="1"/>
      <charset val="128"/>
    </font>
    <font>
      <sz val="11"/>
      <name val="?? ????"/>
      <family val="3"/>
    </font>
    <font>
      <sz val="11"/>
      <name val="?? ?????"/>
      <family val="3"/>
      <charset val="128"/>
    </font>
    <font>
      <sz val="12"/>
      <name val="???"/>
      <family val="1"/>
      <charset val="129"/>
    </font>
    <font>
      <sz val="14"/>
      <name val="?? ??"/>
      <family val="3"/>
      <charset val="128"/>
    </font>
    <font>
      <sz val="11"/>
      <name val="??? "/>
      <family val="3"/>
      <charset val="128"/>
    </font>
    <font>
      <b/>
      <sz val="9"/>
      <name val="?? ?"/>
      <family val="3"/>
      <charset val="128"/>
    </font>
    <font>
      <u/>
      <sz val="11"/>
      <color indexed="12"/>
      <name val="?? ?????"/>
      <family val="3"/>
      <charset val="128"/>
    </font>
    <font>
      <u/>
      <sz val="11"/>
      <color indexed="36"/>
      <name val="?? ?????"/>
      <family val="3"/>
      <charset val="128"/>
    </font>
    <font>
      <sz val="14"/>
      <name val="AngsanaUPC"/>
      <family val="1"/>
      <charset val="222"/>
    </font>
    <font>
      <sz val="11"/>
      <name val="lr oSVbN"/>
      <family val="2"/>
      <charset val="128"/>
    </font>
    <font>
      <u/>
      <sz val="10"/>
      <color indexed="12"/>
      <name val="???"/>
      <family val="3"/>
      <charset val="128"/>
    </font>
    <font>
      <sz val="12"/>
      <name val="??????"/>
      <family val="1"/>
      <charset val="128"/>
    </font>
    <font>
      <sz val="14"/>
      <name val="System"/>
      <family val="2"/>
    </font>
    <font>
      <sz val="14"/>
      <name val="lr ??f?"/>
      <family val="1"/>
      <charset val="128"/>
    </font>
    <font>
      <sz val="8"/>
      <name val="?? ?"/>
      <family val="3"/>
      <charset val="128"/>
    </font>
    <font>
      <sz val="10"/>
      <name val="2OcuA "/>
      <family val="1"/>
    </font>
    <font>
      <sz val="12"/>
      <name val="Courier"/>
      <family val="3"/>
    </font>
    <font>
      <u/>
      <sz val="11"/>
      <color indexed="36"/>
      <name val="ＭＳ Ｐゴシック"/>
      <family val="3"/>
      <charset val="128"/>
    </font>
    <font>
      <u/>
      <sz val="8.25"/>
      <color indexed="36"/>
      <name val="RlRr Ro?S?V?b?N"/>
      <family val="3"/>
    </font>
    <font>
      <u/>
      <sz val="11"/>
      <color indexed="36"/>
      <name val="lr oSVbN"/>
      <family val="3"/>
      <charset val="128"/>
    </font>
    <font>
      <sz val="14"/>
      <name val="lr –?’?"/>
      <family val="1"/>
      <charset val="128"/>
    </font>
    <font>
      <sz val="11"/>
      <name val="??? "/>
      <family val="3"/>
    </font>
    <font>
      <sz val="10"/>
      <name val="???? "/>
      <family val="1"/>
    </font>
    <font>
      <sz val="12"/>
      <name val="・s2OcuAe"/>
      <family val="1"/>
      <charset val="128"/>
    </font>
    <font>
      <u/>
      <sz val="8.25"/>
      <color indexed="12"/>
      <name val="RlRr Ro?S?V?b?N"/>
      <family val="3"/>
    </font>
    <font>
      <sz val="14"/>
      <name val="System"/>
      <family val="2"/>
      <charset val="222"/>
    </font>
    <font>
      <sz val="11"/>
      <name val="??f?"/>
      <family val="1"/>
      <charset val="128"/>
    </font>
    <font>
      <u/>
      <sz val="10"/>
      <color indexed="14"/>
      <name val="???"/>
      <family val="3"/>
      <charset val="128"/>
    </font>
    <font>
      <sz val="12"/>
      <color indexed="8"/>
      <name val="???"/>
      <family val="3"/>
      <charset val="128"/>
    </font>
    <font>
      <sz val="9"/>
      <name val=" "/>
      <family val="3"/>
      <charset val="255"/>
    </font>
    <font>
      <sz val="11"/>
      <name val=" "/>
      <family val="1"/>
      <charset val="255"/>
    </font>
    <font>
      <sz val="10"/>
      <color indexed="8"/>
      <name val="Arial"/>
      <family val="2"/>
    </font>
    <font>
      <sz val="12"/>
      <name val="นูลมรผ"/>
      <family val="1"/>
      <charset val="129"/>
    </font>
    <font>
      <sz val="10"/>
      <name val="MS Sans Serif"/>
      <family val="2"/>
    </font>
    <font>
      <sz val="10"/>
      <color indexed="8"/>
      <name val="MS Sans Serif"/>
      <family val="2"/>
    </font>
    <font>
      <sz val="12"/>
      <name val="นูลมรผ"/>
      <family val="2"/>
    </font>
    <font>
      <sz val="11"/>
      <name val="?l?r ?o?S?V?b?N"/>
      <family val="3"/>
    </font>
    <font>
      <sz val="11"/>
      <name val="®l®r ®o™S™V™b™N"/>
      <family val="3"/>
      <charset val="128"/>
    </font>
    <font>
      <sz val="11"/>
      <name val="‚l‚r ‚oƒSƒVƒbƒN"/>
      <family val="2"/>
    </font>
    <font>
      <sz val="11"/>
      <name val="Verdana"/>
      <family val="2"/>
    </font>
    <font>
      <sz val="16"/>
      <name val="AngsanaUPC"/>
      <family val="1"/>
      <charset val="222"/>
    </font>
    <font>
      <sz val="14"/>
      <name val="ＭＳ ・・"/>
      <family val="1"/>
      <charset val="128"/>
    </font>
    <font>
      <u/>
      <sz val="11"/>
      <color indexed="36"/>
      <name val="®l®r ®o™S™V™b™N"/>
      <family val="3"/>
      <charset val="128"/>
    </font>
    <font>
      <sz val="11"/>
      <name val="–?’?"/>
      <family val="1"/>
      <charset val="128"/>
    </font>
    <font>
      <sz val="14"/>
      <name val="AngsanaUPC"/>
      <family val="2"/>
    </font>
    <font>
      <u/>
      <sz val="11"/>
      <color indexed="36"/>
      <name val="lr oSVbN"/>
      <family val="3"/>
    </font>
    <font>
      <sz val="14"/>
      <name val="lr ¾©"/>
      <family val="1"/>
      <charset val="128"/>
    </font>
    <font>
      <sz val="11"/>
      <color indexed="8"/>
      <name val="®l®r ®o™S™V™b™N"/>
      <family val="3"/>
      <charset val="128"/>
    </font>
    <font>
      <sz val="11"/>
      <color indexed="8"/>
      <name val="lr oSVbN"/>
      <family val="3"/>
    </font>
    <font>
      <sz val="12"/>
      <name val="Helv"/>
      <family val="2"/>
    </font>
    <font>
      <sz val="14"/>
      <name val="lr Ec"/>
      <family val="1"/>
      <charset val="128"/>
    </font>
    <font>
      <sz val="11"/>
      <color indexed="8"/>
      <name val="lr oSVbN"/>
      <family val="3"/>
      <charset val="128"/>
    </font>
    <font>
      <sz val="14"/>
      <name val="CordiaUPC"/>
      <family val="2"/>
    </font>
    <font>
      <sz val="11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u/>
      <sz val="11"/>
      <color indexed="12"/>
      <name val="lr oSVbN"/>
      <family val="3"/>
    </font>
    <font>
      <sz val="12"/>
      <name val="¹ÙÅÁÃ¼"/>
      <family val="1"/>
      <charset val="128"/>
    </font>
    <font>
      <sz val="11"/>
      <color indexed="8"/>
      <name val="ＭＳ Ｐゴシック"/>
      <family val="3"/>
      <charset val="128"/>
    </font>
    <font>
      <sz val="14"/>
      <name val="Terminal"/>
      <family val="3"/>
      <charset val="255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sz val="14"/>
      <name val="AngsanaUPC"/>
      <family val="1"/>
    </font>
    <font>
      <sz val="12"/>
      <name val="?UAAA?"/>
      <family val="3"/>
      <charset val="129"/>
    </font>
    <font>
      <sz val="11"/>
      <name val="Arial"/>
      <family val="2"/>
    </font>
    <font>
      <sz val="11"/>
      <name val="μ，? "/>
      <family val="3"/>
      <charset val="128"/>
    </font>
    <font>
      <sz val="11"/>
      <name val="µ¸¿ "/>
      <family val="3"/>
      <charset val="128"/>
    </font>
    <font>
      <sz val="11"/>
      <name val="ÊC? "/>
      <family val="3"/>
      <charset val="128"/>
    </font>
    <font>
      <sz val="12"/>
      <name val="¹UAAA¼"/>
      <family val="3"/>
    </font>
    <font>
      <sz val="10"/>
      <name val="Times New Roman"/>
      <family val="1"/>
    </font>
    <font>
      <sz val="10"/>
      <name val="Helv"/>
      <family val="2"/>
    </font>
    <font>
      <b/>
      <sz val="10"/>
      <name val="Helv"/>
      <family val="2"/>
    </font>
    <font>
      <sz val="11"/>
      <name val="Tahoma"/>
      <family val="2"/>
    </font>
    <font>
      <sz val="11"/>
      <color indexed="8"/>
      <name val="Calibri"/>
      <family val="2"/>
      <charset val="128"/>
    </font>
    <font>
      <sz val="14"/>
      <name val="Cordia New"/>
      <family val="2"/>
      <charset val="222"/>
    </font>
    <font>
      <sz val="8"/>
      <name val="Arial"/>
      <family val="2"/>
    </font>
    <font>
      <sz val="10"/>
      <color indexed="8"/>
      <name val="ＭＳ Ｐゴシック"/>
      <family val="3"/>
      <charset val="128"/>
    </font>
    <font>
      <b/>
      <sz val="10"/>
      <name val="Tms Rmn"/>
      <family val="1"/>
    </font>
    <font>
      <sz val="12"/>
      <name val="lr SVbN"/>
      <family val="3"/>
      <charset val="128"/>
    </font>
    <font>
      <sz val="12"/>
      <name val="ＭＳ Ｐゴシック"/>
      <family val="3"/>
      <charset val="128"/>
    </font>
    <font>
      <sz val="10"/>
      <name val="Univers (WN)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sz val="11"/>
      <color indexed="8"/>
      <name val="Tahoma"/>
      <family val="2"/>
      <charset val="222"/>
    </font>
    <font>
      <i/>
      <sz val="10"/>
      <color indexed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i/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sz val="10"/>
      <name val="?? ????"/>
      <family val="3"/>
    </font>
    <font>
      <sz val="10"/>
      <name val="ＭＳ ゴシック"/>
      <family val="3"/>
      <charset val="128"/>
    </font>
    <font>
      <b/>
      <sz val="14"/>
      <name val="Helv"/>
      <family val="2"/>
    </font>
    <font>
      <b/>
      <sz val="11"/>
      <name val="Helv"/>
      <family val="2"/>
    </font>
    <font>
      <sz val="12"/>
      <name val="ＭＳ 明朝"/>
      <family val="1"/>
      <charset val="128"/>
    </font>
    <font>
      <sz val="7"/>
      <name val="Small Fonts"/>
      <family val="2"/>
    </font>
    <font>
      <b/>
      <sz val="9"/>
      <color indexed="9"/>
      <name val="ＭＳ 明朝"/>
      <family val="1"/>
      <charset val="128"/>
    </font>
    <font>
      <b/>
      <i/>
      <sz val="16"/>
      <name val="Helv"/>
      <family val="2"/>
    </font>
    <font>
      <sz val="9"/>
      <name val="Tms Rmn"/>
      <family val="1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</font>
    <font>
      <sz val="11"/>
      <name val="Helvetica"/>
      <family val="2"/>
    </font>
    <font>
      <sz val="10"/>
      <name val="MS Sans Serif"/>
      <family val="2"/>
      <charset val="222"/>
    </font>
    <font>
      <sz val="11"/>
      <color theme="1"/>
      <name val="Calibri"/>
      <family val="2"/>
      <charset val="128"/>
      <scheme val="minor"/>
    </font>
    <font>
      <sz val="11"/>
      <color indexed="8"/>
      <name val="Tahoma"/>
      <family val="2"/>
    </font>
    <font>
      <sz val="11"/>
      <color indexed="8"/>
      <name val="Tahoma"/>
      <family val="3"/>
      <charset val="128"/>
    </font>
    <font>
      <sz val="10"/>
      <color indexed="19"/>
      <name val="Arial"/>
      <family val="2"/>
    </font>
    <font>
      <sz val="9"/>
      <name val="ＭＳ 明朝"/>
      <family val="1"/>
      <charset val="128"/>
    </font>
    <font>
      <i/>
      <sz val="10"/>
      <color indexed="23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0"/>
      <name val="Arial"/>
      <family val="2"/>
    </font>
    <font>
      <sz val="10"/>
      <name val="中ゴシックＢＢＢ－等幅"/>
      <family val="1"/>
      <charset val="128"/>
    </font>
    <font>
      <sz val="10"/>
      <name val="Tahoma"/>
      <family val="2"/>
    </font>
    <font>
      <b/>
      <u/>
      <sz val="12"/>
      <color indexed="10"/>
      <name val="ＭＳ Ｐゴシック"/>
      <family val="3"/>
      <charset val="128"/>
    </font>
    <font>
      <sz val="24"/>
      <color indexed="13"/>
      <name val="Helv"/>
      <family val="2"/>
    </font>
    <font>
      <u/>
      <sz val="11"/>
      <color indexed="12"/>
      <name val="®l®r ®o™S™V™b™N"/>
      <family val="3"/>
      <charset val="128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u/>
      <sz val="10"/>
      <color indexed="14"/>
      <name val="ｷsｲﾓｩ愰 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name val="ｹﾙﾅﾁﾃｼ"/>
      <family val="3"/>
      <charset val="128"/>
    </font>
    <font>
      <sz val="16"/>
      <name val="AngsanaUPC"/>
      <family val="1"/>
    </font>
    <font>
      <b/>
      <sz val="11"/>
      <color indexed="10"/>
      <name val="ＭＳ Ｐゴシック"/>
      <family val="3"/>
      <charset val="128"/>
    </font>
    <font>
      <sz val="11"/>
      <name val="ｩ嶸ﾂ"/>
      <family val="1"/>
      <charset val="128"/>
    </font>
    <font>
      <b/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u/>
      <sz val="9.35"/>
      <color indexed="12"/>
      <name val="lr oSVbN"/>
      <family val="3"/>
      <charset val="128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u/>
      <sz val="9.35"/>
      <color indexed="36"/>
      <name val="lr oSVbN"/>
      <family val="3"/>
      <charset val="128"/>
    </font>
    <font>
      <sz val="12"/>
      <name val="นูลมรผ"/>
      <family val="1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name val="ตธฟ๒"/>
      <family val="1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ＭＳ ゴシック"/>
      <family val="3"/>
      <charset val="128"/>
    </font>
    <font>
      <sz val="9"/>
      <color indexed="8"/>
      <name val="???"/>
      <family val="3"/>
      <charset val="128"/>
    </font>
    <font>
      <sz val="9"/>
      <color indexed="8"/>
      <name val="?"/>
      <family val="3"/>
      <charset val="255"/>
    </font>
    <font>
      <sz val="8"/>
      <name val=" "/>
      <family val="3"/>
      <charset val="255"/>
    </font>
    <font>
      <u/>
      <sz val="10"/>
      <color indexed="14"/>
      <name val="?"/>
      <family val="3"/>
      <charset val="255"/>
    </font>
    <font>
      <b/>
      <sz val="9"/>
      <name val=" "/>
      <family val="3"/>
      <charset val="255"/>
    </font>
    <font>
      <u/>
      <sz val="10"/>
      <color indexed="12"/>
      <name val="?"/>
      <family val="3"/>
      <charset val="255"/>
    </font>
    <font>
      <sz val="12"/>
      <color indexed="8"/>
      <name val="?"/>
      <family val="3"/>
      <charset val="255"/>
    </font>
    <font>
      <sz val="14"/>
      <name val="뼻뮝"/>
      <family val="3"/>
    </font>
    <font>
      <sz val="12"/>
      <name val="뼻뮝"/>
      <family val="3"/>
    </font>
    <font>
      <sz val="11"/>
      <name val="돋움"/>
      <family val="2"/>
    </font>
    <font>
      <sz val="12"/>
      <name val=".VnTime"/>
      <family val="2"/>
    </font>
    <font>
      <sz val="12"/>
      <name val="바탕체"/>
      <family val="3"/>
    </font>
    <font>
      <sz val="10"/>
      <name val="굴림체"/>
      <family val="3"/>
    </font>
    <font>
      <sz val="10"/>
      <name val="細明?"/>
      <family val="3"/>
      <charset val="128"/>
    </font>
    <font>
      <sz val="12"/>
      <name val="新細明體"/>
      <family val="1"/>
    </font>
    <font>
      <b/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細明體"/>
      <family val="3"/>
      <charset val="128"/>
    </font>
    <font>
      <sz val="11"/>
      <color indexed="20"/>
      <name val="ＭＳ Ｐゴシック"/>
      <family val="3"/>
      <charset val="128"/>
    </font>
    <font>
      <sz val="9"/>
      <color indexed="8"/>
      <name val="RlRr Ro?S?V?b?N"/>
      <family val="3"/>
    </font>
    <font>
      <sz val="11"/>
      <name val="標準ゴシック"/>
      <family val="3"/>
      <charset val="128"/>
    </font>
    <font>
      <sz val="14"/>
      <name val="ＭＳ 明朝"/>
      <family val="1"/>
      <charset val="128"/>
    </font>
    <font>
      <sz val="11"/>
      <color indexed="8"/>
      <name val="ＭＳ Ｐゴシック"/>
      <family val="2"/>
      <charset val="128"/>
    </font>
    <font>
      <sz val="12"/>
      <color indexed="8"/>
      <name val="新細明?"/>
      <family val="3"/>
      <charset val="128"/>
    </font>
    <font>
      <sz val="11"/>
      <color indexed="8"/>
      <name val="Tahoma"/>
      <family val="2"/>
      <charset val="128"/>
    </font>
    <font>
      <sz val="8"/>
      <name val="ＭＳ 明朝"/>
      <family val="1"/>
      <charset val="128"/>
    </font>
    <font>
      <sz val="14"/>
      <name val="ＭＳ ・団"/>
      <family val="1"/>
      <charset val="128"/>
    </font>
    <font>
      <sz val="11"/>
      <color indexed="17"/>
      <name val="ＭＳ Ｐゴシック"/>
      <family val="3"/>
      <charset val="128"/>
    </font>
    <font>
      <u/>
      <sz val="10"/>
      <color indexed="14"/>
      <name val="新細明體"/>
      <family val="1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i/>
      <sz val="12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9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2875">
    <xf numFmtId="0" fontId="0" fillId="0" borderId="0"/>
    <xf numFmtId="0" fontId="13" fillId="3" borderId="0" applyNumberFormat="0" applyBorder="0" applyAlignment="0" applyProtection="0"/>
    <xf numFmtId="0" fontId="14" fillId="4" borderId="18" applyNumberFormat="0" applyAlignment="0" applyProtection="0"/>
    <xf numFmtId="0" fontId="15" fillId="5" borderId="19" applyNumberFormat="0" applyAlignment="0" applyProtection="0"/>
    <xf numFmtId="0" fontId="16" fillId="7" borderId="18" applyNumberFormat="0" applyAlignment="0" applyProtection="0"/>
    <xf numFmtId="0" fontId="17" fillId="0" borderId="0"/>
    <xf numFmtId="0" fontId="18" fillId="0" borderId="0"/>
    <xf numFmtId="0" fontId="9" fillId="0" borderId="0"/>
    <xf numFmtId="0" fontId="19" fillId="0" borderId="0"/>
    <xf numFmtId="0" fontId="20" fillId="4" borderId="21" applyNumberFormat="0" applyAlignment="0" applyProtection="0"/>
    <xf numFmtId="9" fontId="1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6" fillId="0" borderId="0"/>
    <xf numFmtId="0" fontId="7" fillId="22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18" applyNumberFormat="0" applyAlignment="0" applyProtection="0"/>
    <xf numFmtId="0" fontId="39" fillId="5" borderId="19" applyNumberFormat="0" applyAlignment="0" applyProtection="0"/>
    <xf numFmtId="0" fontId="40" fillId="6" borderId="0" applyNumberFormat="0" applyBorder="0" applyAlignment="0" applyProtection="0"/>
    <xf numFmtId="0" fontId="41" fillId="7" borderId="18" applyNumberFormat="0" applyAlignment="0" applyProtection="0"/>
    <xf numFmtId="0" fontId="42" fillId="0" borderId="20" applyNumberFormat="0" applyFill="0" applyAlignment="0" applyProtection="0"/>
    <xf numFmtId="0" fontId="43" fillId="8" borderId="0" applyNumberFormat="0" applyBorder="0" applyAlignment="0" applyProtection="0"/>
    <xf numFmtId="0" fontId="44" fillId="0" borderId="0"/>
    <xf numFmtId="0" fontId="36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7" fillId="21" borderId="27" applyNumberFormat="0" applyFont="0" applyAlignment="0" applyProtection="0"/>
    <xf numFmtId="0" fontId="7" fillId="21" borderId="27" applyNumberFormat="0" applyFont="0" applyAlignment="0" applyProtection="0"/>
    <xf numFmtId="0" fontId="45" fillId="4" borderId="21" applyNumberFormat="0" applyAlignment="0" applyProtection="0"/>
    <xf numFmtId="0" fontId="46" fillId="0" borderId="0" applyNumberFormat="0" applyFill="0" applyBorder="0" applyAlignment="0" applyProtection="0"/>
    <xf numFmtId="0" fontId="47" fillId="0" borderId="29" applyNumberFormat="0" applyFill="0" applyAlignment="0" applyProtection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32" applyNumberFormat="0" applyFill="0" applyAlignment="0" applyProtection="0"/>
    <xf numFmtId="0" fontId="53" fillId="34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53" fillId="37" borderId="0" applyNumberFormat="0" applyBorder="0" applyAlignment="0" applyProtection="0"/>
    <xf numFmtId="0" fontId="53" fillId="38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3" fillId="39" borderId="0" applyNumberFormat="0" applyBorder="0" applyAlignment="0" applyProtection="0"/>
    <xf numFmtId="0" fontId="53" fillId="4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53" fillId="41" borderId="0" applyNumberFormat="0" applyBorder="0" applyAlignment="0" applyProtection="0"/>
    <xf numFmtId="0" fontId="53" fillId="42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3" fillId="43" borderId="0" applyNumberFormat="0" applyBorder="0" applyAlignment="0" applyProtection="0"/>
    <xf numFmtId="0" fontId="53" fillId="44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3" fillId="45" borderId="0" applyNumberFormat="0" applyBorder="0" applyAlignment="0" applyProtection="0"/>
    <xf numFmtId="0" fontId="54" fillId="0" borderId="0"/>
    <xf numFmtId="0" fontId="6" fillId="21" borderId="27" applyNumberFormat="0" applyFont="0" applyAlignment="0" applyProtection="0"/>
    <xf numFmtId="0" fontId="5" fillId="21" borderId="27" applyNumberFormat="0" applyFont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5" fillId="0" borderId="0"/>
    <xf numFmtId="0" fontId="4" fillId="21" borderId="27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56" fillId="0" borderId="0"/>
    <xf numFmtId="175" fontId="57" fillId="0" borderId="0"/>
    <xf numFmtId="0" fontId="58" fillId="0" borderId="0"/>
    <xf numFmtId="0" fontId="59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2" fillId="0" borderId="0"/>
    <xf numFmtId="0" fontId="59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62" fillId="0" borderId="0" applyFont="0" applyFill="0" applyBorder="0" applyAlignment="0" applyProtection="0"/>
    <xf numFmtId="0" fontId="63" fillId="0" borderId="0"/>
    <xf numFmtId="176" fontId="64" fillId="0" borderId="0" applyFont="0" applyFill="0" applyBorder="0" applyAlignment="0" applyProtection="0"/>
    <xf numFmtId="176" fontId="65" fillId="0" borderId="0" applyFont="0" applyFill="0" applyBorder="0" applyAlignment="0" applyProtection="0"/>
    <xf numFmtId="0" fontId="66" fillId="0" borderId="0"/>
    <xf numFmtId="177" fontId="67" fillId="0" borderId="0" applyFont="0" applyFill="0" applyBorder="0" applyAlignment="0" applyProtection="0"/>
    <xf numFmtId="0" fontId="68" fillId="46" borderId="33" applyNumberFormat="0" applyAlignment="0"/>
    <xf numFmtId="172" fontId="56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178" fontId="71" fillId="0" borderId="0" applyFont="0" applyFill="0" applyBorder="0" applyAlignment="0" applyProtection="0"/>
    <xf numFmtId="179" fontId="64" fillId="0" borderId="0" applyFont="0" applyFill="0" applyBorder="0" applyAlignment="0" applyProtection="0"/>
    <xf numFmtId="180" fontId="72" fillId="0" borderId="0" applyFont="0" applyFill="0" applyBorder="0" applyAlignment="0" applyProtection="0"/>
    <xf numFmtId="173" fontId="64" fillId="0" borderId="0" applyFont="0" applyFill="0" applyBorder="0" applyAlignment="0" applyProtection="0"/>
    <xf numFmtId="181" fontId="71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/>
    <xf numFmtId="9" fontId="74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9" fontId="74" fillId="0" borderId="0" applyFont="0" applyFill="0" applyBorder="0" applyAlignment="0" applyProtection="0"/>
    <xf numFmtId="0" fontId="67" fillId="0" borderId="0"/>
    <xf numFmtId="182" fontId="67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75" fillId="0" borderId="0"/>
    <xf numFmtId="0" fontId="76" fillId="0" borderId="0"/>
    <xf numFmtId="0" fontId="77" fillId="0" borderId="0"/>
    <xf numFmtId="0" fontId="66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56" fillId="0" borderId="0"/>
    <xf numFmtId="0" fontId="78" fillId="0" borderId="0"/>
    <xf numFmtId="0" fontId="56" fillId="0" borderId="0"/>
    <xf numFmtId="0" fontId="56" fillId="0" borderId="0"/>
    <xf numFmtId="184" fontId="79" fillId="0" borderId="0"/>
    <xf numFmtId="0" fontId="78" fillId="0" borderId="0"/>
    <xf numFmtId="0" fontId="56" fillId="0" borderId="0"/>
    <xf numFmtId="0" fontId="78" fillId="0" borderId="0"/>
    <xf numFmtId="0" fontId="56" fillId="0" borderId="0"/>
    <xf numFmtId="0" fontId="78" fillId="0" borderId="0"/>
    <xf numFmtId="0" fontId="56" fillId="0" borderId="0"/>
    <xf numFmtId="0" fontId="56" fillId="0" borderId="0"/>
    <xf numFmtId="0" fontId="56" fillId="0" borderId="0"/>
    <xf numFmtId="0" fontId="78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/>
    <xf numFmtId="177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172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7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5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5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0" fillId="0" borderId="0"/>
    <xf numFmtId="0" fontId="88" fillId="0" borderId="0"/>
    <xf numFmtId="0" fontId="89" fillId="0" borderId="0"/>
    <xf numFmtId="0" fontId="72" fillId="0" borderId="0"/>
    <xf numFmtId="0" fontId="60" fillId="0" borderId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/>
    <xf numFmtId="0" fontId="92" fillId="47" borderId="33" applyNumberFormat="0" applyAlignment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40" fontId="93" fillId="0" borderId="0" applyFont="0" applyFill="0" applyBorder="0" applyAlignment="0" applyProtection="0"/>
    <xf numFmtId="38" fontId="93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94" fillId="0" borderId="0">
      <alignment vertical="top"/>
    </xf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68" fontId="96" fillId="0" borderId="0" applyFont="0" applyFill="0" applyBorder="0" applyAlignment="0" applyProtection="0"/>
    <xf numFmtId="169" fontId="71" fillId="0" borderId="0" applyFont="0" applyFill="0" applyBorder="0" applyAlignment="0" applyProtection="0"/>
    <xf numFmtId="171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85" fontId="9" fillId="0" borderId="0" applyFont="0" applyFill="0" applyBorder="0" applyAlignment="0" applyProtection="0"/>
    <xf numFmtId="186" fontId="7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8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8" fontId="96" fillId="0" borderId="0" applyFont="0" applyFill="0" applyBorder="0" applyAlignment="0" applyProtection="0"/>
    <xf numFmtId="165" fontId="71" fillId="0" borderId="0" applyFont="0" applyFill="0" applyBorder="0" applyAlignment="0" applyProtection="0"/>
    <xf numFmtId="185" fontId="9" fillId="0" borderId="0" applyFont="0" applyFill="0" applyBorder="0" applyAlignment="0" applyProtection="0"/>
    <xf numFmtId="169" fontId="71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8" fillId="0" borderId="0" applyFont="0" applyFill="0" applyBorder="0" applyAlignment="0" applyProtection="0"/>
    <xf numFmtId="187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6" fontId="100" fillId="0" borderId="0" applyFont="0" applyFill="0" applyBorder="0" applyAlignment="0" applyProtection="0"/>
    <xf numFmtId="187" fontId="100" fillId="0" borderId="0" applyFont="0" applyFill="0" applyBorder="0" applyAlignment="0" applyProtection="0"/>
    <xf numFmtId="187" fontId="101" fillId="0" borderId="0" applyFont="0" applyFill="0" applyBorder="0" applyAlignment="0" applyProtection="0"/>
    <xf numFmtId="176" fontId="101" fillId="0" borderId="0" applyFont="0" applyFill="0" applyBorder="0" applyAlignment="0" applyProtection="0"/>
    <xf numFmtId="176" fontId="102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103" fillId="0" borderId="0"/>
    <xf numFmtId="176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0" fontId="104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106" fillId="0" borderId="0"/>
    <xf numFmtId="0" fontId="106" fillId="0" borderId="0"/>
    <xf numFmtId="0" fontId="107" fillId="0" borderId="0" applyFont="0" applyFill="0" applyBorder="0" applyAlignment="0" applyProtection="0"/>
    <xf numFmtId="187" fontId="72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/>
    <xf numFmtId="181" fontId="110" fillId="0" borderId="0" applyFont="0" applyFill="0" applyBorder="0" applyAlignment="0" applyProtection="0"/>
    <xf numFmtId="178" fontId="110" fillId="0" borderId="0" applyFont="0" applyFill="0" applyBorder="0" applyAlignment="0" applyProtection="0"/>
    <xf numFmtId="181" fontId="111" fillId="0" borderId="0" applyFont="0" applyFill="0" applyBorder="0" applyAlignment="0" applyProtection="0"/>
    <xf numFmtId="17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113" fillId="0" borderId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114" fillId="0" borderId="0" applyFont="0" applyFill="0" applyBorder="0" applyAlignment="0" applyProtection="0"/>
    <xf numFmtId="178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116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87" fontId="116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0" fontId="11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0" fontId="116" fillId="0" borderId="0"/>
    <xf numFmtId="9" fontId="119" fillId="0" borderId="0" applyFont="0" applyFill="0" applyBorder="0" applyAlignment="0" applyProtection="0"/>
    <xf numFmtId="0" fontId="120" fillId="48" borderId="0" applyNumberFormat="0" applyBorder="0" applyAlignment="0" applyProtection="0">
      <alignment vertical="center"/>
    </xf>
    <xf numFmtId="0" fontId="120" fillId="49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89" fontId="8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120" fillId="54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6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0" fillId="54" borderId="0" applyNumberFormat="0" applyBorder="0" applyAlignment="0" applyProtection="0">
      <alignment vertical="center"/>
    </xf>
    <xf numFmtId="0" fontId="120" fillId="57" borderId="0" applyNumberFormat="0" applyBorder="0" applyAlignment="0" applyProtection="0">
      <alignment vertical="center"/>
    </xf>
    <xf numFmtId="0" fontId="10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1" borderId="0" applyNumberFormat="0" applyBorder="0" applyAlignment="0" applyProtection="0"/>
    <xf numFmtId="0" fontId="10" fillId="54" borderId="0" applyNumberFormat="0" applyBorder="0" applyAlignment="0" applyProtection="0"/>
    <xf numFmtId="0" fontId="10" fillId="57" borderId="0" applyNumberFormat="0" applyBorder="0" applyAlignment="0" applyProtection="0"/>
    <xf numFmtId="0" fontId="121" fillId="0" borderId="0"/>
    <xf numFmtId="0" fontId="122" fillId="58" borderId="0" applyNumberFormat="0" applyBorder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2" fillId="56" borderId="0" applyNumberFormat="0" applyBorder="0" applyAlignment="0" applyProtection="0">
      <alignment vertical="center"/>
    </xf>
    <xf numFmtId="0" fontId="122" fillId="59" borderId="0" applyNumberFormat="0" applyBorder="0" applyAlignment="0" applyProtection="0">
      <alignment vertical="center"/>
    </xf>
    <xf numFmtId="0" fontId="122" fillId="60" borderId="0" applyNumberFormat="0" applyBorder="0" applyAlignment="0" applyProtection="0">
      <alignment vertical="center"/>
    </xf>
    <xf numFmtId="0" fontId="122" fillId="61" borderId="0" applyNumberFormat="0" applyBorder="0" applyAlignment="0" applyProtection="0">
      <alignment vertical="center"/>
    </xf>
    <xf numFmtId="0" fontId="123" fillId="58" borderId="0" applyNumberFormat="0" applyBorder="0" applyAlignment="0" applyProtection="0"/>
    <xf numFmtId="0" fontId="123" fillId="55" borderId="0" applyNumberFormat="0" applyBorder="0" applyAlignment="0" applyProtection="0"/>
    <xf numFmtId="0" fontId="123" fillId="56" borderId="0" applyNumberFormat="0" applyBorder="0" applyAlignment="0" applyProtection="0"/>
    <xf numFmtId="0" fontId="123" fillId="59" borderId="0" applyNumberFormat="0" applyBorder="0" applyAlignment="0" applyProtection="0"/>
    <xf numFmtId="0" fontId="123" fillId="60" borderId="0" applyNumberFormat="0" applyBorder="0" applyAlignment="0" applyProtection="0"/>
    <xf numFmtId="0" fontId="123" fillId="61" borderId="0" applyNumberFormat="0" applyBorder="0" applyAlignment="0" applyProtection="0"/>
    <xf numFmtId="9" fontId="107" fillId="0" borderId="0"/>
    <xf numFmtId="9" fontId="124" fillId="0" borderId="0"/>
    <xf numFmtId="9" fontId="107" fillId="0" borderId="0"/>
    <xf numFmtId="177" fontId="67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71" fillId="0" borderId="0" applyFont="0" applyFill="0" applyBorder="0" applyAlignment="0" applyProtection="0"/>
    <xf numFmtId="181" fontId="71" fillId="0" borderId="0" applyFont="0" applyFill="0" applyBorder="0" applyAlignment="0" applyProtection="0"/>
    <xf numFmtId="0" fontId="126" fillId="0" borderId="0" applyFont="0" applyFill="0" applyBorder="0" applyAlignment="0" applyProtection="0"/>
    <xf numFmtId="190" fontId="126" fillId="0" borderId="0" applyFont="0" applyFill="0" applyBorder="0" applyAlignment="0" applyProtection="0"/>
    <xf numFmtId="177" fontId="127" fillId="0" borderId="0" applyFont="0" applyFill="0" applyBorder="0" applyAlignment="0" applyProtection="0"/>
    <xf numFmtId="182" fontId="127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9" fillId="0" borderId="0" applyFont="0" applyFill="0" applyBorder="0" applyAlignment="0" applyProtection="0"/>
    <xf numFmtId="182" fontId="128" fillId="0" borderId="0" applyFont="0" applyFill="0" applyBorder="0" applyAlignment="0" applyProtection="0"/>
    <xf numFmtId="182" fontId="129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15" fillId="0" borderId="0" applyBorder="0" applyProtection="0">
      <protection locked="0"/>
    </xf>
    <xf numFmtId="0" fontId="131" fillId="0" borderId="0"/>
    <xf numFmtId="178" fontId="127" fillId="0" borderId="0" applyFont="0" applyFill="0" applyBorder="0" applyAlignment="0" applyProtection="0"/>
    <xf numFmtId="181" fontId="127" fillId="0" borderId="0" applyFont="0" applyFill="0" applyBorder="0" applyAlignment="0" applyProtection="0"/>
    <xf numFmtId="178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78" fontId="129" fillId="0" borderId="0" applyFont="0" applyFill="0" applyBorder="0" applyAlignment="0" applyProtection="0"/>
    <xf numFmtId="181" fontId="129" fillId="0" borderId="0" applyFont="0" applyFill="0" applyBorder="0" applyAlignment="0" applyProtection="0"/>
    <xf numFmtId="178" fontId="128" fillId="0" borderId="0" applyFont="0" applyFill="0" applyBorder="0" applyAlignment="0" applyProtection="0"/>
    <xf numFmtId="0" fontId="130" fillId="0" borderId="0" applyFont="0" applyFill="0" applyBorder="0" applyAlignment="0" applyProtection="0"/>
    <xf numFmtId="181" fontId="128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96" fillId="0" borderId="0" applyFont="0"/>
    <xf numFmtId="0" fontId="132" fillId="0" borderId="1"/>
    <xf numFmtId="0" fontId="133" fillId="62" borderId="1"/>
    <xf numFmtId="0" fontId="133" fillId="63" borderId="1"/>
    <xf numFmtId="0" fontId="125" fillId="0" borderId="0"/>
    <xf numFmtId="0" fontId="130" fillId="0" borderId="0"/>
    <xf numFmtId="0" fontId="67" fillId="0" borderId="0"/>
    <xf numFmtId="0" fontId="130" fillId="0" borderId="0"/>
    <xf numFmtId="0" fontId="128" fillId="0" borderId="0"/>
    <xf numFmtId="191" fontId="94" fillId="0" borderId="0" applyFill="0" applyBorder="0" applyAlignment="0"/>
    <xf numFmtId="0" fontId="133" fillId="0" borderId="0"/>
    <xf numFmtId="186" fontId="107" fillId="0" borderId="0" applyFont="0" applyFill="0" applyBorder="0" applyAlignment="0" applyProtection="0"/>
    <xf numFmtId="184" fontId="132" fillId="0" borderId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34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170" fontId="9" fillId="0" borderId="0" applyFont="0" applyFill="0" applyBorder="0" applyAlignment="0" applyProtection="0"/>
    <xf numFmtId="41" fontId="135" fillId="0" borderId="0" applyFont="0" applyFill="0" applyBorder="0" applyAlignment="0" applyProtection="0"/>
    <xf numFmtId="38" fontId="60" fillId="0" borderId="0" applyFont="0" applyFill="0" applyBorder="0" applyAlignment="0" applyProtection="0"/>
    <xf numFmtId="41" fontId="135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36" fillId="0" borderId="0" applyFont="0" applyFill="0" applyBorder="0" applyAlignment="0" applyProtection="0"/>
    <xf numFmtId="41" fontId="136" fillId="0" borderId="0" applyFont="0" applyFill="0" applyBorder="0" applyAlignment="0" applyProtection="0"/>
    <xf numFmtId="41" fontId="120" fillId="0" borderId="0" applyFont="0" applyFill="0" applyBorder="0" applyAlignment="0" applyProtection="0"/>
    <xf numFmtId="38" fontId="12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37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8" fontId="120" fillId="0" borderId="0" applyFont="0" applyFill="0" applyBorder="0" applyAlignment="0" applyProtection="0"/>
    <xf numFmtId="40" fontId="60" fillId="0" borderId="0" applyFill="0" applyBorder="0" applyAlignment="0" applyProtection="0"/>
    <xf numFmtId="43" fontId="138" fillId="0" borderId="0" applyFont="0" applyFill="0" applyBorder="0" applyAlignment="0" applyProtection="0"/>
    <xf numFmtId="40" fontId="96" fillId="0" borderId="0" applyFont="0" applyFill="0" applyBorder="0" applyAlignment="0" applyProtection="0"/>
    <xf numFmtId="43" fontId="136" fillId="0" borderId="0" applyFont="0" applyFill="0" applyBorder="0" applyAlignment="0" applyProtection="0"/>
    <xf numFmtId="192" fontId="131" fillId="0" borderId="0"/>
    <xf numFmtId="3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32" fillId="0" borderId="0"/>
    <xf numFmtId="0" fontId="139" fillId="0" borderId="0"/>
    <xf numFmtId="0" fontId="139" fillId="0" borderId="0"/>
    <xf numFmtId="186" fontId="124" fillId="0" borderId="0" applyFont="0" applyFill="0" applyBorder="0" applyAlignment="0" applyProtection="0"/>
    <xf numFmtId="193" fontId="9" fillId="0" borderId="0" applyFont="0" applyFill="0" applyBorder="0" applyAlignment="0" applyProtection="0"/>
    <xf numFmtId="194" fontId="124" fillId="0" borderId="0"/>
    <xf numFmtId="195" fontId="96" fillId="0" borderId="0" applyFont="0" applyFill="0" applyBorder="0" applyAlignment="0" applyProtection="0"/>
    <xf numFmtId="0" fontId="112" fillId="0" borderId="0"/>
    <xf numFmtId="0" fontId="140" fillId="0" borderId="0"/>
    <xf numFmtId="0" fontId="112" fillId="0" borderId="34"/>
    <xf numFmtId="196" fontId="141" fillId="0" borderId="0">
      <protection locked="0"/>
    </xf>
    <xf numFmtId="197" fontId="9" fillId="0" borderId="0" applyFont="0" applyFill="0" applyBorder="0" applyAlignment="0" applyProtection="0"/>
    <xf numFmtId="0" fontId="142" fillId="0" borderId="0"/>
    <xf numFmtId="198" fontId="124" fillId="0" borderId="0"/>
    <xf numFmtId="0" fontId="143" fillId="0" borderId="0" applyNumberFormat="0" applyFill="0" applyBorder="0" applyProtection="0">
      <alignment horizontal="left"/>
    </xf>
    <xf numFmtId="0" fontId="144" fillId="0" borderId="0" applyNumberFormat="0" applyFill="0" applyBorder="0" applyProtection="0">
      <alignment horizontal="right"/>
    </xf>
    <xf numFmtId="199" fontId="44" fillId="0" borderId="0" applyFont="0" applyFill="0" applyBorder="0" applyAlignment="0" applyProtection="0"/>
    <xf numFmtId="0" fontId="145" fillId="0" borderId="0"/>
    <xf numFmtId="200" fontId="141" fillId="0" borderId="0">
      <protection locked="0"/>
    </xf>
    <xf numFmtId="0" fontId="146" fillId="0" borderId="0" applyNumberFormat="0" applyFill="0" applyBorder="0" applyProtection="0">
      <alignment horizontal="right"/>
    </xf>
    <xf numFmtId="38" fontId="137" fillId="47" borderId="0" applyNumberFormat="0" applyBorder="0" applyAlignment="0" applyProtection="0"/>
    <xf numFmtId="0" fontId="147" fillId="0" borderId="0">
      <alignment horizontal="left"/>
    </xf>
    <xf numFmtId="0" fontId="148" fillId="0" borderId="28" applyNumberFormat="0" applyAlignment="0" applyProtection="0">
      <alignment horizontal="left" vertical="center"/>
    </xf>
    <xf numFmtId="0" fontId="148" fillId="0" borderId="16">
      <alignment horizontal="left" vertical="center"/>
    </xf>
    <xf numFmtId="37" fontId="149" fillId="0" borderId="6" applyBorder="0" applyAlignment="0"/>
    <xf numFmtId="201" fontId="141" fillId="0" borderId="0">
      <protection locked="0"/>
    </xf>
    <xf numFmtId="201" fontId="141" fillId="0" borderId="0">
      <protection locked="0"/>
    </xf>
    <xf numFmtId="0" fontId="147" fillId="0" borderId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0" fontId="137" fillId="64" borderId="1" applyNumberFormat="0" applyBorder="0" applyAlignment="0" applyProtection="0"/>
    <xf numFmtId="0" fontId="94" fillId="0" borderId="0" applyNumberFormat="0" applyFill="0" applyBorder="0" applyProtection="0">
      <alignment horizontal="left"/>
    </xf>
    <xf numFmtId="1" fontId="152" fillId="0" borderId="0" applyProtection="0">
      <protection locked="0"/>
    </xf>
    <xf numFmtId="1" fontId="153" fillId="0" borderId="0" applyProtection="0">
      <protection locked="0"/>
    </xf>
    <xf numFmtId="0" fontId="154" fillId="65" borderId="34"/>
    <xf numFmtId="38" fontId="96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155" fillId="0" borderId="3"/>
    <xf numFmtId="202" fontId="156" fillId="0" borderId="0" applyFont="0" applyFill="0" applyBorder="0" applyAlignment="0" applyProtection="0"/>
    <xf numFmtId="192" fontId="15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83" fontId="96" fillId="0" borderId="0" applyFont="0" applyFill="0" applyBorder="0" applyAlignment="0" applyProtection="0"/>
    <xf numFmtId="203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0" fontId="131" fillId="0" borderId="0"/>
    <xf numFmtId="37" fontId="157" fillId="0" borderId="0"/>
    <xf numFmtId="0" fontId="158" fillId="66" borderId="33" applyNumberFormat="0" applyBorder="0" applyAlignment="0">
      <alignment vertical="top"/>
    </xf>
    <xf numFmtId="37" fontId="9" fillId="0" borderId="35"/>
    <xf numFmtId="184" fontId="107" fillId="0" borderId="0"/>
    <xf numFmtId="184" fontId="71" fillId="0" borderId="0"/>
    <xf numFmtId="14" fontId="126" fillId="0" borderId="0"/>
    <xf numFmtId="204" fontId="159" fillId="0" borderId="0"/>
    <xf numFmtId="0" fontId="160" fillId="0" borderId="0"/>
    <xf numFmtId="0" fontId="160" fillId="0" borderId="0"/>
    <xf numFmtId="0" fontId="160" fillId="0" borderId="0"/>
    <xf numFmtId="0" fontId="139" fillId="0" borderId="0"/>
    <xf numFmtId="0" fontId="160" fillId="0" borderId="0"/>
    <xf numFmtId="0" fontId="160" fillId="0" borderId="0"/>
    <xf numFmtId="0" fontId="160" fillId="0" borderId="0"/>
    <xf numFmtId="184" fontId="107" fillId="0" borderId="0"/>
    <xf numFmtId="184" fontId="124" fillId="0" borderId="0"/>
    <xf numFmtId="184" fontId="107" fillId="0" borderId="0"/>
    <xf numFmtId="184" fontId="107" fillId="0" borderId="0"/>
    <xf numFmtId="0" fontId="161" fillId="0" borderId="0"/>
    <xf numFmtId="0" fontId="162" fillId="0" borderId="0"/>
    <xf numFmtId="0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72" fillId="0" borderId="0"/>
    <xf numFmtId="0" fontId="163" fillId="0" borderId="0">
      <alignment vertical="center"/>
    </xf>
    <xf numFmtId="0" fontId="12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96" fillId="0" borderId="0"/>
    <xf numFmtId="0" fontId="120" fillId="0" borderId="0"/>
    <xf numFmtId="0" fontId="60" fillId="0" borderId="0">
      <alignment vertical="center"/>
    </xf>
    <xf numFmtId="0" fontId="9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4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44" fillId="0" borderId="0"/>
    <xf numFmtId="0" fontId="136" fillId="0" borderId="0"/>
    <xf numFmtId="0" fontId="19" fillId="0" borderId="0"/>
    <xf numFmtId="0" fontId="164" fillId="0" borderId="0"/>
    <xf numFmtId="0" fontId="164" fillId="0" borderId="0"/>
    <xf numFmtId="0" fontId="164" fillId="0" borderId="0"/>
    <xf numFmtId="0" fontId="60" fillId="0" borderId="0">
      <alignment vertical="center"/>
    </xf>
    <xf numFmtId="0" fontId="4" fillId="0" borderId="0"/>
    <xf numFmtId="0" fontId="4" fillId="0" borderId="0"/>
    <xf numFmtId="0" fontId="16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0" fillId="0" borderId="0"/>
    <xf numFmtId="0" fontId="1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136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66" fillId="0" borderId="0"/>
    <xf numFmtId="0" fontId="166" fillId="0" borderId="0"/>
    <xf numFmtId="0" fontId="167" fillId="0" borderId="0"/>
    <xf numFmtId="0" fontId="137" fillId="0" borderId="0"/>
    <xf numFmtId="0" fontId="120" fillId="0" borderId="0"/>
    <xf numFmtId="0" fontId="162" fillId="0" borderId="0"/>
    <xf numFmtId="0" fontId="9" fillId="0" borderId="0"/>
    <xf numFmtId="0" fontId="94" fillId="0" borderId="0"/>
    <xf numFmtId="0" fontId="142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75" fillId="0" borderId="0"/>
    <xf numFmtId="0" fontId="168" fillId="0" borderId="0" applyNumberFormat="0" applyFill="0" applyBorder="0" applyProtection="0">
      <alignment horizontal="left"/>
    </xf>
    <xf numFmtId="0" fontId="169" fillId="47" borderId="33" applyNumberFormat="0" applyBorder="0" applyAlignment="0">
      <alignment vertical="top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3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60" fillId="0" borderId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96" fillId="0" borderId="7" applyNumberFormat="0" applyBorder="0"/>
    <xf numFmtId="0" fontId="170" fillId="0" borderId="0" applyNumberFormat="0" applyFill="0" applyBorder="0" applyProtection="0">
      <alignment horizontal="right"/>
    </xf>
    <xf numFmtId="4" fontId="171" fillId="0" borderId="0" applyFont="0" applyFill="0" applyBorder="0" applyProtection="0">
      <alignment horizontal="right"/>
    </xf>
    <xf numFmtId="0" fontId="142" fillId="0" borderId="0"/>
    <xf numFmtId="1" fontId="9" fillId="0" borderId="2" applyNumberFormat="0" applyFill="0" applyAlignment="0" applyProtection="0">
      <alignment horizontal="center" vertical="center"/>
    </xf>
    <xf numFmtId="0" fontId="112" fillId="0" borderId="0"/>
    <xf numFmtId="37" fontId="172" fillId="1" borderId="35"/>
    <xf numFmtId="0" fontId="169" fillId="0" borderId="33" applyNumberFormat="0" applyBorder="0" applyAlignment="0">
      <alignment vertical="top"/>
    </xf>
    <xf numFmtId="4" fontId="173" fillId="2" borderId="36" applyNumberFormat="0" applyProtection="0">
      <alignment vertical="center"/>
    </xf>
    <xf numFmtId="4" fontId="174" fillId="2" borderId="36" applyNumberFormat="0" applyProtection="0">
      <alignment vertical="center"/>
    </xf>
    <xf numFmtId="4" fontId="175" fillId="67" borderId="37" applyNumberFormat="0" applyProtection="0">
      <alignment vertical="center"/>
    </xf>
    <xf numFmtId="4" fontId="176" fillId="67" borderId="37" applyNumberFormat="0" applyProtection="0">
      <alignment vertical="center"/>
    </xf>
    <xf numFmtId="4" fontId="175" fillId="66" borderId="37" applyNumberFormat="0" applyProtection="0">
      <alignment vertical="center"/>
    </xf>
    <xf numFmtId="4" fontId="176" fillId="66" borderId="37" applyNumberFormat="0" applyProtection="0">
      <alignment vertical="center"/>
    </xf>
    <xf numFmtId="4" fontId="177" fillId="2" borderId="36" applyNumberFormat="0" applyProtection="0">
      <alignment horizontal="left" vertical="center" indent="1"/>
    </xf>
    <xf numFmtId="4" fontId="177" fillId="68" borderId="0" applyNumberFormat="0" applyProtection="0">
      <alignment horizontal="left" vertical="center" indent="1"/>
    </xf>
    <xf numFmtId="4" fontId="178" fillId="66" borderId="37" applyNumberFormat="0" applyProtection="0">
      <alignment vertical="center"/>
    </xf>
    <xf numFmtId="4" fontId="177" fillId="66" borderId="36" applyNumberFormat="0" applyProtection="0">
      <alignment horizontal="right" vertical="center"/>
    </xf>
    <xf numFmtId="4" fontId="177" fillId="69" borderId="36" applyNumberFormat="0" applyProtection="0">
      <alignment horizontal="right" vertical="center"/>
    </xf>
    <xf numFmtId="4" fontId="177" fillId="46" borderId="36" applyNumberFormat="0" applyProtection="0">
      <alignment horizontal="right" vertical="center"/>
    </xf>
    <xf numFmtId="4" fontId="126" fillId="70" borderId="37" applyNumberFormat="0" applyProtection="0">
      <alignment vertical="center"/>
    </xf>
    <xf numFmtId="4" fontId="177" fillId="71" borderId="36" applyNumberFormat="0" applyProtection="0">
      <alignment horizontal="right" vertical="center"/>
    </xf>
    <xf numFmtId="4" fontId="177" fillId="72" borderId="36" applyNumberFormat="0" applyProtection="0">
      <alignment horizontal="right" vertical="center"/>
    </xf>
    <xf numFmtId="4" fontId="177" fillId="70" borderId="36" applyNumberFormat="0" applyProtection="0">
      <alignment horizontal="right" vertical="center"/>
    </xf>
    <xf numFmtId="4" fontId="178" fillId="67" borderId="37" applyNumberFormat="0" applyProtection="0">
      <alignment vertical="center"/>
    </xf>
    <xf numFmtId="4" fontId="177" fillId="73" borderId="36" applyNumberFormat="0" applyProtection="0">
      <alignment horizontal="right" vertical="center"/>
    </xf>
    <xf numFmtId="4" fontId="177" fillId="74" borderId="36" applyNumberFormat="0" applyProtection="0">
      <alignment horizontal="right" vertical="center"/>
    </xf>
    <xf numFmtId="4" fontId="177" fillId="67" borderId="36" applyNumberFormat="0" applyProtection="0">
      <alignment horizontal="right" vertical="center"/>
    </xf>
    <xf numFmtId="4" fontId="175" fillId="66" borderId="37" applyNumberFormat="0" applyProtection="0">
      <alignment vertical="center"/>
    </xf>
    <xf numFmtId="4" fontId="173" fillId="75" borderId="38" applyNumberFormat="0" applyProtection="0">
      <alignment horizontal="left" vertical="center" indent="1"/>
    </xf>
    <xf numFmtId="4" fontId="173" fillId="76" borderId="0" applyNumberFormat="0" applyProtection="0">
      <alignment horizontal="left" vertical="center" indent="1"/>
    </xf>
    <xf numFmtId="4" fontId="173" fillId="68" borderId="0" applyNumberFormat="0" applyProtection="0">
      <alignment horizontal="left" vertical="center" indent="1"/>
    </xf>
    <xf numFmtId="4" fontId="177" fillId="76" borderId="36" applyNumberFormat="0" applyProtection="0">
      <alignment horizontal="right" vertical="center"/>
    </xf>
    <xf numFmtId="4" fontId="179" fillId="77" borderId="37" applyNumberFormat="0" applyProtection="0">
      <alignment horizontal="left" vertical="center" indent="1"/>
    </xf>
    <xf numFmtId="4" fontId="94" fillId="76" borderId="0" applyNumberFormat="0" applyProtection="0">
      <alignment horizontal="left" vertical="center" indent="1"/>
    </xf>
    <xf numFmtId="4" fontId="94" fillId="68" borderId="0" applyNumberFormat="0" applyProtection="0">
      <alignment horizontal="left" vertical="center" indent="1"/>
    </xf>
    <xf numFmtId="4" fontId="177" fillId="78" borderId="36" applyNumberFormat="0" applyProtection="0">
      <alignment vertical="center"/>
    </xf>
    <xf numFmtId="4" fontId="180" fillId="78" borderId="36" applyNumberFormat="0" applyProtection="0">
      <alignment vertical="center"/>
    </xf>
    <xf numFmtId="4" fontId="181" fillId="67" borderId="37" applyNumberFormat="0" applyProtection="0">
      <alignment vertical="center"/>
    </xf>
    <xf numFmtId="4" fontId="182" fillId="67" borderId="37" applyNumberFormat="0" applyProtection="0">
      <alignment vertical="center"/>
    </xf>
    <xf numFmtId="4" fontId="181" fillId="66" borderId="37" applyNumberFormat="0" applyProtection="0">
      <alignment vertical="center"/>
    </xf>
    <xf numFmtId="4" fontId="182" fillId="66" borderId="37" applyNumberFormat="0" applyProtection="0">
      <alignment vertical="center"/>
    </xf>
    <xf numFmtId="4" fontId="173" fillId="76" borderId="39" applyNumberFormat="0" applyProtection="0">
      <alignment horizontal="left" vertical="center" indent="1"/>
    </xf>
    <xf numFmtId="4" fontId="177" fillId="78" borderId="36" applyNumberFormat="0" applyProtection="0">
      <alignment horizontal="right" vertical="center"/>
    </xf>
    <xf numFmtId="4" fontId="180" fillId="78" borderId="36" applyNumberFormat="0" applyProtection="0">
      <alignment horizontal="right" vertical="center"/>
    </xf>
    <xf numFmtId="4" fontId="178" fillId="67" borderId="37" applyNumberFormat="0" applyProtection="0">
      <alignment vertical="center"/>
    </xf>
    <xf numFmtId="4" fontId="183" fillId="67" borderId="37" applyNumberFormat="0" applyProtection="0">
      <alignment vertical="center"/>
    </xf>
    <xf numFmtId="4" fontId="178" fillId="66" borderId="37" applyNumberFormat="0" applyProtection="0">
      <alignment vertical="center"/>
    </xf>
    <xf numFmtId="4" fontId="183" fillId="66" borderId="37" applyNumberFormat="0" applyProtection="0">
      <alignment vertical="center"/>
    </xf>
    <xf numFmtId="4" fontId="173" fillId="76" borderId="36" applyNumberFormat="0" applyProtection="0">
      <alignment horizontal="left" vertical="center" indent="1"/>
    </xf>
    <xf numFmtId="4" fontId="184" fillId="77" borderId="37" applyNumberFormat="0" applyProtection="0">
      <alignment vertical="center"/>
    </xf>
    <xf numFmtId="4" fontId="185" fillId="77" borderId="37" applyNumberFormat="0" applyProtection="0">
      <alignment vertical="center"/>
    </xf>
    <xf numFmtId="4" fontId="175" fillId="67" borderId="37" applyNumberFormat="0" applyProtection="0">
      <alignment vertical="center"/>
    </xf>
    <xf numFmtId="4" fontId="176" fillId="67" borderId="37" applyNumberFormat="0" applyProtection="0">
      <alignment vertical="center"/>
    </xf>
    <xf numFmtId="4" fontId="175" fillId="66" borderId="37" applyNumberFormat="0" applyProtection="0">
      <alignment vertical="center"/>
    </xf>
    <xf numFmtId="4" fontId="176" fillId="66" borderId="37" applyNumberFormat="0" applyProtection="0">
      <alignment vertical="center"/>
    </xf>
    <xf numFmtId="4" fontId="186" fillId="64" borderId="37" applyNumberFormat="0" applyProtection="0">
      <alignment horizontal="left" vertical="center" indent="1"/>
    </xf>
    <xf numFmtId="4" fontId="187" fillId="79" borderId="39" applyNumberFormat="0" applyProtection="0">
      <alignment horizontal="left" vertical="center" indent="1"/>
    </xf>
    <xf numFmtId="4" fontId="188" fillId="78" borderId="36" applyNumberFormat="0" applyProtection="0">
      <alignment horizontal="right" vertical="center"/>
    </xf>
    <xf numFmtId="205" fontId="156" fillId="0" borderId="0" applyFont="0" applyFill="0" applyBorder="0" applyAlignment="0" applyProtection="0"/>
    <xf numFmtId="206" fontId="156" fillId="0" borderId="0" applyFont="0" applyFill="0" applyBorder="0" applyAlignment="0" applyProtection="0"/>
    <xf numFmtId="37" fontId="189" fillId="1" borderId="35"/>
    <xf numFmtId="173" fontId="190" fillId="0" borderId="40" applyNumberFormat="0" applyFont="0" applyFill="0" applyBorder="0" applyAlignment="0"/>
    <xf numFmtId="0" fontId="96" fillId="0" borderId="0"/>
    <xf numFmtId="0" fontId="169" fillId="0" borderId="33" applyNumberFormat="0" applyAlignment="0"/>
    <xf numFmtId="0" fontId="169" fillId="47" borderId="33" applyNumberFormat="0"/>
    <xf numFmtId="0" fontId="19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0" fontId="155" fillId="0" borderId="0"/>
    <xf numFmtId="0" fontId="112" fillId="0" borderId="34"/>
    <xf numFmtId="0" fontId="192" fillId="0" borderId="0" applyNumberFormat="0" applyFill="0" applyBorder="0"/>
    <xf numFmtId="0" fontId="193" fillId="80" borderId="0"/>
    <xf numFmtId="0" fontId="154" fillId="0" borderId="41"/>
    <xf numFmtId="0" fontId="154" fillId="0" borderId="34"/>
    <xf numFmtId="0" fontId="194" fillId="0" borderId="0" applyNumberFormat="0" applyFill="0" applyBorder="0" applyAlignment="0" applyProtection="0">
      <alignment vertical="top"/>
      <protection locked="0"/>
    </xf>
    <xf numFmtId="0" fontId="195" fillId="0" borderId="0" applyNumberFormat="0" applyFill="0" applyBorder="0" applyAlignment="0" applyProtection="0"/>
    <xf numFmtId="0" fontId="196" fillId="81" borderId="42" applyNumberFormat="0" applyAlignment="0" applyProtection="0"/>
    <xf numFmtId="0" fontId="197" fillId="0" borderId="0" applyNumberFormat="0" applyFill="0" applyBorder="0" applyProtection="0">
      <alignment horizontal="right"/>
    </xf>
    <xf numFmtId="207" fontId="9" fillId="0" borderId="0" applyFont="0" applyFill="0" applyBorder="0" applyAlignment="0" applyProtection="0"/>
    <xf numFmtId="208" fontId="9" fillId="0" borderId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122" fillId="82" borderId="0" applyNumberFormat="0" applyBorder="0" applyAlignment="0" applyProtection="0">
      <alignment vertical="center"/>
    </xf>
    <xf numFmtId="0" fontId="122" fillId="83" borderId="0" applyNumberFormat="0" applyBorder="0" applyAlignment="0" applyProtection="0">
      <alignment vertical="center"/>
    </xf>
    <xf numFmtId="0" fontId="122" fillId="84" borderId="0" applyNumberFormat="0" applyBorder="0" applyAlignment="0" applyProtection="0">
      <alignment vertical="center"/>
    </xf>
    <xf numFmtId="0" fontId="122" fillId="59" borderId="0" applyNumberFormat="0" applyBorder="0" applyAlignment="0" applyProtection="0">
      <alignment vertical="center"/>
    </xf>
    <xf numFmtId="0" fontId="122" fillId="60" borderId="0" applyNumberFormat="0" applyBorder="0" applyAlignment="0" applyProtection="0">
      <alignment vertical="center"/>
    </xf>
    <xf numFmtId="0" fontId="122" fillId="85" borderId="0" applyNumberFormat="0" applyBorder="0" applyAlignment="0" applyProtection="0">
      <alignment vertical="center"/>
    </xf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62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>
      <alignment vertical="top"/>
      <protection locked="0"/>
    </xf>
    <xf numFmtId="9" fontId="200" fillId="0" borderId="0" applyFont="0" applyFill="0" applyBorder="0" applyAlignment="0" applyProtection="0"/>
    <xf numFmtId="0" fontId="201" fillId="0" borderId="0"/>
    <xf numFmtId="0" fontId="202" fillId="0" borderId="0"/>
    <xf numFmtId="0" fontId="203" fillId="0" borderId="0"/>
    <xf numFmtId="0" fontId="204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205" fillId="0" borderId="0" applyNumberFormat="0" applyFill="0" applyBorder="0" applyAlignment="0" applyProtection="0">
      <alignment vertical="center"/>
    </xf>
    <xf numFmtId="0" fontId="206" fillId="86" borderId="43" applyNumberFormat="0" applyAlignment="0" applyProtection="0">
      <alignment vertical="center"/>
    </xf>
    <xf numFmtId="178" fontId="207" fillId="0" borderId="0" applyFont="0" applyFill="0" applyBorder="0" applyAlignment="0" applyProtection="0"/>
    <xf numFmtId="181" fontId="207" fillId="0" borderId="0" applyFont="0" applyFill="0" applyBorder="0" applyAlignment="0" applyProtection="0"/>
    <xf numFmtId="0" fontId="208" fillId="87" borderId="0" applyNumberFormat="0" applyBorder="0" applyAlignment="0" applyProtection="0">
      <alignment vertical="center"/>
    </xf>
    <xf numFmtId="177" fontId="207" fillId="0" borderId="0" applyFont="0" applyFill="0" applyBorder="0" applyAlignment="0" applyProtection="0"/>
    <xf numFmtId="182" fontId="207" fillId="0" borderId="0" applyFont="0" applyFill="0" applyBorder="0" applyAlignment="0" applyProtection="0"/>
    <xf numFmtId="0" fontId="207" fillId="0" borderId="0"/>
    <xf numFmtId="9" fontId="12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107" fillId="0" borderId="0" applyFont="0" applyFill="0" applyBorder="0" applyAlignment="0" applyProtection="0"/>
    <xf numFmtId="209" fontId="209" fillId="0" borderId="0" applyFont="0" applyFill="0" applyBorder="0" applyAlignment="0" applyProtection="0"/>
    <xf numFmtId="0" fontId="199" fillId="0" borderId="0" applyNumberFormat="0" applyFill="0" applyBorder="0" applyAlignment="0" applyProtection="0">
      <alignment vertical="top"/>
      <protection locked="0"/>
    </xf>
    <xf numFmtId="0" fontId="120" fillId="88" borderId="44" applyNumberFormat="0" applyFont="0" applyAlignment="0" applyProtection="0">
      <alignment vertical="center"/>
    </xf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210" fillId="0" borderId="45" applyNumberFormat="0" applyFill="0" applyAlignment="0" applyProtection="0">
      <alignment vertical="center"/>
    </xf>
    <xf numFmtId="0" fontId="211" fillId="89" borderId="46" applyNumberFormat="0" applyAlignment="0" applyProtection="0"/>
    <xf numFmtId="0" fontId="212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41" fontId="107" fillId="0" borderId="0" applyFont="0" applyFill="0" applyBorder="0" applyAlignment="0" applyProtection="0"/>
    <xf numFmtId="41" fontId="124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44" fillId="0" borderId="0" applyFont="0" applyFill="0" applyBorder="0" applyAlignment="0" applyProtection="0"/>
    <xf numFmtId="40" fontId="60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24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44" fillId="0" borderId="0" applyFont="0" applyFill="0" applyBorder="0" applyAlignment="0" applyProtection="0"/>
    <xf numFmtId="176" fontId="60" fillId="0" borderId="0" applyFont="0" applyFill="0" applyBorder="0" applyAlignment="0" applyProtection="0"/>
    <xf numFmtId="0" fontId="214" fillId="0" borderId="0" applyNumberFormat="0" applyFill="0" applyBorder="0" applyAlignment="0" applyProtection="0"/>
    <xf numFmtId="0" fontId="215" fillId="0" borderId="0" applyNumberFormat="0" applyFill="0" applyBorder="0" applyAlignment="0" applyProtection="0">
      <alignment vertical="top"/>
      <protection locked="0"/>
    </xf>
    <xf numFmtId="0" fontId="216" fillId="86" borderId="43" applyNumberFormat="0" applyAlignment="0" applyProtection="0"/>
    <xf numFmtId="0" fontId="217" fillId="0" borderId="45" applyNumberFormat="0" applyFill="0" applyAlignment="0" applyProtection="0"/>
    <xf numFmtId="0" fontId="218" fillId="50" borderId="0" applyNumberFormat="0" applyBorder="0" applyAlignment="0" applyProtection="0"/>
    <xf numFmtId="0" fontId="219" fillId="0" borderId="0" applyNumberFormat="0" applyFill="0" applyBorder="0" applyAlignment="0" applyProtection="0">
      <alignment vertical="top"/>
      <protection locked="0"/>
    </xf>
    <xf numFmtId="9" fontId="220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9" fillId="0" borderId="0"/>
    <xf numFmtId="0" fontId="44" fillId="0" borderId="0"/>
    <xf numFmtId="0" fontId="221" fillId="53" borderId="46" applyNumberFormat="0" applyAlignment="0" applyProtection="0"/>
    <xf numFmtId="0" fontId="222" fillId="87" borderId="0" applyNumberFormat="0" applyBorder="0" applyAlignment="0" applyProtection="0"/>
    <xf numFmtId="0" fontId="223" fillId="0" borderId="47" applyNumberFormat="0" applyFill="0" applyAlignment="0" applyProtection="0"/>
    <xf numFmtId="0" fontId="224" fillId="49" borderId="0" applyNumberFormat="0" applyBorder="0" applyAlignment="0" applyProtection="0"/>
    <xf numFmtId="189" fontId="107" fillId="0" borderId="0" applyFont="0" applyFill="0" applyBorder="0" applyAlignment="0" applyProtection="0"/>
    <xf numFmtId="21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211" fontId="107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0" fontId="225" fillId="0" borderId="0"/>
    <xf numFmtId="0" fontId="123" fillId="82" borderId="0" applyNumberFormat="0" applyBorder="0" applyAlignment="0" applyProtection="0"/>
    <xf numFmtId="0" fontId="123" fillId="83" borderId="0" applyNumberFormat="0" applyBorder="0" applyAlignment="0" applyProtection="0"/>
    <xf numFmtId="0" fontId="123" fillId="84" borderId="0" applyNumberFormat="0" applyBorder="0" applyAlignment="0" applyProtection="0"/>
    <xf numFmtId="0" fontId="123" fillId="59" borderId="0" applyNumberFormat="0" applyBorder="0" applyAlignment="0" applyProtection="0"/>
    <xf numFmtId="0" fontId="123" fillId="60" borderId="0" applyNumberFormat="0" applyBorder="0" applyAlignment="0" applyProtection="0"/>
    <xf numFmtId="0" fontId="123" fillId="85" borderId="0" applyNumberFormat="0" applyBorder="0" applyAlignment="0" applyProtection="0"/>
    <xf numFmtId="0" fontId="96" fillId="0" borderId="0"/>
    <xf numFmtId="0" fontId="226" fillId="89" borderId="48" applyNumberFormat="0" applyAlignment="0" applyProtection="0"/>
    <xf numFmtId="0" fontId="60" fillId="88" borderId="44" applyNumberFormat="0" applyFont="0" applyAlignment="0" applyProtection="0"/>
    <xf numFmtId="0" fontId="227" fillId="0" borderId="49" applyNumberFormat="0" applyFill="0" applyAlignment="0" applyProtection="0"/>
    <xf numFmtId="0" fontId="228" fillId="0" borderId="50" applyNumberFormat="0" applyFill="0" applyAlignment="0" applyProtection="0"/>
    <xf numFmtId="0" fontId="229" fillId="0" borderId="51" applyNumberFormat="0" applyFill="0" applyAlignment="0" applyProtection="0"/>
    <xf numFmtId="0" fontId="229" fillId="0" borderId="0" applyNumberFormat="0" applyFill="0" applyBorder="0" applyAlignment="0" applyProtection="0"/>
    <xf numFmtId="0" fontId="230" fillId="0" borderId="0"/>
    <xf numFmtId="170" fontId="231" fillId="0" borderId="0" applyFont="0" applyFill="0" applyBorder="0" applyAlignment="0" applyProtection="0"/>
    <xf numFmtId="172" fontId="231" fillId="0" borderId="0" applyFont="0" applyFill="0" applyBorder="0" applyAlignment="0" applyProtection="0"/>
    <xf numFmtId="170" fontId="232" fillId="0" borderId="0" applyFont="0" applyFill="0" applyBorder="0" applyAlignment="0" applyProtection="0"/>
    <xf numFmtId="172" fontId="232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6" fontId="64" fillId="0" borderId="0" applyFont="0" applyFill="0" applyBorder="0" applyAlignment="0" applyProtection="0"/>
    <xf numFmtId="187" fontId="64" fillId="0" borderId="0" applyFont="0" applyFill="0" applyBorder="0" applyAlignment="0" applyProtection="0"/>
    <xf numFmtId="176" fontId="93" fillId="0" borderId="0" applyFont="0" applyFill="0" applyBorder="0" applyAlignment="0" applyProtection="0"/>
    <xf numFmtId="187" fontId="93" fillId="0" borderId="0" applyFont="0" applyFill="0" applyBorder="0" applyAlignment="0" applyProtection="0"/>
    <xf numFmtId="0" fontId="93" fillId="0" borderId="0"/>
    <xf numFmtId="0" fontId="233" fillId="0" borderId="0"/>
    <xf numFmtId="0" fontId="234" fillId="0" borderId="0" applyNumberFormat="0" applyFill="0" applyBorder="0" applyAlignment="0" applyProtection="0"/>
    <xf numFmtId="0" fontId="235" fillId="46" borderId="33" applyNumberFormat="0" applyAlignment="0"/>
    <xf numFmtId="0" fontId="236" fillId="0" borderId="0" applyNumberFormat="0" applyFill="0" applyBorder="0" applyAlignment="0" applyProtection="0"/>
    <xf numFmtId="0" fontId="237" fillId="0" borderId="0"/>
    <xf numFmtId="169" fontId="232" fillId="0" borderId="0" applyFont="0" applyFill="0" applyBorder="0" applyAlignment="0" applyProtection="0"/>
    <xf numFmtId="171" fontId="232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0" fontId="238" fillId="0" borderId="0" applyFont="0" applyFill="0" applyBorder="0" applyAlignment="0" applyProtection="0"/>
    <xf numFmtId="38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39" fillId="0" borderId="0"/>
    <xf numFmtId="41" fontId="240" fillId="0" borderId="0" applyFont="0" applyFill="0" applyBorder="0" applyAlignment="0" applyProtection="0"/>
    <xf numFmtId="212" fontId="9" fillId="0" borderId="0" applyFont="0" applyFill="0" applyBorder="0" applyAlignment="0" applyProtection="0"/>
    <xf numFmtId="213" fontId="241" fillId="0" borderId="0" applyFont="0" applyFill="0" applyBorder="0" applyAlignment="0" applyProtection="0"/>
    <xf numFmtId="176" fontId="242" fillId="0" borderId="0" applyFont="0" applyFill="0" applyBorder="0" applyAlignment="0" applyProtection="0"/>
    <xf numFmtId="187" fontId="242" fillId="0" borderId="0" applyFont="0" applyFill="0" applyBorder="0" applyAlignment="0" applyProtection="0"/>
    <xf numFmtId="0" fontId="24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44" fillId="0" borderId="0"/>
    <xf numFmtId="0" fontId="56" fillId="0" borderId="0"/>
    <xf numFmtId="214" fontId="245" fillId="0" borderId="0"/>
    <xf numFmtId="0" fontId="60" fillId="0" borderId="0"/>
    <xf numFmtId="0" fontId="246" fillId="46" borderId="33" applyNumberFormat="0" applyAlignment="0"/>
    <xf numFmtId="0" fontId="246" fillId="46" borderId="33" applyNumberFormat="0" applyAlignment="0"/>
    <xf numFmtId="0" fontId="247" fillId="53" borderId="46" applyNumberFormat="0" applyAlignment="0" applyProtection="0">
      <alignment vertical="center"/>
    </xf>
    <xf numFmtId="0" fontId="248" fillId="89" borderId="48" applyNumberFormat="0" applyAlignment="0" applyProtection="0">
      <alignment vertical="center"/>
    </xf>
    <xf numFmtId="170" fontId="244" fillId="0" borderId="0" applyFont="0" applyFill="0" applyBorder="0" applyAlignment="0" applyProtection="0"/>
    <xf numFmtId="172" fontId="244" fillId="0" borderId="0" applyFont="0" applyFill="0" applyBorder="0" applyAlignment="0" applyProtection="0"/>
    <xf numFmtId="172" fontId="56" fillId="0" borderId="0" applyFont="0" applyFill="0" applyBorder="0" applyAlignment="0" applyProtection="0"/>
    <xf numFmtId="38" fontId="60" fillId="0" borderId="0" applyFont="0" applyFill="0" applyBorder="0" applyAlignment="0" applyProtection="0"/>
    <xf numFmtId="43" fontId="249" fillId="0" borderId="0" applyFont="0" applyFill="0" applyBorder="0" applyAlignment="0" applyProtection="0"/>
    <xf numFmtId="0" fontId="230" fillId="0" borderId="0">
      <alignment vertical="center"/>
    </xf>
    <xf numFmtId="0" fontId="107" fillId="0" borderId="0" applyFont="0" applyFill="0" applyBorder="0" applyAlignment="0" applyProtection="0"/>
    <xf numFmtId="0" fontId="169" fillId="47" borderId="33" applyNumberFormat="0" applyAlignment="0"/>
    <xf numFmtId="0" fontId="250" fillId="49" borderId="0" applyNumberFormat="0" applyBorder="0" applyAlignment="0" applyProtection="0">
      <alignment vertical="center"/>
    </xf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251" fillId="0" borderId="0" applyFont="0" applyFill="0" applyBorder="0" applyAlignment="0" applyProtection="0"/>
    <xf numFmtId="170" fontId="251" fillId="0" borderId="0" applyFont="0" applyFill="0" applyBorder="0" applyAlignment="0" applyProtection="0"/>
    <xf numFmtId="215" fontId="252" fillId="0" borderId="8" applyFont="0" applyFill="0" applyBorder="0" applyAlignment="0" applyProtection="0">
      <alignment horizontal="center"/>
      <protection locked="0"/>
    </xf>
    <xf numFmtId="0" fontId="253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43" fontId="136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0" fontId="60" fillId="0" borderId="0" applyFont="0" applyFill="0" applyBorder="0" applyAlignment="0" applyProtection="0"/>
    <xf numFmtId="0" fontId="60" fillId="0" borderId="0"/>
    <xf numFmtId="38" fontId="120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202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255" fillId="0" borderId="0"/>
    <xf numFmtId="0" fontId="256" fillId="0" borderId="0">
      <alignment vertical="center"/>
    </xf>
    <xf numFmtId="0" fontId="60" fillId="0" borderId="0"/>
    <xf numFmtId="0" fontId="44" fillId="0" borderId="0"/>
    <xf numFmtId="0" fontId="120" fillId="0" borderId="0">
      <alignment vertical="center"/>
    </xf>
    <xf numFmtId="0" fontId="9" fillId="0" borderId="0"/>
    <xf numFmtId="0" fontId="60" fillId="0" borderId="0">
      <alignment vertical="center"/>
    </xf>
    <xf numFmtId="0" fontId="257" fillId="0" borderId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216" fontId="44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258" fillId="0" borderId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259" fillId="50" borderId="0" applyNumberFormat="0" applyBorder="0" applyAlignment="0" applyProtection="0">
      <alignment vertical="center"/>
    </xf>
    <xf numFmtId="12" fontId="172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60" fillId="0" borderId="0" applyNumberFormat="0" applyFill="0" applyBorder="0" applyAlignment="0" applyProtection="0"/>
    <xf numFmtId="0" fontId="261" fillId="0" borderId="49" applyNumberFormat="0" applyFill="0" applyAlignment="0" applyProtection="0">
      <alignment vertical="center"/>
    </xf>
    <xf numFmtId="0" fontId="262" fillId="0" borderId="50" applyNumberFormat="0" applyFill="0" applyAlignment="0" applyProtection="0">
      <alignment vertical="center"/>
    </xf>
    <xf numFmtId="0" fontId="263" fillId="0" borderId="51" applyNumberFormat="0" applyFill="0" applyAlignment="0" applyProtection="0">
      <alignment vertical="center"/>
    </xf>
    <xf numFmtId="0" fontId="263" fillId="0" borderId="0" applyNumberFormat="0" applyFill="0" applyBorder="0" applyAlignment="0" applyProtection="0">
      <alignment vertical="center"/>
    </xf>
    <xf numFmtId="0" fontId="264" fillId="0" borderId="0" applyFill="0" applyBorder="0" applyProtection="0"/>
    <xf numFmtId="0" fontId="265" fillId="89" borderId="46" applyNumberFormat="0" applyAlignment="0" applyProtection="0">
      <alignment vertical="center"/>
    </xf>
    <xf numFmtId="0" fontId="266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169" fontId="244" fillId="0" borderId="0" applyFont="0" applyFill="0" applyBorder="0" applyAlignment="0" applyProtection="0"/>
    <xf numFmtId="189" fontId="245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68" fillId="0" borderId="0">
      <alignment horizontal="centerContinuous"/>
    </xf>
    <xf numFmtId="169" fontId="9" fillId="0" borderId="0" applyFont="0" applyFill="0" applyBorder="0" applyAlignment="0" applyProtection="0"/>
    <xf numFmtId="0" fontId="269" fillId="0" borderId="47" applyNumberFormat="0" applyFill="0" applyAlignment="0" applyProtection="0">
      <alignment vertical="center"/>
    </xf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270" fillId="0" borderId="0"/>
    <xf numFmtId="0" fontId="41" fillId="7" borderId="18" applyNumberFormat="0" applyAlignment="0" applyProtection="0"/>
    <xf numFmtId="0" fontId="3" fillId="21" borderId="27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70" fillId="0" borderId="0"/>
    <xf numFmtId="0" fontId="41" fillId="7" borderId="18" applyNumberFormat="0" applyAlignment="0" applyProtection="0"/>
    <xf numFmtId="0" fontId="2" fillId="21" borderId="27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7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1" fillId="0" borderId="0" xfId="0" applyFont="1"/>
    <xf numFmtId="0" fontId="21" fillId="0" borderId="6" xfId="0" applyFont="1" applyBorder="1"/>
    <xf numFmtId="0" fontId="21" fillId="0" borderId="7" xfId="0" applyFont="1" applyBorder="1"/>
    <xf numFmtId="0" fontId="21" fillId="0" borderId="11" xfId="0" applyFont="1" applyBorder="1"/>
    <xf numFmtId="0" fontId="21" fillId="0" borderId="8" xfId="0" applyFont="1" applyBorder="1"/>
    <xf numFmtId="0" fontId="21" fillId="0" borderId="12" xfId="0" applyFont="1" applyBorder="1"/>
    <xf numFmtId="0" fontId="21" fillId="0" borderId="10" xfId="0" applyFont="1" applyBorder="1"/>
    <xf numFmtId="0" fontId="21" fillId="0" borderId="3" xfId="0" applyFont="1" applyBorder="1"/>
    <xf numFmtId="0" fontId="21" fillId="0" borderId="13" xfId="0" applyFont="1" applyBorder="1"/>
    <xf numFmtId="0" fontId="21" fillId="0" borderId="1" xfId="0" applyFont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" xfId="0" applyFont="1" applyBorder="1"/>
    <xf numFmtId="0" fontId="21" fillId="12" borderId="14" xfId="0" applyFont="1" applyFill="1" applyBorder="1"/>
    <xf numFmtId="0" fontId="21" fillId="12" borderId="16" xfId="0" applyFont="1" applyFill="1" applyBorder="1"/>
    <xf numFmtId="0" fontId="21" fillId="12" borderId="9" xfId="0" applyFont="1" applyFill="1" applyBorder="1"/>
    <xf numFmtId="0" fontId="21" fillId="13" borderId="1" xfId="0" applyFont="1" applyFill="1" applyBorder="1" applyAlignment="1">
      <alignment horizontal="center"/>
    </xf>
    <xf numFmtId="0" fontId="21" fillId="14" borderId="1" xfId="0" applyFont="1" applyFill="1" applyBorder="1"/>
    <xf numFmtId="0" fontId="21" fillId="15" borderId="1" xfId="0" applyFont="1" applyFill="1" applyBorder="1" applyAlignment="1">
      <alignment horizontal="center"/>
    </xf>
    <xf numFmtId="9" fontId="21" fillId="11" borderId="1" xfId="0" applyNumberFormat="1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9" fontId="21" fillId="0" borderId="9" xfId="10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/>
    </xf>
    <xf numFmtId="0" fontId="23" fillId="3" borderId="14" xfId="1" applyFont="1" applyBorder="1"/>
    <xf numFmtId="0" fontId="23" fillId="3" borderId="16" xfId="1" applyFont="1" applyBorder="1"/>
    <xf numFmtId="0" fontId="23" fillId="3" borderId="9" xfId="1" applyFont="1" applyBorder="1"/>
    <xf numFmtId="0" fontId="24" fillId="5" borderId="19" xfId="3" applyFont="1" applyAlignment="1">
      <alignment horizontal="center"/>
    </xf>
    <xf numFmtId="0" fontId="25" fillId="0" borderId="0" xfId="0" applyFont="1"/>
    <xf numFmtId="0" fontId="21" fillId="17" borderId="14" xfId="0" applyFont="1" applyFill="1" applyBorder="1"/>
    <xf numFmtId="0" fontId="21" fillId="17" borderId="16" xfId="0" applyFont="1" applyFill="1" applyBorder="1"/>
    <xf numFmtId="0" fontId="21" fillId="17" borderId="9" xfId="0" applyFont="1" applyFill="1" applyBorder="1"/>
    <xf numFmtId="0" fontId="21" fillId="18" borderId="14" xfId="0" applyFont="1" applyFill="1" applyBorder="1"/>
    <xf numFmtId="0" fontId="21" fillId="18" borderId="16" xfId="0" applyFont="1" applyFill="1" applyBorder="1"/>
    <xf numFmtId="0" fontId="21" fillId="18" borderId="9" xfId="0" applyFont="1" applyFill="1" applyBorder="1"/>
    <xf numFmtId="0" fontId="21" fillId="18" borderId="1" xfId="0" applyFont="1" applyFill="1" applyBorder="1" applyAlignment="1">
      <alignment horizontal="center" vertical="top" wrapText="1"/>
    </xf>
    <xf numFmtId="0" fontId="21" fillId="12" borderId="15" xfId="0" applyFont="1" applyFill="1" applyBorder="1"/>
    <xf numFmtId="0" fontId="21" fillId="12" borderId="17" xfId="0" applyFont="1" applyFill="1" applyBorder="1"/>
    <xf numFmtId="0" fontId="21" fillId="12" borderId="4" xfId="0" applyFont="1" applyFill="1" applyBorder="1"/>
    <xf numFmtId="1" fontId="21" fillId="9" borderId="1" xfId="0" applyNumberFormat="1" applyFont="1" applyFill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27" fillId="4" borderId="21" xfId="9" applyFont="1" applyAlignment="1">
      <alignment horizontal="center" vertical="center"/>
    </xf>
    <xf numFmtId="1" fontId="22" fillId="16" borderId="19" xfId="3" applyNumberFormat="1" applyFont="1" applyFill="1" applyAlignment="1">
      <alignment horizontal="center"/>
    </xf>
    <xf numFmtId="0" fontId="28" fillId="7" borderId="18" xfId="4" applyFont="1" applyAlignment="1">
      <alignment horizontal="center"/>
    </xf>
    <xf numFmtId="1" fontId="21" fillId="0" borderId="0" xfId="0" applyNumberFormat="1" applyFont="1"/>
    <xf numFmtId="9" fontId="21" fillId="0" borderId="0" xfId="10" applyFont="1"/>
    <xf numFmtId="10" fontId="21" fillId="0" borderId="0" xfId="10" applyNumberFormat="1" applyFont="1" applyBorder="1"/>
    <xf numFmtId="10" fontId="21" fillId="0" borderId="12" xfId="10" applyNumberFormat="1" applyFont="1" applyBorder="1"/>
    <xf numFmtId="0" fontId="21" fillId="9" borderId="1" xfId="0" applyFont="1" applyFill="1" applyBorder="1" applyAlignment="1">
      <alignment horizontal="center" vertical="top" wrapText="1"/>
    </xf>
    <xf numFmtId="2" fontId="21" fillId="0" borderId="0" xfId="0" applyNumberFormat="1" applyFont="1"/>
    <xf numFmtId="0" fontId="34" fillId="0" borderId="0" xfId="0" applyFont="1" applyAlignment="1">
      <alignment vertical="top" wrapText="1"/>
    </xf>
    <xf numFmtId="0" fontId="34" fillId="0" borderId="12" xfId="0" applyFont="1" applyBorder="1" applyAlignment="1">
      <alignment vertical="top" wrapText="1"/>
    </xf>
    <xf numFmtId="2" fontId="21" fillId="0" borderId="12" xfId="0" applyNumberFormat="1" applyFont="1" applyBorder="1"/>
    <xf numFmtId="0" fontId="9" fillId="0" borderId="0" xfId="0" applyFont="1"/>
    <xf numFmtId="0" fontId="0" fillId="0" borderId="0" xfId="0" applyAlignment="1">
      <alignment vertical="top"/>
    </xf>
    <xf numFmtId="0" fontId="0" fillId="0" borderId="0" xfId="0" applyFont="1"/>
    <xf numFmtId="0" fontId="0" fillId="47" borderId="1" xfId="0" applyFill="1" applyBorder="1" applyAlignment="1">
      <alignment vertical="top"/>
    </xf>
    <xf numFmtId="0" fontId="0" fillId="90" borderId="1" xfId="0" applyFont="1" applyFill="1" applyBorder="1"/>
    <xf numFmtId="0" fontId="0" fillId="0" borderId="0" xfId="0" applyNumberFormat="1" applyAlignment="1">
      <alignment vertical="top"/>
    </xf>
    <xf numFmtId="1" fontId="0" fillId="0" borderId="0" xfId="0" applyNumberFormat="1" applyAlignment="1">
      <alignment horizontal="right" vertical="top"/>
    </xf>
    <xf numFmtId="218" fontId="0" fillId="0" borderId="0" xfId="0" applyNumberFormat="1" applyAlignment="1">
      <alignment horizontal="right" vertical="top"/>
    </xf>
    <xf numFmtId="0" fontId="272" fillId="0" borderId="0" xfId="0" applyFont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0" fillId="91" borderId="1" xfId="0" applyFont="1" applyFill="1" applyBorder="1"/>
    <xf numFmtId="3" fontId="0" fillId="91" borderId="1" xfId="0" applyNumberFormat="1" applyFont="1" applyFill="1" applyBorder="1" applyAlignment="1">
      <alignment horizontal="right"/>
    </xf>
    <xf numFmtId="4" fontId="0" fillId="91" borderId="1" xfId="0" applyNumberFormat="1" applyFont="1" applyFill="1" applyBorder="1" applyAlignment="1">
      <alignment horizontal="right"/>
    </xf>
    <xf numFmtId="0" fontId="0" fillId="0" borderId="0" xfId="0" applyNumberFormat="1" applyFont="1"/>
    <xf numFmtId="3" fontId="0" fillId="9" borderId="0" xfId="0" applyNumberFormat="1" applyFont="1" applyFill="1" applyAlignment="1">
      <alignment horizontal="right"/>
    </xf>
    <xf numFmtId="0" fontId="21" fillId="10" borderId="14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/>
    </xf>
    <xf numFmtId="0" fontId="29" fillId="19" borderId="0" xfId="0" applyFont="1" applyFill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6" fillId="4" borderId="24" xfId="2" applyFont="1" applyBorder="1" applyAlignment="1"/>
    <xf numFmtId="0" fontId="26" fillId="4" borderId="16" xfId="2" applyFont="1" applyBorder="1" applyAlignment="1"/>
    <xf numFmtId="0" fontId="26" fillId="4" borderId="25" xfId="2" applyFont="1" applyBorder="1" applyAlignment="1"/>
    <xf numFmtId="0" fontId="21" fillId="10" borderId="22" xfId="0" applyFont="1" applyFill="1" applyBorder="1" applyAlignment="1">
      <alignment horizontal="center"/>
    </xf>
    <xf numFmtId="0" fontId="21" fillId="10" borderId="23" xfId="0" applyFont="1" applyFill="1" applyBorder="1" applyAlignment="1">
      <alignment horizontal="center"/>
    </xf>
    <xf numFmtId="0" fontId="28" fillId="7" borderId="14" xfId="4" applyFont="1" applyBorder="1" applyAlignment="1">
      <alignment horizontal="center"/>
    </xf>
    <xf numFmtId="0" fontId="28" fillId="7" borderId="16" xfId="4" applyFont="1" applyBorder="1" applyAlignment="1">
      <alignment horizontal="center"/>
    </xf>
    <xf numFmtId="0" fontId="28" fillId="7" borderId="24" xfId="4" applyFont="1" applyBorder="1" applyAlignment="1">
      <alignment horizontal="center"/>
    </xf>
    <xf numFmtId="0" fontId="28" fillId="7" borderId="26" xfId="4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1" fontId="21" fillId="0" borderId="16" xfId="0" applyNumberFormat="1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15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1" fontId="21" fillId="16" borderId="14" xfId="0" applyNumberFormat="1" applyFont="1" applyFill="1" applyBorder="1" applyAlignment="1">
      <alignment horizontal="center"/>
    </xf>
    <xf numFmtId="1" fontId="21" fillId="16" borderId="16" xfId="0" applyNumberFormat="1" applyFont="1" applyFill="1" applyBorder="1" applyAlignment="1">
      <alignment horizontal="center"/>
    </xf>
    <xf numFmtId="0" fontId="21" fillId="16" borderId="14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</cellXfs>
  <cellStyles count="2875">
    <cellStyle name="､@ｯ・､ｭ､ " xfId="111" xr:uid="{00000000-0005-0000-0000-000000000000}"/>
    <cellStyle name="､@ｯ・ｰl･[ｨ｣ｿn" xfId="112" xr:uid="{00000000-0005-0000-0000-000001000000}"/>
    <cellStyle name="､@ｯ・185W SSP MASTER LIST(BG)-1" xfId="113" xr:uid="{00000000-0005-0000-0000-000002000000}"/>
    <cellStyle name="､@ｯ・185W-KD" xfId="114" xr:uid="{00000000-0005-0000-0000-000003000000}"/>
    <cellStyle name="､@ｯ・186w FINAL CAL (1213-FINAL)" xfId="115" xr:uid="{00000000-0005-0000-0000-000004000000}"/>
    <cellStyle name="､@ｯ・186w FINAL CAL (1213-FINAL)010111revise" xfId="116" xr:uid="{00000000-0005-0000-0000-000005000000}"/>
    <cellStyle name="､@ｯ・428N?ｻsｨ｣ｿn､ﾀｪR(ｸｹｸﾕ､ﾀｪR)1219" xfId="117" xr:uid="{00000000-0005-0000-0000-000006000000}"/>
    <cellStyle name="､@ｯ・Book3" xfId="118" xr:uid="{00000000-0005-0000-0000-000007000000}"/>
    <cellStyle name="､@ｯ・Sheet1" xfId="119" xr:uid="{00000000-0005-0000-0000-000008000000}"/>
    <cellStyle name="､@ｯ・ｹsｬP･X､f" xfId="120" xr:uid="{00000000-0005-0000-0000-000009000000}"/>
    <cellStyle name="､d､ﾀｦ・､ｭ､ " xfId="121" xr:uid="{00000000-0005-0000-0000-00000A000000}"/>
    <cellStyle name="､d､ﾀｦ・0]_､ｭ､ " xfId="122" xr:uid="{00000000-0005-0000-0000-00000B000000}"/>
    <cellStyle name="､d､ﾀｦ・Sheet1" xfId="123" xr:uid="{00000000-0005-0000-0000-00000C000000}"/>
    <cellStyle name="??" xfId="124" xr:uid="{00000000-0005-0000-0000-00000D000000}"/>
    <cellStyle name="?? [0.00]_Book2 ??? 2" xfId="125" xr:uid="{00000000-0005-0000-0000-00000E000000}"/>
    <cellStyle name="?? [0]_1202" xfId="126" xr:uid="{00000000-0005-0000-0000-00000F000000}"/>
    <cellStyle name="???" xfId="127" xr:uid="{00000000-0005-0000-0000-000010000000}"/>
    <cellStyle name="??? [0]_???" xfId="128" xr:uid="{00000000-0005-0000-0000-000011000000}"/>
    <cellStyle name="????" xfId="129" xr:uid="{00000000-0005-0000-0000-000012000000}"/>
    <cellStyle name="???? [0.00]_076WEPD" xfId="130" xr:uid="{00000000-0005-0000-0000-000013000000}"/>
    <cellStyle name="???? [0]_???" xfId="131" xr:uid="{00000000-0005-0000-0000-000014000000}"/>
    <cellStyle name="???????" xfId="132" xr:uid="{00000000-0005-0000-0000-000015000000}"/>
    <cellStyle name="????????????" xfId="133" xr:uid="{00000000-0005-0000-0000-000016000000}"/>
    <cellStyle name="??????????????? [0]_PERSONAL" xfId="134" xr:uid="{00000000-0005-0000-0000-000017000000}"/>
    <cellStyle name="???????????????? [0]_PERSONAL" xfId="135" xr:uid="{00000000-0005-0000-0000-000018000000}"/>
    <cellStyle name="?????????????????_PERSONAL" xfId="136" xr:uid="{00000000-0005-0000-0000-000019000000}"/>
    <cellStyle name="????????????????_PERSONAL" xfId="137" xr:uid="{00000000-0005-0000-0000-00001A000000}"/>
    <cellStyle name="???????????????_PERSONAL" xfId="138" xr:uid="{00000000-0005-0000-0000-00001B000000}"/>
    <cellStyle name="????????????_Priolity control" xfId="139" xr:uid="{00000000-0005-0000-0000-00001C000000}"/>
    <cellStyle name="???????_MRP 043L,299L,351L DEC'08" xfId="140" xr:uid="{00000000-0005-0000-0000-00001D000000}"/>
    <cellStyle name="??????_????????" xfId="141" xr:uid="{00000000-0005-0000-0000-00001E000000}"/>
    <cellStyle name="??????g?rim Pro" xfId="142" xr:uid="{00000000-0005-0000-0000-00001F000000}"/>
    <cellStyle name="?????_??????" xfId="143" xr:uid="{00000000-0005-0000-0000-000020000000}"/>
    <cellStyle name="????_???" xfId="144" xr:uid="{00000000-0005-0000-0000-000021000000}"/>
    <cellStyle name="???_???" xfId="145" xr:uid="{00000000-0005-0000-0000-000022000000}"/>
    <cellStyle name="??[0]_95136" xfId="146" xr:uid="{00000000-0005-0000-0000-000023000000}"/>
    <cellStyle name="??_$$1115" xfId="147" xr:uid="{00000000-0005-0000-0000-000024000000}"/>
    <cellStyle name="??f?`" xfId="148" xr:uid="{00000000-0005-0000-0000-000025000000}"/>
    <cellStyle name="??8" xfId="149" xr:uid="{00000000-0005-0000-0000-000026000000}"/>
    <cellStyle name="??e?" xfId="150" xr:uid="{00000000-0005-0000-0000-000027000000}"/>
    <cellStyle name="??? [0.00]_076WEPD" xfId="151" xr:uid="{00000000-0005-0000-0000-000028000000}"/>
    <cellStyle name="???_076WEPD" xfId="152" xr:uid="{00000000-0005-0000-0000-000029000000}"/>
    <cellStyle name="??? [0.00]_??" xfId="153" xr:uid="{00000000-0005-0000-0000-00002A000000}"/>
    <cellStyle name="???_??" xfId="154" xr:uid="{00000000-0005-0000-0000-00002B000000}"/>
    <cellStyle name="??唇? [0.00]_076WEPD" xfId="155" xr:uid="{00000000-0005-0000-0000-00002C000000}"/>
    <cellStyle name="??唇?_076WEPD" xfId="156" xr:uid="{00000000-0005-0000-0000-00002D000000}"/>
    <cellStyle name="??耰? [0.00]_076WEPD" xfId="157" xr:uid="{00000000-0005-0000-0000-00002E000000}"/>
    <cellStyle name="??耰?_076WEPD" xfId="158" xr:uid="{00000000-0005-0000-0000-00002F000000}"/>
    <cellStyle name="?@｡ﾃ??-? " xfId="159" xr:uid="{00000000-0005-0000-0000-000030000000}"/>
    <cellStyle name="?@｡ﾃ?Sheet1" xfId="160" xr:uid="{00000000-0005-0000-0000-000031000000}"/>
    <cellStyle name="?@???-? " xfId="161" xr:uid="{00000000-0005-0000-0000-000032000000}"/>
    <cellStyle name="?@????? " xfId="162" xr:uid="{00000000-0005-0000-0000-000033000000}"/>
    <cellStyle name="?@???l?[???n" xfId="163" xr:uid="{00000000-0005-0000-0000-000034000000}"/>
    <cellStyle name="?@??Sheet1" xfId="164" xr:uid="{00000000-0005-0000-0000-000035000000}"/>
    <cellStyle name="?@￣??-? " xfId="165" xr:uid="{00000000-0005-0000-0000-000036000000}"/>
    <cellStyle name="?@￣?Sheet1" xfId="166" xr:uid="{00000000-0005-0000-0000-000037000000}"/>
    <cellStyle name="?@￣・?-? " xfId="167" xr:uid="{00000000-0005-0000-0000-000038000000}"/>
    <cellStyle name="?@￣・Sheet1" xfId="168" xr:uid="{00000000-0005-0000-0000-000039000000}"/>
    <cellStyle name="?@¯e_?a?W°a" xfId="169" xr:uid="{00000000-0005-0000-0000-00003A000000}"/>
    <cellStyle name="?@￣e_?a?W°a" xfId="170" xr:uid="{00000000-0005-0000-0000-00003B000000}"/>
    <cellStyle name="?@?-? " xfId="171" xr:uid="{00000000-0005-0000-0000-00003C000000}"/>
    <cellStyle name="?@Sheet1" xfId="172" xr:uid="{00000000-0005-0000-0000-00003D000000}"/>
    <cellStyle name="?\??????????g?" xfId="173" xr:uid="{00000000-0005-0000-0000-00003E000000}"/>
    <cellStyle name="?\・・・・ハイパーリメgク" xfId="174" xr:uid="{00000000-0005-0000-0000-00003F000000}"/>
    <cellStyle name="?\・・R?R??n?C?pc[?・“?N" xfId="175" xr:uid="{00000000-0005-0000-0000-000040000000}"/>
    <cellStyle name="?\????nCp[gN" xfId="176" xr:uid="{00000000-0005-0000-0000-000041000000}"/>
    <cellStyle name="?\EEEEnCp[gN" xfId="177" xr:uid="{00000000-0005-0000-0000-000042000000}"/>
    <cellStyle name="–?’?`" xfId="178" xr:uid="{00000000-0005-0000-0000-000043000000}"/>
    <cellStyle name="?©E? [0]_????" xfId="179" xr:uid="{00000000-0005-0000-0000-000044000000}"/>
    <cellStyle name="?©E?_????" xfId="180" xr:uid="{00000000-0005-0000-0000-000045000000}"/>
    <cellStyle name="?…??・?? [0.00]_camry-avalon" xfId="181" xr:uid="{00000000-0005-0000-0000-000046000000}"/>
    <cellStyle name="?…??・??_camry-avalon" xfId="182" xr:uid="{00000000-0005-0000-0000-000047000000}"/>
    <cellStyle name="?…????? [0.00]_Erb tsm " xfId="183" xr:uid="{00000000-0005-0000-0000-000048000000}"/>
    <cellStyle name="?…?????_Erb tsm " xfId="184" xr:uid="{00000000-0005-0000-0000-000049000000}"/>
    <cellStyle name="?E? [0]_????" xfId="185" xr:uid="{00000000-0005-0000-0000-00004A000000}"/>
    <cellStyle name="?E?_????" xfId="186" xr:uid="{00000000-0005-0000-0000-00004B000000}"/>
    <cellStyle name="?c??? [0.00]_larouxccRH" xfId="187" xr:uid="{00000000-0005-0000-0000-00004C000000}"/>
    <cellStyle name="?c???_laroux_TOO" xfId="188" xr:uid="{00000000-0005-0000-0000-00004D000000}"/>
    <cellStyle name="?d??????? " xfId="189" xr:uid="{00000000-0005-0000-0000-00004E000000}"/>
    <cellStyle name="?d????0]_??? " xfId="190" xr:uid="{00000000-0005-0000-0000-00004F000000}"/>
    <cellStyle name="?d????Sheet1" xfId="191" xr:uid="{00000000-0005-0000-0000-000050000000}"/>
    <cellStyle name="?d?A|??-? " xfId="192" xr:uid="{00000000-0005-0000-0000-000051000000}"/>
    <cellStyle name="?d?A|?0]_?-? " xfId="193" xr:uid="{00000000-0005-0000-0000-000052000000}"/>
    <cellStyle name="?d?A|?Sheet1" xfId="194" xr:uid="{00000000-0005-0000-0000-000053000000}"/>
    <cellStyle name="?d?A|・?-? " xfId="195" xr:uid="{00000000-0005-0000-0000-000054000000}"/>
    <cellStyle name="?d?A|・0]_?-? " xfId="196" xr:uid="{00000000-0005-0000-0000-000055000000}"/>
    <cellStyle name="?d?A|・Sheet1" xfId="197" xr:uid="{00000000-0005-0000-0000-000056000000}"/>
    <cellStyle name="?d?A|i[0]_?H￥o?O" xfId="198" xr:uid="{00000000-0005-0000-0000-000057000000}"/>
    <cellStyle name="?d?A|i_?H￥o?O" xfId="199" xr:uid="{00000000-0005-0000-0000-000058000000}"/>
    <cellStyle name="?d?A|?-? " xfId="200" xr:uid="{00000000-0005-0000-0000-000059000000}"/>
    <cellStyle name="?d?A|0]_?-? " xfId="201" xr:uid="{00000000-0005-0000-0000-00005A000000}"/>
    <cellStyle name="?d?A|Sheet1" xfId="202" xr:uid="{00000000-0005-0000-0000-00005B000000}"/>
    <cellStyle name="?f??[0]_??? " xfId="203" xr:uid="{00000000-0005-0000-0000-00005C000000}"/>
    <cellStyle name="?f???? " xfId="204" xr:uid="{00000000-0005-0000-0000-00005D000000}"/>
    <cellStyle name="?f?Sheet1" xfId="205" xr:uid="{00000000-0005-0000-0000-00005E000000}"/>
    <cellStyle name="?f???? " xfId="206" xr:uid="{00000000-0005-0000-0000-00005F000000}"/>
    <cellStyle name="?f?Sheet1" xfId="207" xr:uid="{00000000-0005-0000-0000-000060000000}"/>
    <cellStyle name="?n?C?pc[?・“?N" xfId="208" xr:uid="{00000000-0005-0000-0000-000061000000}"/>
    <cellStyle name="?W?_190 operation lay out" xfId="209" xr:uid="{00000000-0005-0000-0000-000062000000}"/>
    <cellStyle name="?W・_Sheet1h" xfId="210" xr:uid="{00000000-0005-0000-0000-000063000000}"/>
    <cellStyle name="?W?_$$1115" xfId="211" xr:uid="{00000000-0005-0000-0000-000064000000}"/>
    <cellStyle name="?W" xfId="212" xr:uid="{00000000-0005-0000-0000-000065000000}"/>
    <cellStyle name="?WE_Sheet1h" xfId="213" xr:uid="{00000000-0005-0000-0000-000066000000}"/>
    <cellStyle name="?W準_190 operation lay out" xfId="214" xr:uid="{00000000-0005-0000-0000-000067000000}"/>
    <cellStyle name="?ｮ・[0.00]_076WEPD" xfId="215" xr:uid="{00000000-0005-0000-0000-000068000000}"/>
    <cellStyle name="?ｮ銈076WEPD" xfId="216" xr:uid="{00000000-0005-0000-0000-000069000000}"/>
    <cellStyle name="???????????" xfId="217" xr:uid="{00000000-0005-0000-0000-00006A000000}"/>
    <cellStyle name="?_316NP(000413)99??3.3" xfId="218" xr:uid="{00000000-0005-0000-0000-00006B000000}"/>
    <cellStyle name="?" xfId="219" xr:uid="{00000000-0005-0000-0000-00006C000000}"/>
    <cellStyle name="? [0.00]_076WEPD" xfId="220" xr:uid="{00000000-0005-0000-0000-00006D000000}"/>
    <cellStyle name="?_076WEPD" xfId="221" xr:uid="{00000000-0005-0000-0000-00006E000000}"/>
    <cellStyle name="? [0.00]_??" xfId="222" xr:uid="{00000000-0005-0000-0000-00006F000000}"/>
    <cellStyle name="?_??" xfId="223" xr:uid="{00000000-0005-0000-0000-000070000000}"/>
    <cellStyle name="?浦 [0.00]_076WEPD" xfId="224" xr:uid="{00000000-0005-0000-0000-000071000000}"/>
    <cellStyle name="?浦_076WEPD" xfId="225" xr:uid="{00000000-0005-0000-0000-000072000000}"/>
    <cellStyle name="_4-05-2010" xfId="226" xr:uid="{00000000-0005-0000-0000-000073000000}"/>
    <cellStyle name="_Copy of format yst" xfId="227" xr:uid="{00000000-0005-0000-0000-000074000000}"/>
    <cellStyle name="_Copy of YST MTG" xfId="228" xr:uid="{00000000-0005-0000-0000-000075000000}"/>
    <cellStyle name="_EVALUATION" xfId="229" xr:uid="{00000000-0005-0000-0000-000076000000}"/>
    <cellStyle name="_EVALUATION_1" xfId="230" xr:uid="{00000000-0005-0000-0000-000077000000}"/>
    <cellStyle name="_EVALUATION_2" xfId="231" xr:uid="{00000000-0005-0000-0000-000078000000}"/>
    <cellStyle name="_EVALUATION_3" xfId="232" xr:uid="{00000000-0005-0000-0000-000079000000}"/>
    <cellStyle name="_EVALUATION_4" xfId="233" xr:uid="{00000000-0005-0000-0000-00007A000000}"/>
    <cellStyle name="_EVALUATION_5" xfId="234" xr:uid="{00000000-0005-0000-0000-00007B000000}"/>
    <cellStyle name="_FIS.xls Chart 1" xfId="235" xr:uid="{00000000-0005-0000-0000-00007C000000}"/>
    <cellStyle name="_FIS.xls Chart 2" xfId="236" xr:uid="{00000000-0005-0000-0000-00007D000000}"/>
    <cellStyle name="_FIS.xls Chart 2-1" xfId="237" xr:uid="{00000000-0005-0000-0000-00007E000000}"/>
    <cellStyle name="_FIS.xls Chart 3" xfId="238" xr:uid="{00000000-0005-0000-0000-00007F000000}"/>
    <cellStyle name="_FIS.xls Chart 4" xfId="239" xr:uid="{00000000-0005-0000-0000-000080000000}"/>
    <cellStyle name="_FORMAT" xfId="240" xr:uid="{00000000-0005-0000-0000-000081000000}"/>
    <cellStyle name="_FORMAT_example concept of saftey" xfId="241" xr:uid="{00000000-0005-0000-0000-000082000000}"/>
    <cellStyle name="_imm group fis.xls Chart 1" xfId="242" xr:uid="{00000000-0005-0000-0000-000083000000}"/>
    <cellStyle name="_imm group fis.xls Chart 14" xfId="243" xr:uid="{00000000-0005-0000-0000-000084000000}"/>
    <cellStyle name="_imm group fis.xls Chart 15" xfId="244" xr:uid="{00000000-0005-0000-0000-000085000000}"/>
    <cellStyle name="_imm group fis.xls Chart 16" xfId="245" xr:uid="{00000000-0005-0000-0000-000086000000}"/>
    <cellStyle name="_imm group fis.xls Chart 2" xfId="246" xr:uid="{00000000-0005-0000-0000-000087000000}"/>
    <cellStyle name="_imm group fis.xls Chart 3" xfId="247" xr:uid="{00000000-0005-0000-0000-000088000000}"/>
    <cellStyle name="_imm group fis.xls Chart 6" xfId="248" xr:uid="{00000000-0005-0000-0000-000089000000}"/>
    <cellStyle name="_imm group fis.xls Chart 6-1" xfId="249" xr:uid="{00000000-0005-0000-0000-00008A000000}"/>
    <cellStyle name="_imm group fis.xls Chart 7" xfId="250" xr:uid="{00000000-0005-0000-0000-00008B000000}"/>
    <cellStyle name="_imm group fis.xls Chart 7-1" xfId="251" xr:uid="{00000000-0005-0000-0000-00008C000000}"/>
    <cellStyle name="_imm group fis.xls Chart 8" xfId="252" xr:uid="{00000000-0005-0000-0000-00008D000000}"/>
    <cellStyle name="_imm group fis.xls Chart 8-1" xfId="253" xr:uid="{00000000-0005-0000-0000-00008E000000}"/>
    <cellStyle name="_IMM monthly" xfId="254" xr:uid="{00000000-0005-0000-0000-00008F000000}"/>
    <cellStyle name="_IMM monthly_Copy of YST MTG" xfId="255" xr:uid="{00000000-0005-0000-0000-000090000000}"/>
    <cellStyle name="_IMM monthly_Copy of YST MTG_example concept of saftey" xfId="256" xr:uid="{00000000-0005-0000-0000-000091000000}"/>
    <cellStyle name="_IMM monthly_FIS.xls Chart 1" xfId="257" xr:uid="{00000000-0005-0000-0000-000092000000}"/>
    <cellStyle name="_IMM monthly_FIS.xls Chart 1_example concept of saftey" xfId="258" xr:uid="{00000000-0005-0000-0000-000093000000}"/>
    <cellStyle name="_IMM monthly_FIS.xls Chart 2" xfId="259" xr:uid="{00000000-0005-0000-0000-000094000000}"/>
    <cellStyle name="_IMM monthly_FIS.xls Chart 2_example concept of saftey" xfId="260" xr:uid="{00000000-0005-0000-0000-000095000000}"/>
    <cellStyle name="_IMM monthly_FIS.xls Chart 2-1" xfId="261" xr:uid="{00000000-0005-0000-0000-000096000000}"/>
    <cellStyle name="_IMM monthly_FIS.xls Chart 2-1_example concept of saftey" xfId="262" xr:uid="{00000000-0005-0000-0000-000097000000}"/>
    <cellStyle name="_IMM monthly_FIS.xls Chart 3" xfId="263" xr:uid="{00000000-0005-0000-0000-000098000000}"/>
    <cellStyle name="_IMM monthly_FIS.xls Chart 3_example concept of saftey" xfId="264" xr:uid="{00000000-0005-0000-0000-000099000000}"/>
    <cellStyle name="_IMM monthly_FIS.xls Chart 4" xfId="265" xr:uid="{00000000-0005-0000-0000-00009A000000}"/>
    <cellStyle name="_IMM monthly_FIS.xls Chart 4_example concept of saftey" xfId="266" xr:uid="{00000000-0005-0000-0000-00009B000000}"/>
    <cellStyle name="_IMM monthly_imm group fis.xls Chart 1" xfId="267" xr:uid="{00000000-0005-0000-0000-00009C000000}"/>
    <cellStyle name="_IMM monthly_imm group fis.xls Chart 1_example concept of saftey" xfId="268" xr:uid="{00000000-0005-0000-0000-00009D000000}"/>
    <cellStyle name="_IMM monthly_imm group fis.xls Chart 14" xfId="269" xr:uid="{00000000-0005-0000-0000-00009E000000}"/>
    <cellStyle name="_IMM monthly_imm group fis.xls Chart 14_example concept of saftey" xfId="270" xr:uid="{00000000-0005-0000-0000-00009F000000}"/>
    <cellStyle name="_IMM monthly_imm group fis.xls Chart 15" xfId="271" xr:uid="{00000000-0005-0000-0000-0000A0000000}"/>
    <cellStyle name="_IMM monthly_imm group fis.xls Chart 15_example concept of saftey" xfId="272" xr:uid="{00000000-0005-0000-0000-0000A1000000}"/>
    <cellStyle name="_IMM monthly_imm group fis.xls Chart 16" xfId="273" xr:uid="{00000000-0005-0000-0000-0000A2000000}"/>
    <cellStyle name="_IMM monthly_imm group fis.xls Chart 16_example concept of saftey" xfId="274" xr:uid="{00000000-0005-0000-0000-0000A3000000}"/>
    <cellStyle name="_IMM monthly_imm group fis.xls Chart 2" xfId="275" xr:uid="{00000000-0005-0000-0000-0000A4000000}"/>
    <cellStyle name="_IMM monthly_imm group fis.xls Chart 2_example concept of saftey" xfId="276" xr:uid="{00000000-0005-0000-0000-0000A5000000}"/>
    <cellStyle name="_IMM monthly_imm group fis.xls Chart 3" xfId="277" xr:uid="{00000000-0005-0000-0000-0000A6000000}"/>
    <cellStyle name="_IMM monthly_imm group fis.xls Chart 3_example concept of saftey" xfId="278" xr:uid="{00000000-0005-0000-0000-0000A7000000}"/>
    <cellStyle name="_IMM monthly_imm group fis.xls Chart 6" xfId="279" xr:uid="{00000000-0005-0000-0000-0000A8000000}"/>
    <cellStyle name="_IMM monthly_imm group fis.xls Chart 6_example concept of saftey" xfId="280" xr:uid="{00000000-0005-0000-0000-0000A9000000}"/>
    <cellStyle name="_IMM monthly_imm group fis.xls Chart 6-1" xfId="281" xr:uid="{00000000-0005-0000-0000-0000AA000000}"/>
    <cellStyle name="_IMM monthly_imm group fis.xls Chart 6-1_example concept of saftey" xfId="282" xr:uid="{00000000-0005-0000-0000-0000AB000000}"/>
    <cellStyle name="_IMM monthly_imm group fis.xls Chart 7" xfId="283" xr:uid="{00000000-0005-0000-0000-0000AC000000}"/>
    <cellStyle name="_IMM monthly_imm group fis.xls Chart 7_example concept of saftey" xfId="284" xr:uid="{00000000-0005-0000-0000-0000AD000000}"/>
    <cellStyle name="_IMM monthly_imm group fis.xls Chart 7-1" xfId="285" xr:uid="{00000000-0005-0000-0000-0000AE000000}"/>
    <cellStyle name="_IMM monthly_imm group fis.xls Chart 7-1_example concept of saftey" xfId="286" xr:uid="{00000000-0005-0000-0000-0000AF000000}"/>
    <cellStyle name="_IMM monthly_imm group fis.xls Chart 8" xfId="287" xr:uid="{00000000-0005-0000-0000-0000B0000000}"/>
    <cellStyle name="_IMM monthly_imm group fis.xls Chart 8_example concept of saftey" xfId="288" xr:uid="{00000000-0005-0000-0000-0000B1000000}"/>
    <cellStyle name="_IMM monthly_imm group fis.xls Chart 8-1" xfId="289" xr:uid="{00000000-0005-0000-0000-0000B2000000}"/>
    <cellStyle name="_IMM monthly_imm group fis.xls Chart 8-1_example concept of saftey" xfId="290" xr:uid="{00000000-0005-0000-0000-0000B3000000}"/>
    <cellStyle name="_IMM monthly_YST MTG" xfId="291" xr:uid="{00000000-0005-0000-0000-0000B4000000}"/>
    <cellStyle name="_IMM monthly_YST MTG_example concept of saftey" xfId="292" xr:uid="{00000000-0005-0000-0000-0000B5000000}"/>
    <cellStyle name="_IMM1" xfId="293" xr:uid="{00000000-0005-0000-0000-0000B6000000}"/>
    <cellStyle name="_IMM1.xls Chart 2" xfId="294" xr:uid="{00000000-0005-0000-0000-0000B7000000}"/>
    <cellStyle name="_IMM1.xls Chart 3" xfId="295" xr:uid="{00000000-0005-0000-0000-0000B8000000}"/>
    <cellStyle name="_SAFETY" xfId="296" xr:uid="{00000000-0005-0000-0000-0000B9000000}"/>
    <cellStyle name="_SAFETY_1" xfId="297" xr:uid="{00000000-0005-0000-0000-0000BA000000}"/>
    <cellStyle name="_SAFETY_2" xfId="298" xr:uid="{00000000-0005-0000-0000-0000BB000000}"/>
    <cellStyle name="_SAFETY_3" xfId="299" xr:uid="{00000000-0005-0000-0000-0000BC000000}"/>
    <cellStyle name="_SAFETY_4" xfId="300" xr:uid="{00000000-0005-0000-0000-0000BD000000}"/>
    <cellStyle name="_SAFETY_5" xfId="301" xr:uid="{00000000-0005-0000-0000-0000BE000000}"/>
    <cellStyle name="_YST APR 01.xls Chart 2" xfId="302" xr:uid="{00000000-0005-0000-0000-0000BF000000}"/>
    <cellStyle name="_YST APR 01.xls Chart 2_example concept of saftey" xfId="303" xr:uid="{00000000-0005-0000-0000-0000C0000000}"/>
    <cellStyle name="_YST APR 01.xls Chart 3" xfId="304" xr:uid="{00000000-0005-0000-0000-0000C1000000}"/>
    <cellStyle name="_YST APR 01.xls Chart 3_example concept of saftey" xfId="305" xr:uid="{00000000-0005-0000-0000-0000C2000000}"/>
    <cellStyle name="_yst jun'01" xfId="306" xr:uid="{00000000-0005-0000-0000-0000C3000000}"/>
    <cellStyle name="_yst jun'01_example concept of saftey" xfId="307" xr:uid="{00000000-0005-0000-0000-0000C4000000}"/>
    <cellStyle name="_YST MTG" xfId="308" xr:uid="{00000000-0005-0000-0000-0000C5000000}"/>
    <cellStyle name="_YST REPORT.xls Chart 1" xfId="309" xr:uid="{00000000-0005-0000-0000-0000C6000000}"/>
    <cellStyle name="_YST REPORT.xls Chart 1_example concept of saftey" xfId="310" xr:uid="{00000000-0005-0000-0000-0000C7000000}"/>
    <cellStyle name="_YST REPORT.xls Chart 2" xfId="311" xr:uid="{00000000-0005-0000-0000-0000C8000000}"/>
    <cellStyle name="_YST REPORT.xls Chart 2_example concept of saftey" xfId="312" xr:uid="{00000000-0005-0000-0000-0000C9000000}"/>
    <cellStyle name="_ปัญหาความถี่สูงจากการเช็คของยานสยาม.xls Chart 6" xfId="313" xr:uid="{00000000-0005-0000-0000-0000CA000000}"/>
    <cellStyle name="_ปัญหาความถี่สูงจากการเช็คของยานสยาม.xls Chart 6_example concept of saftey" xfId="314" xr:uid="{00000000-0005-0000-0000-0000CB000000}"/>
    <cellStyle name="{bA_S)C-I015" xfId="315" xr:uid="{00000000-0005-0000-0000-0000CC000000}"/>
    <cellStyle name="،솃Կ匀甀洀洀愀爀礀䤀渀昀漀爀洀愀琀椀漀渀" xfId="316" xr:uid="{00000000-0005-0000-0000-0000CD000000}"/>
    <cellStyle name="’??? [0.00]_TMCA Spreadsheet(body)" xfId="317" xr:uid="{00000000-0005-0000-0000-0000CE000000}"/>
    <cellStyle name="’???_TMCA Spreadsheet(body)" xfId="318" xr:uid="{00000000-0005-0000-0000-0000CF000000}"/>
    <cellStyle name="’?‰? [0.00]_camry-avalon" xfId="319" xr:uid="{00000000-0005-0000-0000-0000D0000000}"/>
    <cellStyle name="’?‰?_camry-avalon" xfId="320" xr:uid="{00000000-0005-0000-0000-0000D1000000}"/>
    <cellStyle name="’?? [0.00]_®`®k®s3" xfId="321" xr:uid="{00000000-0005-0000-0000-0000D2000000}"/>
    <cellStyle name="’??_®`®k®s3" xfId="322" xr:uid="{00000000-0005-0000-0000-0000D3000000}"/>
    <cellStyle name="’Ê‰Ý [0.00]_TMCA Spreadsheet(body)" xfId="323" xr:uid="{00000000-0005-0000-0000-0000D4000000}"/>
    <cellStyle name="’Ê‰Ý_TMCA Spreadsheet(body)" xfId="324" xr:uid="{00000000-0005-0000-0000-0000D5000000}"/>
    <cellStyle name="’ส [0.00]" xfId="325" xr:uid="{00000000-0005-0000-0000-0000D6000000}"/>
    <cellStyle name="’ส_laroux" xfId="326" xr:uid="{00000000-0005-0000-0000-0000D7000000}"/>
    <cellStyle name="»¡µÔ_¢ÒÇ ÊÇÂ ËÁÇÂ à«ç¡" xfId="327" xr:uid="{00000000-0005-0000-0000-0000D8000000}"/>
    <cellStyle name="・・ [0.00]_aola" xfId="328" xr:uid="{00000000-0005-0000-0000-0000D9000000}"/>
    <cellStyle name="・・_aola" xfId="329" xr:uid="{00000000-0005-0000-0000-0000DA000000}"/>
    <cellStyle name="・・義" xfId="330" xr:uid="{00000000-0005-0000-0000-0000DB000000}"/>
    <cellStyle name="•\??®?®?™n™C™p©[™™“™N" xfId="331" xr:uid="{00000000-0005-0000-0000-0000DC000000}"/>
    <cellStyle name="•\????nCp[“N" xfId="332" xr:uid="{00000000-0005-0000-0000-0000DD000000}"/>
    <cellStyle name="•W€" xfId="333" xr:uid="{00000000-0005-0000-0000-0000DE000000}"/>
    <cellStyle name="•W" xfId="334" xr:uid="{00000000-0005-0000-0000-0000DF000000}"/>
    <cellStyle name="᠁渀最猀愀渀愀唀倀䌀᠀Āᰀᰀ吀最" xfId="335" xr:uid="{00000000-0005-0000-0000-0000E0000000}"/>
    <cellStyle name="??_`ks3" xfId="336" xr:uid="{00000000-0005-0000-0000-0000E1000000}"/>
    <cellStyle name="\|IEEnCp[N" xfId="337" xr:uid="{00000000-0005-0000-0000-0000E2000000}"/>
    <cellStyle name="\¦ÏÝÌnCp[N" xfId="338" xr:uid="{00000000-0005-0000-0000-0000E3000000}"/>
    <cellStyle name="¢è`" xfId="339" xr:uid="{00000000-0005-0000-0000-0000E4000000}"/>
    <cellStyle name="…??®? [0.00]_laroux" xfId="340" xr:uid="{00000000-0005-0000-0000-0000E5000000}"/>
    <cellStyle name="…??®?_laroux" xfId="341" xr:uid="{00000000-0005-0000-0000-0000E6000000}"/>
    <cellStyle name="…??? [0.00]_laroux" xfId="342" xr:uid="{00000000-0005-0000-0000-0000E7000000}"/>
    <cellStyle name="…???_laroux" xfId="343" xr:uid="{00000000-0005-0000-0000-0000E8000000}"/>
    <cellStyle name="…ๆุ®่ [0.00]" xfId="344" xr:uid="{00000000-0005-0000-0000-0000E9000000}"/>
    <cellStyle name="…ๆุ®่_laroux" xfId="345" xr:uid="{00000000-0005-0000-0000-0000EA000000}"/>
    <cellStyle name="…ๆุ่ [0.00]_laroux" xfId="346" xr:uid="{00000000-0005-0000-0000-0000EB000000}"/>
    <cellStyle name="…ๆุ่_laroux" xfId="347" xr:uid="{00000000-0005-0000-0000-0000EC000000}"/>
    <cellStyle name="e`" xfId="348" xr:uid="{00000000-0005-0000-0000-0000ED000000}"/>
    <cellStyle name="aOe [0.00]_EjZL1p5cbwD9GdswfqamdXpJJ" xfId="349" xr:uid="{00000000-0005-0000-0000-0000EE000000}"/>
    <cellStyle name="aOe_EjZL1p5cbwD9GdswfqamdXpJJ" xfId="350" xr:uid="{00000000-0005-0000-0000-0000EF000000}"/>
    <cellStyle name="æØè [0.00]_laroux" xfId="351" xr:uid="{00000000-0005-0000-0000-0000F0000000}"/>
    <cellStyle name="æØè_laroux" xfId="352" xr:uid="{00000000-0005-0000-0000-0000F1000000}"/>
    <cellStyle name="EEE [0.00]_Sheet1" xfId="353" xr:uid="{00000000-0005-0000-0000-0000F2000000}"/>
    <cellStyle name="c??? [0.00]_laroux" xfId="354" xr:uid="{00000000-0005-0000-0000-0000F3000000}"/>
    <cellStyle name="c???_laroux" xfId="355" xr:uid="{00000000-0005-0000-0000-0000F4000000}"/>
    <cellStyle name="cEEE [0.00]_larouxccRH" xfId="356" xr:uid="{00000000-0005-0000-0000-0000F5000000}"/>
    <cellStyle name="cEEE_laroux_TOO" xfId="357" xr:uid="{00000000-0005-0000-0000-0000F6000000}"/>
    <cellStyle name="ÊÝ [0.00]_`ks3" xfId="358" xr:uid="{00000000-0005-0000-0000-0000F7000000}"/>
    <cellStyle name="EY [0.00]_aola" xfId="359" xr:uid="{00000000-0005-0000-0000-0000F8000000}"/>
    <cellStyle name="ÊÝ [0.00]_aola" xfId="360" xr:uid="{00000000-0005-0000-0000-0000F9000000}"/>
    <cellStyle name="EY [0.00]_aola_(Chassis)" xfId="361" xr:uid="{00000000-0005-0000-0000-0000FA000000}"/>
    <cellStyle name="ÊÝ [0.00]_aola_3. Change point 09GExp Malaysia Project" xfId="362" xr:uid="{00000000-0005-0000-0000-0000FB000000}"/>
    <cellStyle name="EY [0.00]_aola_Axle Working Plan (Nov'09)" xfId="363" xr:uid="{00000000-0005-0000-0000-0000FC000000}"/>
    <cellStyle name="ÊÝ [0.00]_aola_Axle Working Plan (Nov'09)" xfId="364" xr:uid="{00000000-0005-0000-0000-0000FD000000}"/>
    <cellStyle name="EY [0.00]_aola_Book2" xfId="365" xr:uid="{00000000-0005-0000-0000-0000FE000000}"/>
    <cellStyle name="ÊÝ [0.00]_aola_Priority Control AUS Add 1 Model 20100126" xfId="366" xr:uid="{00000000-0005-0000-0000-0000FF000000}"/>
    <cellStyle name="EY [0.00]_aola_problem high of crane" xfId="367" xr:uid="{00000000-0005-0000-0000-000000010000}"/>
    <cellStyle name="ÊÝ [0.00]_aola_RT50 Process Plan (23-Feb-10)" xfId="368" xr:uid="{00000000-0005-0000-0000-000001010000}"/>
    <cellStyle name="ÊÝ_`ks3" xfId="369" xr:uid="{00000000-0005-0000-0000-000002010000}"/>
    <cellStyle name="EY_aola" xfId="370" xr:uid="{00000000-0005-0000-0000-000003010000}"/>
    <cellStyle name="ÊÝ_aola" xfId="371" xr:uid="{00000000-0005-0000-0000-000004010000}"/>
    <cellStyle name="EY_aola_(Chassis)" xfId="372" xr:uid="{00000000-0005-0000-0000-000005010000}"/>
    <cellStyle name="ÊÝ_aola_3. Change point 09GExp Malaysia Project" xfId="373" xr:uid="{00000000-0005-0000-0000-000006010000}"/>
    <cellStyle name="EY_aola_Axle Working Plan (Nov'09)" xfId="374" xr:uid="{00000000-0005-0000-0000-000007010000}"/>
    <cellStyle name="ÊÝ_aola_Axle Working Plan (Nov'09)" xfId="375" xr:uid="{00000000-0005-0000-0000-000008010000}"/>
    <cellStyle name="EY_aola_Book2" xfId="376" xr:uid="{00000000-0005-0000-0000-000009010000}"/>
    <cellStyle name="ÊÝ_aola_Priority Control AUS Add 1 Model 20100126" xfId="377" xr:uid="{00000000-0005-0000-0000-00000A010000}"/>
    <cellStyle name="EY_aola_problem high of crane" xfId="378" xr:uid="{00000000-0005-0000-0000-00000B010000}"/>
    <cellStyle name="ÊÝ_aola_RT50 Process Plan (23-Feb-10)" xfId="379" xr:uid="{00000000-0005-0000-0000-00000C010000}"/>
    <cellStyle name="f?? [0.00]_aola" xfId="380" xr:uid="{00000000-0005-0000-0000-00000D010000}"/>
    <cellStyle name="f??_aola" xfId="381" xr:uid="{00000000-0005-0000-0000-00000E010000}"/>
    <cellStyle name="nCp[“N" xfId="382" xr:uid="{00000000-0005-0000-0000-00000F010000}"/>
    <cellStyle name="nCp[N" xfId="383" xr:uid="{00000000-0005-0000-0000-000010010000}"/>
    <cellStyle name="nCp[gN" xfId="384" xr:uid="{00000000-0005-0000-0000-000011010000}"/>
    <cellStyle name="W_(9.7j" xfId="385" xr:uid="{00000000-0005-0000-0000-000012010000}"/>
    <cellStyle name="¹éºÐÀ²_°æ¿µÁöÇ¥" xfId="386" xr:uid="{00000000-0005-0000-0000-000013010000}"/>
    <cellStyle name="20% - Accent1" xfId="56" builtinId="30" customBuiltin="1"/>
    <cellStyle name="20% - Accent1 2" xfId="15" xr:uid="{00000000-0005-0000-0000-000015010000}"/>
    <cellStyle name="20% - Accent1 3" xfId="82" xr:uid="{00000000-0005-0000-0000-000016010000}"/>
    <cellStyle name="20% - Accent1 4" xfId="96" xr:uid="{00000000-0005-0000-0000-000017010000}"/>
    <cellStyle name="20% - Accent1 5" xfId="2846" xr:uid="{00000000-0005-0000-0000-000018010000}"/>
    <cellStyle name="20% - Accent1 6" xfId="2861" xr:uid="{00000000-0005-0000-0000-000019010000}"/>
    <cellStyle name="20% - Accent2" xfId="60" builtinId="34" customBuiltin="1"/>
    <cellStyle name="20% - Accent2 2" xfId="16" xr:uid="{00000000-0005-0000-0000-00001B010000}"/>
    <cellStyle name="20% - Accent2 3" xfId="84" xr:uid="{00000000-0005-0000-0000-00001C010000}"/>
    <cellStyle name="20% - Accent2 4" xfId="98" xr:uid="{00000000-0005-0000-0000-00001D010000}"/>
    <cellStyle name="20% - Accent2 5" xfId="2848" xr:uid="{00000000-0005-0000-0000-00001E010000}"/>
    <cellStyle name="20% - Accent2 6" xfId="2863" xr:uid="{00000000-0005-0000-0000-00001F010000}"/>
    <cellStyle name="20% - Accent3" xfId="64" builtinId="38" customBuiltin="1"/>
    <cellStyle name="20% - Accent3 2" xfId="17" xr:uid="{00000000-0005-0000-0000-000021010000}"/>
    <cellStyle name="20% - Accent3 3" xfId="86" xr:uid="{00000000-0005-0000-0000-000022010000}"/>
    <cellStyle name="20% - Accent3 4" xfId="100" xr:uid="{00000000-0005-0000-0000-000023010000}"/>
    <cellStyle name="20% - Accent3 5" xfId="2850" xr:uid="{00000000-0005-0000-0000-000024010000}"/>
    <cellStyle name="20% - Accent3 6" xfId="2865" xr:uid="{00000000-0005-0000-0000-000025010000}"/>
    <cellStyle name="20% - Accent4" xfId="68" builtinId="42" customBuiltin="1"/>
    <cellStyle name="20% - Accent4 2" xfId="18" xr:uid="{00000000-0005-0000-0000-000027010000}"/>
    <cellStyle name="20% - Accent4 3" xfId="88" xr:uid="{00000000-0005-0000-0000-000028010000}"/>
    <cellStyle name="20% - Accent4 4" xfId="102" xr:uid="{00000000-0005-0000-0000-000029010000}"/>
    <cellStyle name="20% - Accent4 5" xfId="2852" xr:uid="{00000000-0005-0000-0000-00002A010000}"/>
    <cellStyle name="20% - Accent4 6" xfId="2867" xr:uid="{00000000-0005-0000-0000-00002B010000}"/>
    <cellStyle name="20% - Accent5" xfId="72" builtinId="46" customBuiltin="1"/>
    <cellStyle name="20% - Accent5 2" xfId="19" xr:uid="{00000000-0005-0000-0000-00002D010000}"/>
    <cellStyle name="20% - Accent5 3" xfId="90" xr:uid="{00000000-0005-0000-0000-00002E010000}"/>
    <cellStyle name="20% - Accent5 4" xfId="104" xr:uid="{00000000-0005-0000-0000-00002F010000}"/>
    <cellStyle name="20% - Accent5 5" xfId="2854" xr:uid="{00000000-0005-0000-0000-000030010000}"/>
    <cellStyle name="20% - Accent5 6" xfId="2869" xr:uid="{00000000-0005-0000-0000-000031010000}"/>
    <cellStyle name="20% - Accent6" xfId="76" builtinId="50" customBuiltin="1"/>
    <cellStyle name="20% - Accent6 2" xfId="20" xr:uid="{00000000-0005-0000-0000-000033010000}"/>
    <cellStyle name="20% - Accent6 3" xfId="92" xr:uid="{00000000-0005-0000-0000-000034010000}"/>
    <cellStyle name="20% - Accent6 4" xfId="106" xr:uid="{00000000-0005-0000-0000-000035010000}"/>
    <cellStyle name="20% - Accent6 5" xfId="2856" xr:uid="{00000000-0005-0000-0000-000036010000}"/>
    <cellStyle name="20% - Accent6 6" xfId="2871" xr:uid="{00000000-0005-0000-0000-000037010000}"/>
    <cellStyle name="20% - アクセント 1" xfId="387" xr:uid="{00000000-0005-0000-0000-000038010000}"/>
    <cellStyle name="20% - アクセント 2" xfId="388" xr:uid="{00000000-0005-0000-0000-000039010000}"/>
    <cellStyle name="20% - アクセント 3" xfId="389" xr:uid="{00000000-0005-0000-0000-00003A010000}"/>
    <cellStyle name="20% - アクセント 4" xfId="390" xr:uid="{00000000-0005-0000-0000-00003B010000}"/>
    <cellStyle name="20% - アクセント 5" xfId="391" xr:uid="{00000000-0005-0000-0000-00003C010000}"/>
    <cellStyle name="20% - アクセント 6" xfId="392" xr:uid="{00000000-0005-0000-0000-00003D010000}"/>
    <cellStyle name="20% - ส่วนที่ถูกเน้น1" xfId="393" xr:uid="{00000000-0005-0000-0000-00003E010000}"/>
    <cellStyle name="20% - ส่วนที่ถูกเน้น2" xfId="394" xr:uid="{00000000-0005-0000-0000-00003F010000}"/>
    <cellStyle name="20% - ส่วนที่ถูกเน้น3" xfId="395" xr:uid="{00000000-0005-0000-0000-000040010000}"/>
    <cellStyle name="20% - ส่วนที่ถูกเน้น4" xfId="396" xr:uid="{00000000-0005-0000-0000-000041010000}"/>
    <cellStyle name="20% - ส่วนที่ถูกเน้น5" xfId="397" xr:uid="{00000000-0005-0000-0000-000042010000}"/>
    <cellStyle name="20% - ส่วนที่ถูกเน้น6" xfId="398" xr:uid="{00000000-0005-0000-0000-000043010000}"/>
    <cellStyle name="3f1?[0]_?-? " xfId="399" xr:uid="{00000000-0005-0000-0000-000044010000}"/>
    <cellStyle name="3f1・[0]_?-? " xfId="400" xr:uid="{00000000-0005-0000-0000-000045010000}"/>
    <cellStyle name="3f1o [0]_?H￥o?O" xfId="401" xr:uid="{00000000-0005-0000-0000-000046010000}"/>
    <cellStyle name="3f1o_?-? " xfId="402" xr:uid="{00000000-0005-0000-0000-000047010000}"/>
    <cellStyle name="3f1[0]_?-? " xfId="403" xr:uid="{00000000-0005-0000-0000-000048010000}"/>
    <cellStyle name="40% - Accent1" xfId="57" builtinId="31" customBuiltin="1"/>
    <cellStyle name="40% - Accent1 2" xfId="21" xr:uid="{00000000-0005-0000-0000-00004A010000}"/>
    <cellStyle name="40% - Accent1 3" xfId="83" xr:uid="{00000000-0005-0000-0000-00004B010000}"/>
    <cellStyle name="40% - Accent1 4" xfId="97" xr:uid="{00000000-0005-0000-0000-00004C010000}"/>
    <cellStyle name="40% - Accent1 5" xfId="2847" xr:uid="{00000000-0005-0000-0000-00004D010000}"/>
    <cellStyle name="40% - Accent1 6" xfId="2862" xr:uid="{00000000-0005-0000-0000-00004E010000}"/>
    <cellStyle name="40% - Accent2" xfId="61" builtinId="35" customBuiltin="1"/>
    <cellStyle name="40% - Accent2 2" xfId="22" xr:uid="{00000000-0005-0000-0000-000050010000}"/>
    <cellStyle name="40% - Accent2 3" xfId="85" xr:uid="{00000000-0005-0000-0000-000051010000}"/>
    <cellStyle name="40% - Accent2 4" xfId="99" xr:uid="{00000000-0005-0000-0000-000052010000}"/>
    <cellStyle name="40% - Accent2 5" xfId="2849" xr:uid="{00000000-0005-0000-0000-000053010000}"/>
    <cellStyle name="40% - Accent2 6" xfId="2864" xr:uid="{00000000-0005-0000-0000-000054010000}"/>
    <cellStyle name="40% - Accent3" xfId="65" builtinId="39" customBuiltin="1"/>
    <cellStyle name="40% - Accent3 2" xfId="23" xr:uid="{00000000-0005-0000-0000-000056010000}"/>
    <cellStyle name="40% - Accent3 3" xfId="87" xr:uid="{00000000-0005-0000-0000-000057010000}"/>
    <cellStyle name="40% - Accent3 4" xfId="101" xr:uid="{00000000-0005-0000-0000-000058010000}"/>
    <cellStyle name="40% - Accent3 5" xfId="2851" xr:uid="{00000000-0005-0000-0000-000059010000}"/>
    <cellStyle name="40% - Accent3 6" xfId="2866" xr:uid="{00000000-0005-0000-0000-00005A010000}"/>
    <cellStyle name="40% - Accent4" xfId="69" builtinId="43" customBuiltin="1"/>
    <cellStyle name="40% - Accent4 2" xfId="24" xr:uid="{00000000-0005-0000-0000-00005C010000}"/>
    <cellStyle name="40% - Accent4 3" xfId="89" xr:uid="{00000000-0005-0000-0000-00005D010000}"/>
    <cellStyle name="40% - Accent4 4" xfId="103" xr:uid="{00000000-0005-0000-0000-00005E010000}"/>
    <cellStyle name="40% - Accent4 5" xfId="2853" xr:uid="{00000000-0005-0000-0000-00005F010000}"/>
    <cellStyle name="40% - Accent4 6" xfId="2868" xr:uid="{00000000-0005-0000-0000-000060010000}"/>
    <cellStyle name="40% - Accent5" xfId="73" builtinId="47" customBuiltin="1"/>
    <cellStyle name="40% - Accent5 2" xfId="25" xr:uid="{00000000-0005-0000-0000-000062010000}"/>
    <cellStyle name="40% - Accent5 3" xfId="91" xr:uid="{00000000-0005-0000-0000-000063010000}"/>
    <cellStyle name="40% - Accent5 4" xfId="105" xr:uid="{00000000-0005-0000-0000-000064010000}"/>
    <cellStyle name="40% - Accent5 5" xfId="2855" xr:uid="{00000000-0005-0000-0000-000065010000}"/>
    <cellStyle name="40% - Accent5 6" xfId="2870" xr:uid="{00000000-0005-0000-0000-000066010000}"/>
    <cellStyle name="40% - Accent6" xfId="77" builtinId="51" customBuiltin="1"/>
    <cellStyle name="40% - Accent6 2" xfId="26" xr:uid="{00000000-0005-0000-0000-000068010000}"/>
    <cellStyle name="40% - Accent6 3" xfId="93" xr:uid="{00000000-0005-0000-0000-000069010000}"/>
    <cellStyle name="40% - Accent6 4" xfId="107" xr:uid="{00000000-0005-0000-0000-00006A010000}"/>
    <cellStyle name="40% - Accent6 5" xfId="2857" xr:uid="{00000000-0005-0000-0000-00006B010000}"/>
    <cellStyle name="40% - Accent6 6" xfId="2872" xr:uid="{00000000-0005-0000-0000-00006C010000}"/>
    <cellStyle name="40% - アクセント 1" xfId="404" xr:uid="{00000000-0005-0000-0000-00006D010000}"/>
    <cellStyle name="40% - アクセント 2" xfId="405" xr:uid="{00000000-0005-0000-0000-00006E010000}"/>
    <cellStyle name="40% - アクセント 3" xfId="406" xr:uid="{00000000-0005-0000-0000-00006F010000}"/>
    <cellStyle name="40% - アクセント 4" xfId="407" xr:uid="{00000000-0005-0000-0000-000070010000}"/>
    <cellStyle name="40% - アクセント 5" xfId="408" xr:uid="{00000000-0005-0000-0000-000071010000}"/>
    <cellStyle name="40% - アクセント 6" xfId="409" xr:uid="{00000000-0005-0000-0000-000072010000}"/>
    <cellStyle name="40% - ส่วนที่ถูกเน้น1" xfId="410" xr:uid="{00000000-0005-0000-0000-000073010000}"/>
    <cellStyle name="40% - ส่วนที่ถูกเน้น2" xfId="411" xr:uid="{00000000-0005-0000-0000-000074010000}"/>
    <cellStyle name="40% - ส่วนที่ถูกเน้น3" xfId="412" xr:uid="{00000000-0005-0000-0000-000075010000}"/>
    <cellStyle name="40% - ส่วนที่ถูกเน้น4" xfId="413" xr:uid="{00000000-0005-0000-0000-000076010000}"/>
    <cellStyle name="40% - ส่วนที่ถูกเน้น5" xfId="414" xr:uid="{00000000-0005-0000-0000-000077010000}"/>
    <cellStyle name="40% - ส่วนที่ถูกเน้น6" xfId="415" xr:uid="{00000000-0005-0000-0000-000078010000}"/>
    <cellStyle name="510T" xfId="416" xr:uid="{00000000-0005-0000-0000-000079010000}"/>
    <cellStyle name="60% - Accent1" xfId="58" builtinId="32" customBuiltin="1"/>
    <cellStyle name="60% - Accent2" xfId="62" builtinId="36" customBuiltin="1"/>
    <cellStyle name="60% - Accent3" xfId="66" builtinId="40" customBuiltin="1"/>
    <cellStyle name="60% - Accent4" xfId="70" builtinId="44" customBuiltin="1"/>
    <cellStyle name="60% - Accent5" xfId="74" builtinId="48" customBuiltin="1"/>
    <cellStyle name="60% - Accent6" xfId="78" builtinId="52" customBuiltin="1"/>
    <cellStyle name="60% - アクセント 1" xfId="417" xr:uid="{00000000-0005-0000-0000-000080010000}"/>
    <cellStyle name="60% - アクセント 2" xfId="418" xr:uid="{00000000-0005-0000-0000-000081010000}"/>
    <cellStyle name="60% - アクセント 3" xfId="419" xr:uid="{00000000-0005-0000-0000-000082010000}"/>
    <cellStyle name="60% - アクセント 4" xfId="420" xr:uid="{00000000-0005-0000-0000-000083010000}"/>
    <cellStyle name="60% - アクセント 5" xfId="421" xr:uid="{00000000-0005-0000-0000-000084010000}"/>
    <cellStyle name="60% - アクセント 6" xfId="422" xr:uid="{00000000-0005-0000-0000-000085010000}"/>
    <cellStyle name="60% - ส่วนที่ถูกเน้น1" xfId="423" xr:uid="{00000000-0005-0000-0000-000086010000}"/>
    <cellStyle name="60% - ส่วนที่ถูกเน้น2" xfId="424" xr:uid="{00000000-0005-0000-0000-000087010000}"/>
    <cellStyle name="60% - ส่วนที่ถูกเน้น3" xfId="425" xr:uid="{00000000-0005-0000-0000-000088010000}"/>
    <cellStyle name="60% - ส่วนที่ถูกเน้น4" xfId="426" xr:uid="{00000000-0005-0000-0000-000089010000}"/>
    <cellStyle name="60% - ส่วนที่ถูกเน้น5" xfId="427" xr:uid="{00000000-0005-0000-0000-00008A010000}"/>
    <cellStyle name="60% - ส่วนที่ถูกเน้น6" xfId="428" xr:uid="{00000000-0005-0000-0000-00008B010000}"/>
    <cellStyle name="75" xfId="429" xr:uid="{00000000-0005-0000-0000-00008C010000}"/>
    <cellStyle name="75 2" xfId="430" xr:uid="{00000000-0005-0000-0000-00008D010000}"/>
    <cellStyle name="75 3" xfId="431" xr:uid="{00000000-0005-0000-0000-00008E010000}"/>
    <cellStyle name="A?- [0]_?eE1" xfId="432" xr:uid="{00000000-0005-0000-0000-00008F010000}"/>
    <cellStyle name="A??? [0]_INQUIRY ????A?A? " xfId="433" xr:uid="{00000000-0005-0000-0000-000090010000}"/>
    <cellStyle name="A???_INQUIRY ????A?A? " xfId="434" xr:uid="{00000000-0005-0000-0000-000091010000}"/>
    <cellStyle name="A?-_?eE1" xfId="435" xr:uid="{00000000-0005-0000-0000-000092010000}"/>
    <cellStyle name="à¤Ã×èÍ§ËÁÒÂ¨ØÅÀÒ¤ [0]_PERSONAL" xfId="436" xr:uid="{00000000-0005-0000-0000-000093010000}"/>
    <cellStyle name="à¤Ã×èÍ§ËÁÒÂ¨ØÅÀÒ¤_PERSONAL" xfId="437" xr:uid="{00000000-0005-0000-0000-000094010000}"/>
    <cellStyle name="à¤Ã×èÍ§ËÁÒÂÊ¡ØÅà§Ô¹ [0]_PERSONAL" xfId="438" xr:uid="{00000000-0005-0000-0000-000095010000}"/>
    <cellStyle name="à¤Ã×èÍ§ËÁÒÂÊ¡ØÅà§Ô¹_PERSONAL" xfId="439" xr:uid="{00000000-0005-0000-0000-000096010000}"/>
    <cellStyle name="A・- [0]_°eE1" xfId="440" xr:uid="{00000000-0005-0000-0000-000097010000}"/>
    <cellStyle name="A・-_°eE1" xfId="441" xr:uid="{00000000-0005-0000-0000-000098010000}"/>
    <cellStyle name="ÅE­ [0]_°èÈ¹" xfId="442" xr:uid="{00000000-0005-0000-0000-000099010000}"/>
    <cellStyle name="AE- [0]_eE1" xfId="443" xr:uid="{00000000-0005-0000-0000-00009A010000}"/>
    <cellStyle name="ÅE­_°èÈ¹" xfId="444" xr:uid="{00000000-0005-0000-0000-00009B010000}"/>
    <cellStyle name="AE-_eE1" xfId="445" xr:uid="{00000000-0005-0000-0000-00009C010000}"/>
    <cellStyle name="Accent1" xfId="55" builtinId="29" customBuiltin="1"/>
    <cellStyle name="Accent2" xfId="59" builtinId="33" customBuiltin="1"/>
    <cellStyle name="Accent3" xfId="63" builtinId="37" customBuiltin="1"/>
    <cellStyle name="Accent4" xfId="67" builtinId="41" customBuiltin="1"/>
    <cellStyle name="Accent5" xfId="71" builtinId="45" customBuiltin="1"/>
    <cellStyle name="Accent6" xfId="75" builtinId="49" customBuiltin="1"/>
    <cellStyle name="AeE­ [0]_INQUIRY ¿μ¾÷AßAø " xfId="446" xr:uid="{00000000-0005-0000-0000-0000A3010000}"/>
    <cellStyle name="AeE? [0]_INQUIRY ????A?A? " xfId="447" xr:uid="{00000000-0005-0000-0000-0000A4010000}"/>
    <cellStyle name="AeE?_INQUIRY ????A?A? " xfId="448" xr:uid="{00000000-0005-0000-0000-0000A5010000}"/>
    <cellStyle name="AeE­_INQUIRY ¿μ¾÷AßAø " xfId="449" xr:uid="{00000000-0005-0000-0000-0000A6010000}"/>
    <cellStyle name="ANN" xfId="450" xr:uid="{00000000-0005-0000-0000-0000A7010000}"/>
    <cellStyle name="arrxx_&lt;bขาว สวย หมวย เซ็กoupalboarrxx_DbMAP" xfId="451" xr:uid="{00000000-0005-0000-0000-0000A8010000}"/>
    <cellStyle name="AT，¶ [0]_°eE1" xfId="452" xr:uid="{00000000-0005-0000-0000-0000A9010000}"/>
    <cellStyle name="AT，¶_°eE1" xfId="453" xr:uid="{00000000-0005-0000-0000-0000AA010000}"/>
    <cellStyle name="AT?? [0]_?eE1" xfId="454" xr:uid="{00000000-0005-0000-0000-0000AB010000}"/>
    <cellStyle name="AT??_?eE1" xfId="455" xr:uid="{00000000-0005-0000-0000-0000AC010000}"/>
    <cellStyle name="ATC÷ [0]_eE1" xfId="456" xr:uid="{00000000-0005-0000-0000-0000AD010000}"/>
    <cellStyle name="ATC÷_eE1" xfId="457" xr:uid="{00000000-0005-0000-0000-0000AE010000}"/>
    <cellStyle name="ÄÞ¸¶ [0]_°èÈ¹" xfId="458" xr:uid="{00000000-0005-0000-0000-0000AF010000}"/>
    <cellStyle name="AÞ¸¶ [0]_INQUIRY ¿?¾÷AßAø " xfId="459" xr:uid="{00000000-0005-0000-0000-0000B0010000}"/>
    <cellStyle name="ÄÞ¸¶_°èÈ¹" xfId="460" xr:uid="{00000000-0005-0000-0000-0000B1010000}"/>
    <cellStyle name="AÞ¸¶_INQUIRY ¿?¾÷AßAø " xfId="461" xr:uid="{00000000-0005-0000-0000-0000B2010000}"/>
    <cellStyle name="Bad" xfId="1" builtinId="27"/>
    <cellStyle name="Bad 2" xfId="27" xr:uid="{00000000-0005-0000-0000-0000B4010000}"/>
    <cellStyle name="BOLDl" xfId="462" xr:uid="{00000000-0005-0000-0000-0000B5010000}"/>
    <cellStyle name="Border1" xfId="463" xr:uid="{00000000-0005-0000-0000-0000B6010000}"/>
    <cellStyle name="Border2" xfId="464" xr:uid="{00000000-0005-0000-0000-0000B7010000}"/>
    <cellStyle name="Border3" xfId="465" xr:uid="{00000000-0005-0000-0000-0000B8010000}"/>
    <cellStyle name="C?A?_????CoE? " xfId="466" xr:uid="{00000000-0005-0000-0000-0000B9010000}"/>
    <cellStyle name="C?AØ_¿?¾÷CoE² " xfId="467" xr:uid="{00000000-0005-0000-0000-0000BA010000}"/>
    <cellStyle name="C\AO_?eE1" xfId="468" xr:uid="{00000000-0005-0000-0000-0000BB010000}"/>
    <cellStyle name="C￥AØ_¿μ¾÷CoE² " xfId="469" xr:uid="{00000000-0005-0000-0000-0000BC010000}"/>
    <cellStyle name="Ç¥ÁØ_°èÈ¹" xfId="470" xr:uid="{00000000-0005-0000-0000-0000BD010000}"/>
    <cellStyle name="Calc Currency (0)" xfId="471" xr:uid="{00000000-0005-0000-0000-0000BE010000}"/>
    <cellStyle name="Calculation" xfId="2" builtinId="22"/>
    <cellStyle name="Calculation 2" xfId="28" xr:uid="{00000000-0005-0000-0000-0000C0010000}"/>
    <cellStyle name="category" xfId="472" xr:uid="{00000000-0005-0000-0000-0000C1010000}"/>
    <cellStyle name="Cerrency_02a" xfId="473" xr:uid="{00000000-0005-0000-0000-0000C2010000}"/>
    <cellStyle name="Check Cell" xfId="3" builtinId="23"/>
    <cellStyle name="Check Cell 2" xfId="29" xr:uid="{00000000-0005-0000-0000-0000C4010000}"/>
    <cellStyle name="Comma  - Style1" xfId="474" xr:uid="{00000000-0005-0000-0000-0000C6010000}"/>
    <cellStyle name="Comma [0] 2" xfId="475" xr:uid="{00000000-0005-0000-0000-0000C7010000}"/>
    <cellStyle name="Comma [0] 2 10" xfId="476" xr:uid="{00000000-0005-0000-0000-0000C8010000}"/>
    <cellStyle name="Comma [0] 2 11" xfId="477" xr:uid="{00000000-0005-0000-0000-0000C9010000}"/>
    <cellStyle name="Comma [0] 2 12" xfId="478" xr:uid="{00000000-0005-0000-0000-0000CA010000}"/>
    <cellStyle name="Comma [0] 2 13" xfId="479" xr:uid="{00000000-0005-0000-0000-0000CB010000}"/>
    <cellStyle name="Comma [0] 2 14" xfId="480" xr:uid="{00000000-0005-0000-0000-0000CC010000}"/>
    <cellStyle name="Comma [0] 2 15" xfId="481" xr:uid="{00000000-0005-0000-0000-0000CD010000}"/>
    <cellStyle name="Comma [0] 2 16" xfId="482" xr:uid="{00000000-0005-0000-0000-0000CE010000}"/>
    <cellStyle name="Comma [0] 2 17" xfId="483" xr:uid="{00000000-0005-0000-0000-0000CF010000}"/>
    <cellStyle name="Comma [0] 2 18" xfId="484" xr:uid="{00000000-0005-0000-0000-0000D0010000}"/>
    <cellStyle name="Comma [0] 2 19" xfId="485" xr:uid="{00000000-0005-0000-0000-0000D1010000}"/>
    <cellStyle name="Comma [0] 2 2" xfId="486" xr:uid="{00000000-0005-0000-0000-0000D2010000}"/>
    <cellStyle name="Comma [0] 2 20" xfId="487" xr:uid="{00000000-0005-0000-0000-0000D3010000}"/>
    <cellStyle name="Comma [0] 2 21" xfId="488" xr:uid="{00000000-0005-0000-0000-0000D4010000}"/>
    <cellStyle name="Comma [0] 2 22" xfId="489" xr:uid="{00000000-0005-0000-0000-0000D5010000}"/>
    <cellStyle name="Comma [0] 2 23" xfId="490" xr:uid="{00000000-0005-0000-0000-0000D6010000}"/>
    <cellStyle name="Comma [0] 2 24" xfId="491" xr:uid="{00000000-0005-0000-0000-0000D7010000}"/>
    <cellStyle name="Comma [0] 2 25" xfId="492" xr:uid="{00000000-0005-0000-0000-0000D8010000}"/>
    <cellStyle name="Comma [0] 2 26" xfId="493" xr:uid="{00000000-0005-0000-0000-0000D9010000}"/>
    <cellStyle name="Comma [0] 2 27" xfId="494" xr:uid="{00000000-0005-0000-0000-0000DA010000}"/>
    <cellStyle name="Comma [0] 2 28" xfId="495" xr:uid="{00000000-0005-0000-0000-0000DB010000}"/>
    <cellStyle name="Comma [0] 2 29" xfId="496" xr:uid="{00000000-0005-0000-0000-0000DC010000}"/>
    <cellStyle name="Comma [0] 2 3" xfId="497" xr:uid="{00000000-0005-0000-0000-0000DD010000}"/>
    <cellStyle name="Comma [0] 2 30" xfId="498" xr:uid="{00000000-0005-0000-0000-0000DE010000}"/>
    <cellStyle name="Comma [0] 2 31" xfId="499" xr:uid="{00000000-0005-0000-0000-0000DF010000}"/>
    <cellStyle name="Comma [0] 2 32" xfId="500" xr:uid="{00000000-0005-0000-0000-0000E0010000}"/>
    <cellStyle name="Comma [0] 2 33" xfId="501" xr:uid="{00000000-0005-0000-0000-0000E1010000}"/>
    <cellStyle name="Comma [0] 2 34" xfId="502" xr:uid="{00000000-0005-0000-0000-0000E2010000}"/>
    <cellStyle name="Comma [0] 2 35" xfId="503" xr:uid="{00000000-0005-0000-0000-0000E3010000}"/>
    <cellStyle name="Comma [0] 2 36" xfId="504" xr:uid="{00000000-0005-0000-0000-0000E4010000}"/>
    <cellStyle name="Comma [0] 2 37" xfId="505" xr:uid="{00000000-0005-0000-0000-0000E5010000}"/>
    <cellStyle name="Comma [0] 2 38" xfId="506" xr:uid="{00000000-0005-0000-0000-0000E6010000}"/>
    <cellStyle name="Comma [0] 2 39" xfId="507" xr:uid="{00000000-0005-0000-0000-0000E7010000}"/>
    <cellStyle name="Comma [0] 2 4" xfId="508" xr:uid="{00000000-0005-0000-0000-0000E8010000}"/>
    <cellStyle name="Comma [0] 2 40" xfId="509" xr:uid="{00000000-0005-0000-0000-0000E9010000}"/>
    <cellStyle name="Comma [0] 2 41" xfId="510" xr:uid="{00000000-0005-0000-0000-0000EA010000}"/>
    <cellStyle name="Comma [0] 2 42" xfId="511" xr:uid="{00000000-0005-0000-0000-0000EB010000}"/>
    <cellStyle name="Comma [0] 2 5" xfId="512" xr:uid="{00000000-0005-0000-0000-0000EC010000}"/>
    <cellStyle name="Comma [0] 2 6" xfId="513" xr:uid="{00000000-0005-0000-0000-0000ED010000}"/>
    <cellStyle name="Comma [0] 2 7" xfId="514" xr:uid="{00000000-0005-0000-0000-0000EE010000}"/>
    <cellStyle name="Comma [0] 2 8" xfId="515" xr:uid="{00000000-0005-0000-0000-0000EF010000}"/>
    <cellStyle name="Comma [0] 2 9" xfId="516" xr:uid="{00000000-0005-0000-0000-0000F0010000}"/>
    <cellStyle name="Comma [0] 2_BP (3)" xfId="517" xr:uid="{00000000-0005-0000-0000-0000F1010000}"/>
    <cellStyle name="Comma [0] 3" xfId="518" xr:uid="{00000000-0005-0000-0000-0000F2010000}"/>
    <cellStyle name="Comma [0] 4" xfId="519" xr:uid="{00000000-0005-0000-0000-0000F3010000}"/>
    <cellStyle name="Comma [0] 5" xfId="520" xr:uid="{00000000-0005-0000-0000-0000F4010000}"/>
    <cellStyle name="Comma [0] 5 2" xfId="521" xr:uid="{00000000-0005-0000-0000-0000F5010000}"/>
    <cellStyle name="Comma [0] 5 3" xfId="522" xr:uid="{00000000-0005-0000-0000-0000F6010000}"/>
    <cellStyle name="Comma [0] 6" xfId="523" xr:uid="{00000000-0005-0000-0000-0000F7010000}"/>
    <cellStyle name="Comma [0] 7" xfId="524" xr:uid="{00000000-0005-0000-0000-0000F8010000}"/>
    <cellStyle name="Comma [0] 8" xfId="525" xr:uid="{00000000-0005-0000-0000-0000F9010000}"/>
    <cellStyle name="Comma 2" xfId="526" xr:uid="{00000000-0005-0000-0000-0000FA010000}"/>
    <cellStyle name="Comma 2 2" xfId="527" xr:uid="{00000000-0005-0000-0000-0000FB010000}"/>
    <cellStyle name="Comma 2 3" xfId="528" xr:uid="{00000000-0005-0000-0000-0000FC010000}"/>
    <cellStyle name="Comma 2 4" xfId="529" xr:uid="{00000000-0005-0000-0000-0000FD010000}"/>
    <cellStyle name="Comma 2_Vol simmulation on Nov-Dec'11 rev-06_1 (2)" xfId="530" xr:uid="{00000000-0005-0000-0000-0000FE010000}"/>
    <cellStyle name="Comma 3" xfId="531" xr:uid="{00000000-0005-0000-0000-0000FF010000}"/>
    <cellStyle name="Comma 3 2" xfId="532" xr:uid="{00000000-0005-0000-0000-000000020000}"/>
    <cellStyle name="Comma 3_Vol simmulation on Nov-Dec'11 rev-06_1 (2)" xfId="533" xr:uid="{00000000-0005-0000-0000-000001020000}"/>
    <cellStyle name="Comma 4" xfId="534" xr:uid="{00000000-0005-0000-0000-000002020000}"/>
    <cellStyle name="Comma 5" xfId="535" xr:uid="{00000000-0005-0000-0000-000003020000}"/>
    <cellStyle name="Comma 6" xfId="536" xr:uid="{00000000-0005-0000-0000-000004020000}"/>
    <cellStyle name="Comma 7" xfId="537" xr:uid="{00000000-0005-0000-0000-000005020000}"/>
    <cellStyle name="Comma 8" xfId="109" xr:uid="{00000000-0005-0000-0000-000006020000}"/>
    <cellStyle name="Comma 9" xfId="2874" xr:uid="{00000000-0005-0000-0000-000007020000}"/>
    <cellStyle name="comma zerodec" xfId="538" xr:uid="{00000000-0005-0000-0000-000008020000}"/>
    <cellStyle name="Comma0" xfId="539" xr:uid="{00000000-0005-0000-0000-000009020000}"/>
    <cellStyle name="Curr⑥泦ငĀ _x0010_" xfId="540" xr:uid="{00000000-0005-0000-0000-00000A020000}"/>
    <cellStyle name="Curren - Style2" xfId="541" xr:uid="{00000000-0005-0000-0000-00000B020000}"/>
    <cellStyle name="Curren - Style3" xfId="542" xr:uid="{00000000-0005-0000-0000-00000C020000}"/>
    <cellStyle name="Curren - Style4" xfId="543" xr:uid="{00000000-0005-0000-0000-00000D020000}"/>
    <cellStyle name="Currency 2" xfId="544" xr:uid="{00000000-0005-0000-0000-00000E020000}"/>
    <cellStyle name="Currency0" xfId="545" xr:uid="{00000000-0005-0000-0000-00000F020000}"/>
    <cellStyle name="Currency1" xfId="546" xr:uid="{00000000-0005-0000-0000-000010020000}"/>
    <cellStyle name="Curᒆency [0]_laroux_1_12~3SO2" xfId="547" xr:uid="{00000000-0005-0000-0000-000011020000}"/>
    <cellStyle name="Custom - Style8" xfId="548" xr:uid="{00000000-0005-0000-0000-000012020000}"/>
    <cellStyle name="ð@" xfId="549" xr:uid="{00000000-0005-0000-0000-000013020000}"/>
    <cellStyle name="Data   - Style2" xfId="550" xr:uid="{00000000-0005-0000-0000-000014020000}"/>
    <cellStyle name="Date" xfId="551" xr:uid="{00000000-0005-0000-0000-000015020000}"/>
    <cellStyle name="Dezimal_AY17dt" xfId="552" xr:uid="{00000000-0005-0000-0000-000016020000}"/>
    <cellStyle name="do_lduou{b9_WUUoupalboarrxx_&lt;bขาว สวย หมวย เซ็กoupalboarrxx_DbMAP" xfId="553" xr:uid="{00000000-0005-0000-0000-000017020000}"/>
    <cellStyle name="Dollar (zero dec)" xfId="554" xr:uid="{00000000-0005-0000-0000-000018020000}"/>
    <cellStyle name="Edited_Data" xfId="555" xr:uid="{00000000-0005-0000-0000-000019020000}"/>
    <cellStyle name="Estimated_Data" xfId="556" xr:uid="{00000000-0005-0000-0000-00001A020000}"/>
    <cellStyle name="Euro" xfId="557" xr:uid="{00000000-0005-0000-0000-00001B020000}"/>
    <cellStyle name="Excel Built-in Normal" xfId="558" xr:uid="{00000000-0005-0000-0000-00001C020000}"/>
    <cellStyle name="Explanatory Text" xfId="53" builtinId="53" customBuiltin="1"/>
    <cellStyle name="Fixed" xfId="559" xr:uid="{00000000-0005-0000-0000-00001E020000}"/>
    <cellStyle name="Forecast_Data" xfId="560" xr:uid="{00000000-0005-0000-0000-00001F020000}"/>
    <cellStyle name="Good 2" xfId="30" xr:uid="{00000000-0005-0000-0000-000021020000}"/>
    <cellStyle name="Grey" xfId="561" xr:uid="{00000000-0005-0000-0000-000022020000}"/>
    <cellStyle name="HEADER" xfId="562" xr:uid="{00000000-0005-0000-0000-000023020000}"/>
    <cellStyle name="Header1" xfId="563" xr:uid="{00000000-0005-0000-0000-000024020000}"/>
    <cellStyle name="Header2" xfId="564" xr:uid="{00000000-0005-0000-0000-000025020000}"/>
    <cellStyle name="Heading" xfId="565" xr:uid="{00000000-0005-0000-0000-00002602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eading1" xfId="566" xr:uid="{00000000-0005-0000-0000-00002B020000}"/>
    <cellStyle name="Heading2" xfId="567" xr:uid="{00000000-0005-0000-0000-00002C020000}"/>
    <cellStyle name="Heading3" xfId="568" xr:uid="{00000000-0005-0000-0000-00002D020000}"/>
    <cellStyle name="Hyperlink 2" xfId="569" xr:uid="{00000000-0005-0000-0000-00002E020000}"/>
    <cellStyle name="Hyperlink 3" xfId="570" xr:uid="{00000000-0005-0000-0000-00002F020000}"/>
    <cellStyle name="Input" xfId="4" builtinId="20"/>
    <cellStyle name="Input [yellow]" xfId="571" xr:uid="{00000000-0005-0000-0000-000031020000}"/>
    <cellStyle name="Input 2" xfId="31" xr:uid="{00000000-0005-0000-0000-000032020000}"/>
    <cellStyle name="Input 3" xfId="2844" xr:uid="{00000000-0005-0000-0000-000033020000}"/>
    <cellStyle name="Input 4" xfId="2859" xr:uid="{00000000-0005-0000-0000-000034020000}"/>
    <cellStyle name="Item_Current" xfId="572" xr:uid="{00000000-0005-0000-0000-000035020000}"/>
    <cellStyle name="KWE??" xfId="573" xr:uid="{00000000-0005-0000-0000-000036020000}"/>
    <cellStyle name="KWE標準" xfId="574" xr:uid="{00000000-0005-0000-0000-000037020000}"/>
    <cellStyle name="Labels - Style3" xfId="575" xr:uid="{00000000-0005-0000-0000-000038020000}"/>
    <cellStyle name="Linked Cell 2" xfId="32" xr:uid="{00000000-0005-0000-0000-00003A020000}"/>
    <cellStyle name="Milliers [0]_AR1194" xfId="576" xr:uid="{00000000-0005-0000-0000-00003B020000}"/>
    <cellStyle name="Milliers_AR1194" xfId="577" xr:uid="{00000000-0005-0000-0000-00003C020000}"/>
    <cellStyle name="Model" xfId="578" xr:uid="{00000000-0005-0000-0000-00003D020000}"/>
    <cellStyle name="Moeda [0]_aola" xfId="579" xr:uid="{00000000-0005-0000-0000-00003E020000}"/>
    <cellStyle name="Moeda_aola" xfId="580" xr:uid="{00000000-0005-0000-0000-00003F020000}"/>
    <cellStyle name="Mon?aire [0]_AR1194" xfId="581" xr:uid="{00000000-0005-0000-0000-000040020000}"/>
    <cellStyle name="Mon?aire_AR1194" xfId="582" xr:uid="{00000000-0005-0000-0000-000041020000}"/>
    <cellStyle name="Mon?taire [0]_AR1194" xfId="583" xr:uid="{00000000-0005-0000-0000-000042020000}"/>
    <cellStyle name="Mon?taire_AR1194" xfId="584" xr:uid="{00000000-0005-0000-0000-000043020000}"/>
    <cellStyle name="Monetaire [0]_AR1194" xfId="585" xr:uid="{00000000-0005-0000-0000-000044020000}"/>
    <cellStyle name="Monétaire [0]_AR1194" xfId="586" xr:uid="{00000000-0005-0000-0000-000045020000}"/>
    <cellStyle name="Monetaire_AR1194" xfId="587" xr:uid="{00000000-0005-0000-0000-000046020000}"/>
    <cellStyle name="Monétaire_AR1194" xfId="588" xr:uid="{00000000-0005-0000-0000-000047020000}"/>
    <cellStyle name="Mon้taire [0]_AR1194" xfId="589" xr:uid="{00000000-0005-0000-0000-000048020000}"/>
    <cellStyle name="Mon้taire_AR1194" xfId="590" xr:uid="{00000000-0005-0000-0000-000049020000}"/>
    <cellStyle name="Monﾁaire [0]_AR1194" xfId="591" xr:uid="{00000000-0005-0000-0000-00004A020000}"/>
    <cellStyle name="Monﾁaire_AR1194" xfId="592" xr:uid="{00000000-0005-0000-0000-00004B020000}"/>
    <cellStyle name="Mon彋aire [0]_AR1194" xfId="593" xr:uid="{00000000-0005-0000-0000-00004C020000}"/>
    <cellStyle name="Mon彋aire_AR1194" xfId="594" xr:uid="{00000000-0005-0000-0000-00004D020000}"/>
    <cellStyle name="Mon騁aire [0]_AR1194" xfId="595" xr:uid="{00000000-0005-0000-0000-00004E020000}"/>
    <cellStyle name="Mon騁aire_AR1194" xfId="596" xr:uid="{00000000-0005-0000-0000-00004F020000}"/>
    <cellStyle name="Neutral 2" xfId="33" xr:uid="{00000000-0005-0000-0000-000051020000}"/>
    <cellStyle name="New Times Roman" xfId="597" xr:uid="{00000000-0005-0000-0000-000052020000}"/>
    <cellStyle name="no dec" xfId="598" xr:uid="{00000000-0005-0000-0000-000053020000}"/>
    <cellStyle name="Non" xfId="599" xr:uid="{00000000-0005-0000-0000-000054020000}"/>
    <cellStyle name="norm" xfId="600" xr:uid="{00000000-0005-0000-0000-000055020000}"/>
    <cellStyle name="Normal" xfId="0" builtinId="0"/>
    <cellStyle name="Normal - ??????1" xfId="601" xr:uid="{00000000-0005-0000-0000-000057020000}"/>
    <cellStyle name="Normal - ????1" xfId="602" xr:uid="{00000000-0005-0000-0000-000058020000}"/>
    <cellStyle name="Normal - µé¹áºº1" xfId="603" xr:uid="{00000000-0005-0000-0000-000059020000}"/>
    <cellStyle name="Normal - Style1" xfId="604" xr:uid="{00000000-0005-0000-0000-00005A020000}"/>
    <cellStyle name="Normal - Style2" xfId="605" xr:uid="{00000000-0005-0000-0000-00005B020000}"/>
    <cellStyle name="Normal - Style3" xfId="606" xr:uid="{00000000-0005-0000-0000-00005C020000}"/>
    <cellStyle name="Normal - Style4" xfId="607" xr:uid="{00000000-0005-0000-0000-00005D020000}"/>
    <cellStyle name="Normal - Style5" xfId="608" xr:uid="{00000000-0005-0000-0000-00005E020000}"/>
    <cellStyle name="Normal - Style6" xfId="609" xr:uid="{00000000-0005-0000-0000-00005F020000}"/>
    <cellStyle name="Normal - Style7" xfId="610" xr:uid="{00000000-0005-0000-0000-000060020000}"/>
    <cellStyle name="Normal - Style8" xfId="611" xr:uid="{00000000-0005-0000-0000-000061020000}"/>
    <cellStyle name="Normal - ｵ鮖蘯ｺ1" xfId="612" xr:uid="{00000000-0005-0000-0000-000062020000}"/>
    <cellStyle name="Normal - ｵ鮖蘯ｺ1 2" xfId="613" xr:uid="{00000000-0005-0000-0000-000063020000}"/>
    <cellStyle name="Normal - ｵ鮖蘯ｺ1 3" xfId="614" xr:uid="{00000000-0005-0000-0000-000064020000}"/>
    <cellStyle name="Normal - ต้นแบบ1" xfId="615" xr:uid="{00000000-0005-0000-0000-000065020000}"/>
    <cellStyle name="Normal 10" xfId="616" xr:uid="{00000000-0005-0000-0000-000066020000}"/>
    <cellStyle name="Normal 105" xfId="5" xr:uid="{00000000-0005-0000-0000-000067020000}"/>
    <cellStyle name="Normal 11" xfId="617" xr:uid="{00000000-0005-0000-0000-000068020000}"/>
    <cellStyle name="Normal 11 2" xfId="618" xr:uid="{00000000-0005-0000-0000-000069020000}"/>
    <cellStyle name="Normal 12" xfId="619" xr:uid="{00000000-0005-0000-0000-00006A020000}"/>
    <cellStyle name="Normal 13" xfId="620" xr:uid="{00000000-0005-0000-0000-00006B020000}"/>
    <cellStyle name="Normal 13 2" xfId="621" xr:uid="{00000000-0005-0000-0000-00006C020000}"/>
    <cellStyle name="Normal 13_2012 Capacity up Plan-2" xfId="622" xr:uid="{00000000-0005-0000-0000-00006D020000}"/>
    <cellStyle name="Normal 14" xfId="11" xr:uid="{00000000-0005-0000-0000-00006E020000}"/>
    <cellStyle name="Normal 14 2" xfId="623" xr:uid="{00000000-0005-0000-0000-00006F020000}"/>
    <cellStyle name="Normal 14_2012 Capacity up Plan-2" xfId="624" xr:uid="{00000000-0005-0000-0000-000070020000}"/>
    <cellStyle name="Normal 15" xfId="12" xr:uid="{00000000-0005-0000-0000-000071020000}"/>
    <cellStyle name="Normal 16" xfId="13" xr:uid="{00000000-0005-0000-0000-000072020000}"/>
    <cellStyle name="Normal 17" xfId="625" xr:uid="{00000000-0005-0000-0000-000073020000}"/>
    <cellStyle name="Normal 18" xfId="626" xr:uid="{00000000-0005-0000-0000-000074020000}"/>
    <cellStyle name="Normal 19" xfId="627" xr:uid="{00000000-0005-0000-0000-000075020000}"/>
    <cellStyle name="Normal 2" xfId="6" xr:uid="{00000000-0005-0000-0000-000076020000}"/>
    <cellStyle name="Normal 2 10" xfId="628" xr:uid="{00000000-0005-0000-0000-000077020000}"/>
    <cellStyle name="Normal 2 11" xfId="629" xr:uid="{00000000-0005-0000-0000-000078020000}"/>
    <cellStyle name="Normal 2 12" xfId="630" xr:uid="{00000000-0005-0000-0000-000079020000}"/>
    <cellStyle name="Normal 2 13" xfId="631" xr:uid="{00000000-0005-0000-0000-00007A020000}"/>
    <cellStyle name="Normal 2 14" xfId="632" xr:uid="{00000000-0005-0000-0000-00007B020000}"/>
    <cellStyle name="Normal 2 15" xfId="633" xr:uid="{00000000-0005-0000-0000-00007C020000}"/>
    <cellStyle name="Normal 2 16" xfId="634" xr:uid="{00000000-0005-0000-0000-00007D020000}"/>
    <cellStyle name="Normal 2 17" xfId="635" xr:uid="{00000000-0005-0000-0000-00007E020000}"/>
    <cellStyle name="Normal 2 18" xfId="636" xr:uid="{00000000-0005-0000-0000-00007F020000}"/>
    <cellStyle name="Normal 2 19" xfId="637" xr:uid="{00000000-0005-0000-0000-000080020000}"/>
    <cellStyle name="Normal 2 2" xfId="7" xr:uid="{00000000-0005-0000-0000-000081020000}"/>
    <cellStyle name="Normal 2 2 2" xfId="34" xr:uid="{00000000-0005-0000-0000-000082020000}"/>
    <cellStyle name="Normal 2 2 2 2" xfId="638" xr:uid="{00000000-0005-0000-0000-000083020000}"/>
    <cellStyle name="Normal 2 2 2_2012 Capacity up Plan-2" xfId="639" xr:uid="{00000000-0005-0000-0000-000084020000}"/>
    <cellStyle name="Normal 2 2 3" xfId="35" xr:uid="{00000000-0005-0000-0000-000085020000}"/>
    <cellStyle name="Normal 2 2 4" xfId="640" xr:uid="{00000000-0005-0000-0000-000086020000}"/>
    <cellStyle name="Normal 2 2_101221 2011年期初予算用サマリ(IMCT殿提出用)" xfId="641" xr:uid="{00000000-0005-0000-0000-000087020000}"/>
    <cellStyle name="Normal 2 20" xfId="642" xr:uid="{00000000-0005-0000-0000-000088020000}"/>
    <cellStyle name="Normal 2 21" xfId="643" xr:uid="{00000000-0005-0000-0000-000089020000}"/>
    <cellStyle name="Normal 2 22" xfId="644" xr:uid="{00000000-0005-0000-0000-00008A020000}"/>
    <cellStyle name="Normal 2 23" xfId="645" xr:uid="{00000000-0005-0000-0000-00008B020000}"/>
    <cellStyle name="Normal 2 24" xfId="646" xr:uid="{00000000-0005-0000-0000-00008C020000}"/>
    <cellStyle name="Normal 2 25" xfId="647" xr:uid="{00000000-0005-0000-0000-00008D020000}"/>
    <cellStyle name="Normal 2 26" xfId="648" xr:uid="{00000000-0005-0000-0000-00008E020000}"/>
    <cellStyle name="Normal 2 27" xfId="649" xr:uid="{00000000-0005-0000-0000-00008F020000}"/>
    <cellStyle name="Normal 2 28" xfId="650" xr:uid="{00000000-0005-0000-0000-000090020000}"/>
    <cellStyle name="Normal 2 29" xfId="651" xr:uid="{00000000-0005-0000-0000-000091020000}"/>
    <cellStyle name="Normal 2 3" xfId="36" xr:uid="{00000000-0005-0000-0000-000092020000}"/>
    <cellStyle name="Normal 2 3 2" xfId="652" xr:uid="{00000000-0005-0000-0000-000093020000}"/>
    <cellStyle name="Normal 2 30" xfId="653" xr:uid="{00000000-0005-0000-0000-000094020000}"/>
    <cellStyle name="Normal 2 31" xfId="654" xr:uid="{00000000-0005-0000-0000-000095020000}"/>
    <cellStyle name="Normal 2 32" xfId="655" xr:uid="{00000000-0005-0000-0000-000096020000}"/>
    <cellStyle name="Normal 2 33" xfId="656" xr:uid="{00000000-0005-0000-0000-000097020000}"/>
    <cellStyle name="Normal 2 34" xfId="657" xr:uid="{00000000-0005-0000-0000-000098020000}"/>
    <cellStyle name="Normal 2 35" xfId="658" xr:uid="{00000000-0005-0000-0000-000099020000}"/>
    <cellStyle name="Normal 2 36" xfId="659" xr:uid="{00000000-0005-0000-0000-00009A020000}"/>
    <cellStyle name="Normal 2 37" xfId="660" xr:uid="{00000000-0005-0000-0000-00009B020000}"/>
    <cellStyle name="Normal 2 38" xfId="661" xr:uid="{00000000-0005-0000-0000-00009C020000}"/>
    <cellStyle name="Normal 2 39" xfId="662" xr:uid="{00000000-0005-0000-0000-00009D020000}"/>
    <cellStyle name="Normal 2 4" xfId="37" xr:uid="{00000000-0005-0000-0000-00009E020000}"/>
    <cellStyle name="Normal 2 40" xfId="663" xr:uid="{00000000-0005-0000-0000-00009F020000}"/>
    <cellStyle name="Normal 2 41" xfId="664" xr:uid="{00000000-0005-0000-0000-0000A0020000}"/>
    <cellStyle name="Normal 2 42" xfId="665" xr:uid="{00000000-0005-0000-0000-0000A1020000}"/>
    <cellStyle name="Normal 2 43" xfId="666" xr:uid="{00000000-0005-0000-0000-0000A2020000}"/>
    <cellStyle name="Normal 2 5" xfId="38" xr:uid="{00000000-0005-0000-0000-0000A3020000}"/>
    <cellStyle name="Normal 2 5 2" xfId="108" xr:uid="{00000000-0005-0000-0000-0000A4020000}"/>
    <cellStyle name="Normal 2 6" xfId="8" xr:uid="{00000000-0005-0000-0000-0000A5020000}"/>
    <cellStyle name="Normal 2 6 2" xfId="667" xr:uid="{00000000-0005-0000-0000-0000A6020000}"/>
    <cellStyle name="Normal 2 7" xfId="668" xr:uid="{00000000-0005-0000-0000-0000A7020000}"/>
    <cellStyle name="Normal 2 8" xfId="669" xr:uid="{00000000-0005-0000-0000-0000A8020000}"/>
    <cellStyle name="Normal 2 9" xfId="670" xr:uid="{00000000-0005-0000-0000-0000A9020000}"/>
    <cellStyle name="Normal 2_101221 2011年期初予算用サマリ(IMCT殿提出用)" xfId="671" xr:uid="{00000000-0005-0000-0000-0000AA020000}"/>
    <cellStyle name="Normal 20" xfId="672" xr:uid="{00000000-0005-0000-0000-0000AB020000}"/>
    <cellStyle name="Normal 20 3 2" xfId="673" xr:uid="{00000000-0005-0000-0000-0000AC020000}"/>
    <cellStyle name="Normal 21" xfId="674" xr:uid="{00000000-0005-0000-0000-0000AD020000}"/>
    <cellStyle name="Normal 22" xfId="2843" xr:uid="{00000000-0005-0000-0000-0000AE020000}"/>
    <cellStyle name="Normal 23" xfId="2858" xr:uid="{00000000-0005-0000-0000-0000AF020000}"/>
    <cellStyle name="Normal 24" xfId="2873" xr:uid="{00000000-0005-0000-0000-0000B0020000}"/>
    <cellStyle name="Normal 3" xfId="39" xr:uid="{00000000-0005-0000-0000-0000B1020000}"/>
    <cellStyle name="Normal 3 10" xfId="675" xr:uid="{00000000-0005-0000-0000-0000B2020000}"/>
    <cellStyle name="Normal 3 11" xfId="676" xr:uid="{00000000-0005-0000-0000-0000B3020000}"/>
    <cellStyle name="Normal 3 12" xfId="677" xr:uid="{00000000-0005-0000-0000-0000B4020000}"/>
    <cellStyle name="Normal 3 13" xfId="678" xr:uid="{00000000-0005-0000-0000-0000B5020000}"/>
    <cellStyle name="Normal 3 14" xfId="679" xr:uid="{00000000-0005-0000-0000-0000B6020000}"/>
    <cellStyle name="Normal 3 15" xfId="680" xr:uid="{00000000-0005-0000-0000-0000B7020000}"/>
    <cellStyle name="Normal 3 16" xfId="681" xr:uid="{00000000-0005-0000-0000-0000B8020000}"/>
    <cellStyle name="Normal 3 17" xfId="682" xr:uid="{00000000-0005-0000-0000-0000B9020000}"/>
    <cellStyle name="Normal 3 18" xfId="683" xr:uid="{00000000-0005-0000-0000-0000BA020000}"/>
    <cellStyle name="Normal 3 19" xfId="684" xr:uid="{00000000-0005-0000-0000-0000BB020000}"/>
    <cellStyle name="Normal 3 2" xfId="40" xr:uid="{00000000-0005-0000-0000-0000BC020000}"/>
    <cellStyle name="Normal 3 2 2" xfId="685" xr:uid="{00000000-0005-0000-0000-0000BD020000}"/>
    <cellStyle name="Normal 3 2 3" xfId="686" xr:uid="{00000000-0005-0000-0000-0000BE020000}"/>
    <cellStyle name="Normal 3 2 4" xfId="687" xr:uid="{00000000-0005-0000-0000-0000BF020000}"/>
    <cellStyle name="Normal 3 2_2012 Capacity up Plan-2" xfId="688" xr:uid="{00000000-0005-0000-0000-0000C0020000}"/>
    <cellStyle name="Normal 3 20" xfId="689" xr:uid="{00000000-0005-0000-0000-0000C1020000}"/>
    <cellStyle name="Normal 3 21" xfId="690" xr:uid="{00000000-0005-0000-0000-0000C2020000}"/>
    <cellStyle name="Normal 3 22" xfId="691" xr:uid="{00000000-0005-0000-0000-0000C3020000}"/>
    <cellStyle name="Normal 3 23" xfId="692" xr:uid="{00000000-0005-0000-0000-0000C4020000}"/>
    <cellStyle name="Normal 3 24" xfId="693" xr:uid="{00000000-0005-0000-0000-0000C5020000}"/>
    <cellStyle name="Normal 3 25" xfId="694" xr:uid="{00000000-0005-0000-0000-0000C6020000}"/>
    <cellStyle name="Normal 3 26" xfId="695" xr:uid="{00000000-0005-0000-0000-0000C7020000}"/>
    <cellStyle name="Normal 3 27" xfId="696" xr:uid="{00000000-0005-0000-0000-0000C8020000}"/>
    <cellStyle name="Normal 3 28" xfId="697" xr:uid="{00000000-0005-0000-0000-0000C9020000}"/>
    <cellStyle name="Normal 3 29" xfId="698" xr:uid="{00000000-0005-0000-0000-0000CA020000}"/>
    <cellStyle name="Normal 3 3" xfId="699" xr:uid="{00000000-0005-0000-0000-0000CB020000}"/>
    <cellStyle name="Normal 3 3 2" xfId="700" xr:uid="{00000000-0005-0000-0000-0000CC020000}"/>
    <cellStyle name="Normal 3 3_2012 Capacity up Plan-2" xfId="701" xr:uid="{00000000-0005-0000-0000-0000CD020000}"/>
    <cellStyle name="Normal 3 30" xfId="702" xr:uid="{00000000-0005-0000-0000-0000CE020000}"/>
    <cellStyle name="Normal 3 31" xfId="703" xr:uid="{00000000-0005-0000-0000-0000CF020000}"/>
    <cellStyle name="Normal 3 32" xfId="704" xr:uid="{00000000-0005-0000-0000-0000D0020000}"/>
    <cellStyle name="Normal 3 33" xfId="705" xr:uid="{00000000-0005-0000-0000-0000D1020000}"/>
    <cellStyle name="Normal 3 34" xfId="706" xr:uid="{00000000-0005-0000-0000-0000D2020000}"/>
    <cellStyle name="Normal 3 35" xfId="707" xr:uid="{00000000-0005-0000-0000-0000D3020000}"/>
    <cellStyle name="Normal 3 36" xfId="708" xr:uid="{00000000-0005-0000-0000-0000D4020000}"/>
    <cellStyle name="Normal 3 37" xfId="709" xr:uid="{00000000-0005-0000-0000-0000D5020000}"/>
    <cellStyle name="Normal 3 38" xfId="710" xr:uid="{00000000-0005-0000-0000-0000D6020000}"/>
    <cellStyle name="Normal 3 39" xfId="711" xr:uid="{00000000-0005-0000-0000-0000D7020000}"/>
    <cellStyle name="Normal 3 4" xfId="712" xr:uid="{00000000-0005-0000-0000-0000D8020000}"/>
    <cellStyle name="Normal 3 40" xfId="713" xr:uid="{00000000-0005-0000-0000-0000D9020000}"/>
    <cellStyle name="Normal 3 41" xfId="714" xr:uid="{00000000-0005-0000-0000-0000DA020000}"/>
    <cellStyle name="Normal 3 42" xfId="715" xr:uid="{00000000-0005-0000-0000-0000DB020000}"/>
    <cellStyle name="Normal 3 43" xfId="716" xr:uid="{00000000-0005-0000-0000-0000DC020000}"/>
    <cellStyle name="Normal 3 44" xfId="717" xr:uid="{00000000-0005-0000-0000-0000DD020000}"/>
    <cellStyle name="Normal 3 45" xfId="718" xr:uid="{00000000-0005-0000-0000-0000DE020000}"/>
    <cellStyle name="Normal 3 5" xfId="719" xr:uid="{00000000-0005-0000-0000-0000DF020000}"/>
    <cellStyle name="Normal 3 6" xfId="720" xr:uid="{00000000-0005-0000-0000-0000E0020000}"/>
    <cellStyle name="Normal 3 7" xfId="721" xr:uid="{00000000-0005-0000-0000-0000E1020000}"/>
    <cellStyle name="Normal 3 8" xfId="722" xr:uid="{00000000-0005-0000-0000-0000E2020000}"/>
    <cellStyle name="Normal 3 9" xfId="723" xr:uid="{00000000-0005-0000-0000-0000E3020000}"/>
    <cellStyle name="Normal 3_2012 Capacity up Plan-2" xfId="724" xr:uid="{00000000-0005-0000-0000-0000E4020000}"/>
    <cellStyle name="Normal 4" xfId="41" xr:uid="{00000000-0005-0000-0000-0000E5020000}"/>
    <cellStyle name="Normal 4 2" xfId="725" xr:uid="{00000000-0005-0000-0000-0000E6020000}"/>
    <cellStyle name="Normal 4 3" xfId="726" xr:uid="{00000000-0005-0000-0000-0000E7020000}"/>
    <cellStyle name="Normal 4_101221 2011年期初予算用サマリ(IMCT殿提出用)" xfId="727" xr:uid="{00000000-0005-0000-0000-0000E8020000}"/>
    <cellStyle name="Normal 5" xfId="42" xr:uid="{00000000-0005-0000-0000-0000E9020000}"/>
    <cellStyle name="Normal 5 2" xfId="728" xr:uid="{00000000-0005-0000-0000-0000EA020000}"/>
    <cellStyle name="Normal 6" xfId="43" xr:uid="{00000000-0005-0000-0000-0000EB020000}"/>
    <cellStyle name="Normal 6 2" xfId="729" xr:uid="{00000000-0005-0000-0000-0000EC020000}"/>
    <cellStyle name="Normal 7" xfId="14" xr:uid="{00000000-0005-0000-0000-0000ED020000}"/>
    <cellStyle name="Normal 7 2" xfId="730" xr:uid="{00000000-0005-0000-0000-0000EE020000}"/>
    <cellStyle name="Normal 8" xfId="79" xr:uid="{00000000-0005-0000-0000-0000EF020000}"/>
    <cellStyle name="Normal 9" xfId="94" xr:uid="{00000000-0005-0000-0000-0000F0020000}"/>
    <cellStyle name="Normal 9 2" xfId="731" xr:uid="{00000000-0005-0000-0000-0000F1020000}"/>
    <cellStyle name="Normale_Foglio1" xfId="732" xr:uid="{00000000-0005-0000-0000-0000F2020000}"/>
    <cellStyle name="Note 2" xfId="44" xr:uid="{00000000-0005-0000-0000-0000F3020000}"/>
    <cellStyle name="Note 3" xfId="45" xr:uid="{00000000-0005-0000-0000-0000F4020000}"/>
    <cellStyle name="Note 4" xfId="80" xr:uid="{00000000-0005-0000-0000-0000F5020000}"/>
    <cellStyle name="Note 5" xfId="81" xr:uid="{00000000-0005-0000-0000-0000F6020000}"/>
    <cellStyle name="Note 6" xfId="95" xr:uid="{00000000-0005-0000-0000-0000F7020000}"/>
    <cellStyle name="Note 7" xfId="2845" xr:uid="{00000000-0005-0000-0000-0000F8020000}"/>
    <cellStyle name="Note 8" xfId="2860" xr:uid="{00000000-0005-0000-0000-0000F9020000}"/>
    <cellStyle name="Noupalboarrxx_&lt;bMAP" xfId="733" xr:uid="{00000000-0005-0000-0000-0000FA020000}"/>
    <cellStyle name="Œ…‹æØ‚è [0.00]_Erb tsm " xfId="734" xr:uid="{00000000-0005-0000-0000-0000FB020000}"/>
    <cellStyle name="Œ…‹æØ‚è_Erb tsm " xfId="735" xr:uid="{00000000-0005-0000-0000-0000FC020000}"/>
    <cellStyle name="oft Excel]_x000d__x000a_Comment=open=/f を指定すると、ユーザー定義関数を関数貼り付けの一覧に登録することができます。_x000d__x000a_Maximized" xfId="736" xr:uid="{00000000-0005-0000-0000-0000FD020000}"/>
    <cellStyle name="Option_Added_Cont_Desc" xfId="737" xr:uid="{00000000-0005-0000-0000-0000FE020000}"/>
    <cellStyle name="Output" xfId="9" builtinId="21"/>
    <cellStyle name="Output 2" xfId="46" xr:uid="{00000000-0005-0000-0000-000000030000}"/>
    <cellStyle name="P1D" xfId="738" xr:uid="{00000000-0005-0000-0000-000001030000}"/>
    <cellStyle name="Percent" xfId="10" builtinId="5"/>
    <cellStyle name="Percent [2]" xfId="739" xr:uid="{00000000-0005-0000-0000-000003030000}"/>
    <cellStyle name="Percent [2] 2" xfId="740" xr:uid="{00000000-0005-0000-0000-000004030000}"/>
    <cellStyle name="Percent 10" xfId="741" xr:uid="{00000000-0005-0000-0000-000005030000}"/>
    <cellStyle name="Percent 11" xfId="742" xr:uid="{00000000-0005-0000-0000-000006030000}"/>
    <cellStyle name="Percent 2" xfId="743" xr:uid="{00000000-0005-0000-0000-000007030000}"/>
    <cellStyle name="Percent 2 2" xfId="744" xr:uid="{00000000-0005-0000-0000-000008030000}"/>
    <cellStyle name="Percent 2 2 2" xfId="745" xr:uid="{00000000-0005-0000-0000-000009030000}"/>
    <cellStyle name="Percent 2 2 3" xfId="746" xr:uid="{00000000-0005-0000-0000-00000A030000}"/>
    <cellStyle name="Percent 2 2 4" xfId="747" xr:uid="{00000000-0005-0000-0000-00000B030000}"/>
    <cellStyle name="Percent 2 3" xfId="748" xr:uid="{00000000-0005-0000-0000-00000C030000}"/>
    <cellStyle name="Percent 2 4" xfId="749" xr:uid="{00000000-0005-0000-0000-00000D030000}"/>
    <cellStyle name="Percent 3" xfId="750" xr:uid="{00000000-0005-0000-0000-00000E030000}"/>
    <cellStyle name="Percent 3 2" xfId="751" xr:uid="{00000000-0005-0000-0000-00000F030000}"/>
    <cellStyle name="Percent 3 3" xfId="752" xr:uid="{00000000-0005-0000-0000-000010030000}"/>
    <cellStyle name="Percent 3 4" xfId="753" xr:uid="{00000000-0005-0000-0000-000011030000}"/>
    <cellStyle name="Percent 3 5" xfId="754" xr:uid="{00000000-0005-0000-0000-000012030000}"/>
    <cellStyle name="Percent 4" xfId="755" xr:uid="{00000000-0005-0000-0000-000013030000}"/>
    <cellStyle name="Percent 4 2" xfId="756" xr:uid="{00000000-0005-0000-0000-000014030000}"/>
    <cellStyle name="Percent 4 3" xfId="757" xr:uid="{00000000-0005-0000-0000-000015030000}"/>
    <cellStyle name="Percent 4 4" xfId="758" xr:uid="{00000000-0005-0000-0000-000016030000}"/>
    <cellStyle name="Percent 4_Assy_Nov 5'10" xfId="759" xr:uid="{00000000-0005-0000-0000-000017030000}"/>
    <cellStyle name="Percent 5" xfId="760" xr:uid="{00000000-0005-0000-0000-000018030000}"/>
    <cellStyle name="Percent 6" xfId="761" xr:uid="{00000000-0005-0000-0000-000019030000}"/>
    <cellStyle name="Percent 7" xfId="762" xr:uid="{00000000-0005-0000-0000-00001A030000}"/>
    <cellStyle name="Percent 7 2" xfId="110" xr:uid="{00000000-0005-0000-0000-00001B030000}"/>
    <cellStyle name="Percent 7 2 2" xfId="763" xr:uid="{00000000-0005-0000-0000-00001C030000}"/>
    <cellStyle name="Percent 8" xfId="764" xr:uid="{00000000-0005-0000-0000-00001D030000}"/>
    <cellStyle name="Percent 9" xfId="765" xr:uid="{00000000-0005-0000-0000-00001E030000}"/>
    <cellStyle name="Percent 9 2" xfId="766" xr:uid="{00000000-0005-0000-0000-00001F030000}"/>
    <cellStyle name="Percent 9 3" xfId="767" xr:uid="{00000000-0005-0000-0000-000020030000}"/>
    <cellStyle name="PERCENTAGE" xfId="768" xr:uid="{00000000-0005-0000-0000-000021030000}"/>
    <cellStyle name="Preliminary_Data" xfId="769" xr:uid="{00000000-0005-0000-0000-000022030000}"/>
    <cellStyle name="Prices_Data" xfId="770" xr:uid="{00000000-0005-0000-0000-000023030000}"/>
    <cellStyle name="Qrrmdo_lduou{b9_S)C-I015" xfId="771" xr:uid="{00000000-0005-0000-0000-000024030000}"/>
    <cellStyle name="Quantity" xfId="772" xr:uid="{00000000-0005-0000-0000-000025030000}"/>
    <cellStyle name="Reset  - Style7" xfId="773" xr:uid="{00000000-0005-0000-0000-000026030000}"/>
    <cellStyle name="revisi" xfId="774" xr:uid="{00000000-0005-0000-0000-000027030000}"/>
    <cellStyle name="S1D" xfId="775" xr:uid="{00000000-0005-0000-0000-000028030000}"/>
    <cellStyle name="SAPBEXaggData" xfId="776" xr:uid="{00000000-0005-0000-0000-000029030000}"/>
    <cellStyle name="SAPBEXaggDataEmph" xfId="777" xr:uid="{00000000-0005-0000-0000-00002A030000}"/>
    <cellStyle name="SAPBEXaggExc1" xfId="778" xr:uid="{00000000-0005-0000-0000-00002B030000}"/>
    <cellStyle name="SAPBEXaggExc1Emph" xfId="779" xr:uid="{00000000-0005-0000-0000-00002C030000}"/>
    <cellStyle name="SAPBEXaggExc2" xfId="780" xr:uid="{00000000-0005-0000-0000-00002D030000}"/>
    <cellStyle name="SAPBEXaggExc2Emph" xfId="781" xr:uid="{00000000-0005-0000-0000-00002E030000}"/>
    <cellStyle name="SAPBEXaggItem" xfId="782" xr:uid="{00000000-0005-0000-0000-00002F030000}"/>
    <cellStyle name="SAPBEXchaText" xfId="783" xr:uid="{00000000-0005-0000-0000-000030030000}"/>
    <cellStyle name="SAPBEXexcBad" xfId="784" xr:uid="{00000000-0005-0000-0000-000031030000}"/>
    <cellStyle name="SAPBEXexcBad7" xfId="785" xr:uid="{00000000-0005-0000-0000-000032030000}"/>
    <cellStyle name="SAPBEXexcBad8" xfId="786" xr:uid="{00000000-0005-0000-0000-000033030000}"/>
    <cellStyle name="SAPBEXexcBad9" xfId="787" xr:uid="{00000000-0005-0000-0000-000034030000}"/>
    <cellStyle name="SAPBEXexcCritical" xfId="788" xr:uid="{00000000-0005-0000-0000-000035030000}"/>
    <cellStyle name="SAPBEXexcCritical4" xfId="789" xr:uid="{00000000-0005-0000-0000-000036030000}"/>
    <cellStyle name="SAPBEXexcCritical5" xfId="790" xr:uid="{00000000-0005-0000-0000-000037030000}"/>
    <cellStyle name="SAPBEXexcCritical6" xfId="791" xr:uid="{00000000-0005-0000-0000-000038030000}"/>
    <cellStyle name="SAPBEXexcGood" xfId="792" xr:uid="{00000000-0005-0000-0000-000039030000}"/>
    <cellStyle name="SAPBEXexcGood1" xfId="793" xr:uid="{00000000-0005-0000-0000-00003A030000}"/>
    <cellStyle name="SAPBEXexcGood2" xfId="794" xr:uid="{00000000-0005-0000-0000-00003B030000}"/>
    <cellStyle name="SAPBEXexcGood3" xfId="795" xr:uid="{00000000-0005-0000-0000-00003C030000}"/>
    <cellStyle name="SAPBEXexcVeryBad" xfId="796" xr:uid="{00000000-0005-0000-0000-00003D030000}"/>
    <cellStyle name="SAPBEXfilterDrill" xfId="797" xr:uid="{00000000-0005-0000-0000-00003E030000}"/>
    <cellStyle name="SAPBEXfilterItem" xfId="798" xr:uid="{00000000-0005-0000-0000-00003F030000}"/>
    <cellStyle name="SAPBEXfilterText" xfId="799" xr:uid="{00000000-0005-0000-0000-000040030000}"/>
    <cellStyle name="SAPBEXformats" xfId="800" xr:uid="{00000000-0005-0000-0000-000041030000}"/>
    <cellStyle name="SAPBEXheaderData" xfId="801" xr:uid="{00000000-0005-0000-0000-000042030000}"/>
    <cellStyle name="SAPBEXheaderItem" xfId="802" xr:uid="{00000000-0005-0000-0000-000043030000}"/>
    <cellStyle name="SAPBEXheaderText" xfId="803" xr:uid="{00000000-0005-0000-0000-000044030000}"/>
    <cellStyle name="SAPBEXresData" xfId="804" xr:uid="{00000000-0005-0000-0000-000045030000}"/>
    <cellStyle name="SAPBEXresDataEmph" xfId="805" xr:uid="{00000000-0005-0000-0000-000046030000}"/>
    <cellStyle name="SAPBEXresExc1" xfId="806" xr:uid="{00000000-0005-0000-0000-000047030000}"/>
    <cellStyle name="SAPBEXresExc1Emph" xfId="807" xr:uid="{00000000-0005-0000-0000-000048030000}"/>
    <cellStyle name="SAPBEXresExc2" xfId="808" xr:uid="{00000000-0005-0000-0000-000049030000}"/>
    <cellStyle name="SAPBEXresExc2Emph" xfId="809" xr:uid="{00000000-0005-0000-0000-00004A030000}"/>
    <cellStyle name="SAPBEXresItem" xfId="810" xr:uid="{00000000-0005-0000-0000-00004B030000}"/>
    <cellStyle name="SAPBEXstdData" xfId="811" xr:uid="{00000000-0005-0000-0000-00004C030000}"/>
    <cellStyle name="SAPBEXstdDataEmph" xfId="812" xr:uid="{00000000-0005-0000-0000-00004D030000}"/>
    <cellStyle name="SAPBEXstdExc1" xfId="813" xr:uid="{00000000-0005-0000-0000-00004E030000}"/>
    <cellStyle name="SAPBEXstdExc1Emph" xfId="814" xr:uid="{00000000-0005-0000-0000-00004F030000}"/>
    <cellStyle name="SAPBEXstdExc2" xfId="815" xr:uid="{00000000-0005-0000-0000-000050030000}"/>
    <cellStyle name="SAPBEXstdExc2Emph" xfId="816" xr:uid="{00000000-0005-0000-0000-000051030000}"/>
    <cellStyle name="SAPBEXstdItem" xfId="817" xr:uid="{00000000-0005-0000-0000-000052030000}"/>
    <cellStyle name="SAPBEXsubData" xfId="818" xr:uid="{00000000-0005-0000-0000-000053030000}"/>
    <cellStyle name="SAPBEXsubDataEmph" xfId="819" xr:uid="{00000000-0005-0000-0000-000054030000}"/>
    <cellStyle name="SAPBEXsubExc1" xfId="820" xr:uid="{00000000-0005-0000-0000-000055030000}"/>
    <cellStyle name="SAPBEXsubExc1Emph" xfId="821" xr:uid="{00000000-0005-0000-0000-000056030000}"/>
    <cellStyle name="SAPBEXsubExc2" xfId="822" xr:uid="{00000000-0005-0000-0000-000057030000}"/>
    <cellStyle name="SAPBEXsubExc2Emph" xfId="823" xr:uid="{00000000-0005-0000-0000-000058030000}"/>
    <cellStyle name="SAPBEXsubItem" xfId="824" xr:uid="{00000000-0005-0000-0000-000059030000}"/>
    <cellStyle name="SAPBEXtitle" xfId="825" xr:uid="{00000000-0005-0000-0000-00005A030000}"/>
    <cellStyle name="SAPBEXundefined" xfId="826" xr:uid="{00000000-0005-0000-0000-00005B030000}"/>
    <cellStyle name="Separador de milhares [0]_Person" xfId="827" xr:uid="{00000000-0005-0000-0000-00005C030000}"/>
    <cellStyle name="Separador de milhares_Person" xfId="828" xr:uid="{00000000-0005-0000-0000-00005D030000}"/>
    <cellStyle name="Shade" xfId="829" xr:uid="{00000000-0005-0000-0000-00005E030000}"/>
    <cellStyle name="siki" xfId="830" xr:uid="{00000000-0005-0000-0000-00005F030000}"/>
    <cellStyle name="Standard_Basic Models" xfId="831" xr:uid="{00000000-0005-0000-0000-000060030000}"/>
    <cellStyle name="STEP1" xfId="832" xr:uid="{00000000-0005-0000-0000-000061030000}"/>
    <cellStyle name="STEP2" xfId="833" xr:uid="{00000000-0005-0000-0000-000062030000}"/>
    <cellStyle name="Style 1" xfId="834" xr:uid="{00000000-0005-0000-0000-000063030000}"/>
    <cellStyle name="Style 10" xfId="835" xr:uid="{00000000-0005-0000-0000-000064030000}"/>
    <cellStyle name="Style 100" xfId="836" xr:uid="{00000000-0005-0000-0000-000065030000}"/>
    <cellStyle name="Style 101" xfId="837" xr:uid="{00000000-0005-0000-0000-000066030000}"/>
    <cellStyle name="Style 102" xfId="838" xr:uid="{00000000-0005-0000-0000-000067030000}"/>
    <cellStyle name="Style 103" xfId="839" xr:uid="{00000000-0005-0000-0000-000068030000}"/>
    <cellStyle name="Style 104" xfId="840" xr:uid="{00000000-0005-0000-0000-000069030000}"/>
    <cellStyle name="Style 105" xfId="841" xr:uid="{00000000-0005-0000-0000-00006A030000}"/>
    <cellStyle name="Style 106" xfId="842" xr:uid="{00000000-0005-0000-0000-00006B030000}"/>
    <cellStyle name="Style 107" xfId="843" xr:uid="{00000000-0005-0000-0000-00006C030000}"/>
    <cellStyle name="Style 108" xfId="844" xr:uid="{00000000-0005-0000-0000-00006D030000}"/>
    <cellStyle name="Style 109" xfId="845" xr:uid="{00000000-0005-0000-0000-00006E030000}"/>
    <cellStyle name="Style 11" xfId="846" xr:uid="{00000000-0005-0000-0000-00006F030000}"/>
    <cellStyle name="Style 110" xfId="847" xr:uid="{00000000-0005-0000-0000-000070030000}"/>
    <cellStyle name="Style 111" xfId="848" xr:uid="{00000000-0005-0000-0000-000071030000}"/>
    <cellStyle name="Style 112" xfId="849" xr:uid="{00000000-0005-0000-0000-000072030000}"/>
    <cellStyle name="Style 113" xfId="850" xr:uid="{00000000-0005-0000-0000-000073030000}"/>
    <cellStyle name="Style 114" xfId="851" xr:uid="{00000000-0005-0000-0000-000074030000}"/>
    <cellStyle name="Style 115" xfId="852" xr:uid="{00000000-0005-0000-0000-000075030000}"/>
    <cellStyle name="Style 116" xfId="853" xr:uid="{00000000-0005-0000-0000-000076030000}"/>
    <cellStyle name="Style 117" xfId="854" xr:uid="{00000000-0005-0000-0000-000077030000}"/>
    <cellStyle name="Style 118" xfId="855" xr:uid="{00000000-0005-0000-0000-000078030000}"/>
    <cellStyle name="Style 119" xfId="856" xr:uid="{00000000-0005-0000-0000-000079030000}"/>
    <cellStyle name="Style 12" xfId="857" xr:uid="{00000000-0005-0000-0000-00007A030000}"/>
    <cellStyle name="Style 120" xfId="858" xr:uid="{00000000-0005-0000-0000-00007B030000}"/>
    <cellStyle name="Style 121" xfId="859" xr:uid="{00000000-0005-0000-0000-00007C030000}"/>
    <cellStyle name="Style 122" xfId="860" xr:uid="{00000000-0005-0000-0000-00007D030000}"/>
    <cellStyle name="Style 123" xfId="861" xr:uid="{00000000-0005-0000-0000-00007E030000}"/>
    <cellStyle name="Style 124" xfId="862" xr:uid="{00000000-0005-0000-0000-00007F030000}"/>
    <cellStyle name="Style 125" xfId="863" xr:uid="{00000000-0005-0000-0000-000080030000}"/>
    <cellStyle name="Style 126" xfId="864" xr:uid="{00000000-0005-0000-0000-000081030000}"/>
    <cellStyle name="Style 127" xfId="865" xr:uid="{00000000-0005-0000-0000-000082030000}"/>
    <cellStyle name="Style 128" xfId="866" xr:uid="{00000000-0005-0000-0000-000083030000}"/>
    <cellStyle name="Style 129" xfId="867" xr:uid="{00000000-0005-0000-0000-000084030000}"/>
    <cellStyle name="Style 13" xfId="868" xr:uid="{00000000-0005-0000-0000-000085030000}"/>
    <cellStyle name="Style 130" xfId="869" xr:uid="{00000000-0005-0000-0000-000086030000}"/>
    <cellStyle name="Style 131" xfId="870" xr:uid="{00000000-0005-0000-0000-000087030000}"/>
    <cellStyle name="Style 132" xfId="871" xr:uid="{00000000-0005-0000-0000-000088030000}"/>
    <cellStyle name="Style 133" xfId="872" xr:uid="{00000000-0005-0000-0000-000089030000}"/>
    <cellStyle name="Style 134" xfId="873" xr:uid="{00000000-0005-0000-0000-00008A030000}"/>
    <cellStyle name="Style 135" xfId="874" xr:uid="{00000000-0005-0000-0000-00008B030000}"/>
    <cellStyle name="Style 136" xfId="875" xr:uid="{00000000-0005-0000-0000-00008C030000}"/>
    <cellStyle name="Style 137" xfId="876" xr:uid="{00000000-0005-0000-0000-00008D030000}"/>
    <cellStyle name="Style 138" xfId="877" xr:uid="{00000000-0005-0000-0000-00008E030000}"/>
    <cellStyle name="Style 139" xfId="878" xr:uid="{00000000-0005-0000-0000-00008F030000}"/>
    <cellStyle name="Style 14" xfId="879" xr:uid="{00000000-0005-0000-0000-000090030000}"/>
    <cellStyle name="Style 140" xfId="880" xr:uid="{00000000-0005-0000-0000-000091030000}"/>
    <cellStyle name="Style 141" xfId="881" xr:uid="{00000000-0005-0000-0000-000092030000}"/>
    <cellStyle name="Style 142" xfId="882" xr:uid="{00000000-0005-0000-0000-000093030000}"/>
    <cellStyle name="Style 143" xfId="883" xr:uid="{00000000-0005-0000-0000-000094030000}"/>
    <cellStyle name="Style 144" xfId="884" xr:uid="{00000000-0005-0000-0000-000095030000}"/>
    <cellStyle name="Style 145" xfId="885" xr:uid="{00000000-0005-0000-0000-000096030000}"/>
    <cellStyle name="Style 146" xfId="886" xr:uid="{00000000-0005-0000-0000-000097030000}"/>
    <cellStyle name="Style 147" xfId="887" xr:uid="{00000000-0005-0000-0000-000098030000}"/>
    <cellStyle name="Style 148" xfId="888" xr:uid="{00000000-0005-0000-0000-000099030000}"/>
    <cellStyle name="Style 149" xfId="889" xr:uid="{00000000-0005-0000-0000-00009A030000}"/>
    <cellStyle name="Style 15" xfId="890" xr:uid="{00000000-0005-0000-0000-00009B030000}"/>
    <cellStyle name="Style 150" xfId="891" xr:uid="{00000000-0005-0000-0000-00009C030000}"/>
    <cellStyle name="Style 151" xfId="892" xr:uid="{00000000-0005-0000-0000-00009D030000}"/>
    <cellStyle name="Style 152" xfId="893" xr:uid="{00000000-0005-0000-0000-00009E030000}"/>
    <cellStyle name="Style 153" xfId="894" xr:uid="{00000000-0005-0000-0000-00009F030000}"/>
    <cellStyle name="Style 154" xfId="895" xr:uid="{00000000-0005-0000-0000-0000A0030000}"/>
    <cellStyle name="Style 155" xfId="896" xr:uid="{00000000-0005-0000-0000-0000A1030000}"/>
    <cellStyle name="Style 156" xfId="897" xr:uid="{00000000-0005-0000-0000-0000A2030000}"/>
    <cellStyle name="Style 157" xfId="898" xr:uid="{00000000-0005-0000-0000-0000A3030000}"/>
    <cellStyle name="Style 158" xfId="899" xr:uid="{00000000-0005-0000-0000-0000A4030000}"/>
    <cellStyle name="Style 159" xfId="900" xr:uid="{00000000-0005-0000-0000-0000A5030000}"/>
    <cellStyle name="Style 16" xfId="901" xr:uid="{00000000-0005-0000-0000-0000A6030000}"/>
    <cellStyle name="Style 160" xfId="902" xr:uid="{00000000-0005-0000-0000-0000A7030000}"/>
    <cellStyle name="Style 161" xfId="903" xr:uid="{00000000-0005-0000-0000-0000A8030000}"/>
    <cellStyle name="Style 162" xfId="904" xr:uid="{00000000-0005-0000-0000-0000A9030000}"/>
    <cellStyle name="Style 163" xfId="905" xr:uid="{00000000-0005-0000-0000-0000AA030000}"/>
    <cellStyle name="Style 164" xfId="906" xr:uid="{00000000-0005-0000-0000-0000AB030000}"/>
    <cellStyle name="Style 165" xfId="907" xr:uid="{00000000-0005-0000-0000-0000AC030000}"/>
    <cellStyle name="Style 166" xfId="908" xr:uid="{00000000-0005-0000-0000-0000AD030000}"/>
    <cellStyle name="Style 167" xfId="909" xr:uid="{00000000-0005-0000-0000-0000AE030000}"/>
    <cellStyle name="Style 168" xfId="910" xr:uid="{00000000-0005-0000-0000-0000AF030000}"/>
    <cellStyle name="Style 169" xfId="911" xr:uid="{00000000-0005-0000-0000-0000B0030000}"/>
    <cellStyle name="Style 17" xfId="912" xr:uid="{00000000-0005-0000-0000-0000B1030000}"/>
    <cellStyle name="Style 170" xfId="913" xr:uid="{00000000-0005-0000-0000-0000B2030000}"/>
    <cellStyle name="Style 171" xfId="914" xr:uid="{00000000-0005-0000-0000-0000B3030000}"/>
    <cellStyle name="Style 172" xfId="915" xr:uid="{00000000-0005-0000-0000-0000B4030000}"/>
    <cellStyle name="Style 173" xfId="916" xr:uid="{00000000-0005-0000-0000-0000B5030000}"/>
    <cellStyle name="Style 174" xfId="917" xr:uid="{00000000-0005-0000-0000-0000B6030000}"/>
    <cellStyle name="Style 175" xfId="918" xr:uid="{00000000-0005-0000-0000-0000B7030000}"/>
    <cellStyle name="Style 176" xfId="919" xr:uid="{00000000-0005-0000-0000-0000B8030000}"/>
    <cellStyle name="Style 177" xfId="920" xr:uid="{00000000-0005-0000-0000-0000B9030000}"/>
    <cellStyle name="Style 178" xfId="921" xr:uid="{00000000-0005-0000-0000-0000BA030000}"/>
    <cellStyle name="Style 179" xfId="922" xr:uid="{00000000-0005-0000-0000-0000BB030000}"/>
    <cellStyle name="Style 18" xfId="923" xr:uid="{00000000-0005-0000-0000-0000BC030000}"/>
    <cellStyle name="Style 180" xfId="924" xr:uid="{00000000-0005-0000-0000-0000BD030000}"/>
    <cellStyle name="Style 181" xfId="925" xr:uid="{00000000-0005-0000-0000-0000BE030000}"/>
    <cellStyle name="Style 182" xfId="926" xr:uid="{00000000-0005-0000-0000-0000BF030000}"/>
    <cellStyle name="Style 183" xfId="927" xr:uid="{00000000-0005-0000-0000-0000C0030000}"/>
    <cellStyle name="Style 184" xfId="928" xr:uid="{00000000-0005-0000-0000-0000C1030000}"/>
    <cellStyle name="Style 185" xfId="929" xr:uid="{00000000-0005-0000-0000-0000C2030000}"/>
    <cellStyle name="Style 186" xfId="930" xr:uid="{00000000-0005-0000-0000-0000C3030000}"/>
    <cellStyle name="Style 187" xfId="931" xr:uid="{00000000-0005-0000-0000-0000C4030000}"/>
    <cellStyle name="Style 188" xfId="932" xr:uid="{00000000-0005-0000-0000-0000C5030000}"/>
    <cellStyle name="Style 189" xfId="933" xr:uid="{00000000-0005-0000-0000-0000C6030000}"/>
    <cellStyle name="Style 19" xfId="934" xr:uid="{00000000-0005-0000-0000-0000C7030000}"/>
    <cellStyle name="Style 190" xfId="935" xr:uid="{00000000-0005-0000-0000-0000C8030000}"/>
    <cellStyle name="Style 191" xfId="936" xr:uid="{00000000-0005-0000-0000-0000C9030000}"/>
    <cellStyle name="Style 192" xfId="937" xr:uid="{00000000-0005-0000-0000-0000CA030000}"/>
    <cellStyle name="Style 193" xfId="938" xr:uid="{00000000-0005-0000-0000-0000CB030000}"/>
    <cellStyle name="Style 194" xfId="939" xr:uid="{00000000-0005-0000-0000-0000CC030000}"/>
    <cellStyle name="Style 195" xfId="940" xr:uid="{00000000-0005-0000-0000-0000CD030000}"/>
    <cellStyle name="Style 196" xfId="941" xr:uid="{00000000-0005-0000-0000-0000CE030000}"/>
    <cellStyle name="Style 197" xfId="942" xr:uid="{00000000-0005-0000-0000-0000CF030000}"/>
    <cellStyle name="Style 198" xfId="943" xr:uid="{00000000-0005-0000-0000-0000D0030000}"/>
    <cellStyle name="Style 199" xfId="944" xr:uid="{00000000-0005-0000-0000-0000D1030000}"/>
    <cellStyle name="Style 2" xfId="945" xr:uid="{00000000-0005-0000-0000-0000D2030000}"/>
    <cellStyle name="Style 20" xfId="946" xr:uid="{00000000-0005-0000-0000-0000D3030000}"/>
    <cellStyle name="Style 200" xfId="947" xr:uid="{00000000-0005-0000-0000-0000D4030000}"/>
    <cellStyle name="Style 201" xfId="948" xr:uid="{00000000-0005-0000-0000-0000D5030000}"/>
    <cellStyle name="Style 202" xfId="949" xr:uid="{00000000-0005-0000-0000-0000D6030000}"/>
    <cellStyle name="Style 203" xfId="950" xr:uid="{00000000-0005-0000-0000-0000D7030000}"/>
    <cellStyle name="Style 204" xfId="951" xr:uid="{00000000-0005-0000-0000-0000D8030000}"/>
    <cellStyle name="Style 205" xfId="952" xr:uid="{00000000-0005-0000-0000-0000D9030000}"/>
    <cellStyle name="Style 206" xfId="953" xr:uid="{00000000-0005-0000-0000-0000DA030000}"/>
    <cellStyle name="Style 207" xfId="954" xr:uid="{00000000-0005-0000-0000-0000DB030000}"/>
    <cellStyle name="Style 208" xfId="955" xr:uid="{00000000-0005-0000-0000-0000DC030000}"/>
    <cellStyle name="Style 209" xfId="956" xr:uid="{00000000-0005-0000-0000-0000DD030000}"/>
    <cellStyle name="Style 21" xfId="957" xr:uid="{00000000-0005-0000-0000-0000DE030000}"/>
    <cellStyle name="Style 210" xfId="958" xr:uid="{00000000-0005-0000-0000-0000DF030000}"/>
    <cellStyle name="Style 211" xfId="959" xr:uid="{00000000-0005-0000-0000-0000E0030000}"/>
    <cellStyle name="Style 212" xfId="960" xr:uid="{00000000-0005-0000-0000-0000E1030000}"/>
    <cellStyle name="Style 213" xfId="961" xr:uid="{00000000-0005-0000-0000-0000E2030000}"/>
    <cellStyle name="Style 214" xfId="962" xr:uid="{00000000-0005-0000-0000-0000E3030000}"/>
    <cellStyle name="Style 215" xfId="963" xr:uid="{00000000-0005-0000-0000-0000E4030000}"/>
    <cellStyle name="Style 216" xfId="964" xr:uid="{00000000-0005-0000-0000-0000E5030000}"/>
    <cellStyle name="Style 217" xfId="965" xr:uid="{00000000-0005-0000-0000-0000E6030000}"/>
    <cellStyle name="Style 218" xfId="966" xr:uid="{00000000-0005-0000-0000-0000E7030000}"/>
    <cellStyle name="Style 219" xfId="967" xr:uid="{00000000-0005-0000-0000-0000E8030000}"/>
    <cellStyle name="Style 22" xfId="968" xr:uid="{00000000-0005-0000-0000-0000E9030000}"/>
    <cellStyle name="Style 220" xfId="969" xr:uid="{00000000-0005-0000-0000-0000EA030000}"/>
    <cellStyle name="Style 221" xfId="970" xr:uid="{00000000-0005-0000-0000-0000EB030000}"/>
    <cellStyle name="Style 222" xfId="971" xr:uid="{00000000-0005-0000-0000-0000EC030000}"/>
    <cellStyle name="Style 223" xfId="972" xr:uid="{00000000-0005-0000-0000-0000ED030000}"/>
    <cellStyle name="Style 224" xfId="973" xr:uid="{00000000-0005-0000-0000-0000EE030000}"/>
    <cellStyle name="Style 225" xfId="974" xr:uid="{00000000-0005-0000-0000-0000EF030000}"/>
    <cellStyle name="Style 226" xfId="975" xr:uid="{00000000-0005-0000-0000-0000F0030000}"/>
    <cellStyle name="Style 227" xfId="976" xr:uid="{00000000-0005-0000-0000-0000F1030000}"/>
    <cellStyle name="Style 228" xfId="977" xr:uid="{00000000-0005-0000-0000-0000F2030000}"/>
    <cellStyle name="Style 229" xfId="978" xr:uid="{00000000-0005-0000-0000-0000F3030000}"/>
    <cellStyle name="Style 23" xfId="979" xr:uid="{00000000-0005-0000-0000-0000F4030000}"/>
    <cellStyle name="Style 230" xfId="980" xr:uid="{00000000-0005-0000-0000-0000F5030000}"/>
    <cellStyle name="Style 231" xfId="981" xr:uid="{00000000-0005-0000-0000-0000F6030000}"/>
    <cellStyle name="Style 232" xfId="982" xr:uid="{00000000-0005-0000-0000-0000F7030000}"/>
    <cellStyle name="Style 233" xfId="983" xr:uid="{00000000-0005-0000-0000-0000F8030000}"/>
    <cellStyle name="Style 234" xfId="984" xr:uid="{00000000-0005-0000-0000-0000F9030000}"/>
    <cellStyle name="Style 235" xfId="985" xr:uid="{00000000-0005-0000-0000-0000FA030000}"/>
    <cellStyle name="Style 236" xfId="986" xr:uid="{00000000-0005-0000-0000-0000FB030000}"/>
    <cellStyle name="Style 237" xfId="987" xr:uid="{00000000-0005-0000-0000-0000FC030000}"/>
    <cellStyle name="Style 238" xfId="988" xr:uid="{00000000-0005-0000-0000-0000FD030000}"/>
    <cellStyle name="Style 239" xfId="989" xr:uid="{00000000-0005-0000-0000-0000FE030000}"/>
    <cellStyle name="Style 24" xfId="990" xr:uid="{00000000-0005-0000-0000-0000FF030000}"/>
    <cellStyle name="Style 240" xfId="991" xr:uid="{00000000-0005-0000-0000-000000040000}"/>
    <cellStyle name="Style 241" xfId="992" xr:uid="{00000000-0005-0000-0000-000001040000}"/>
    <cellStyle name="Style 242" xfId="993" xr:uid="{00000000-0005-0000-0000-000002040000}"/>
    <cellStyle name="Style 243" xfId="994" xr:uid="{00000000-0005-0000-0000-000003040000}"/>
    <cellStyle name="Style 244" xfId="995" xr:uid="{00000000-0005-0000-0000-000004040000}"/>
    <cellStyle name="Style 245" xfId="996" xr:uid="{00000000-0005-0000-0000-000005040000}"/>
    <cellStyle name="Style 246" xfId="997" xr:uid="{00000000-0005-0000-0000-000006040000}"/>
    <cellStyle name="Style 247" xfId="998" xr:uid="{00000000-0005-0000-0000-000007040000}"/>
    <cellStyle name="Style 248" xfId="999" xr:uid="{00000000-0005-0000-0000-000008040000}"/>
    <cellStyle name="Style 249" xfId="1000" xr:uid="{00000000-0005-0000-0000-000009040000}"/>
    <cellStyle name="Style 25" xfId="1001" xr:uid="{00000000-0005-0000-0000-00000A040000}"/>
    <cellStyle name="Style 250" xfId="1002" xr:uid="{00000000-0005-0000-0000-00000B040000}"/>
    <cellStyle name="Style 251" xfId="1003" xr:uid="{00000000-0005-0000-0000-00000C040000}"/>
    <cellStyle name="Style 252" xfId="1004" xr:uid="{00000000-0005-0000-0000-00000D040000}"/>
    <cellStyle name="Style 253" xfId="1005" xr:uid="{00000000-0005-0000-0000-00000E040000}"/>
    <cellStyle name="Style 254" xfId="1006" xr:uid="{00000000-0005-0000-0000-00000F040000}"/>
    <cellStyle name="Style 255" xfId="1007" xr:uid="{00000000-0005-0000-0000-000010040000}"/>
    <cellStyle name="Style 26" xfId="1008" xr:uid="{00000000-0005-0000-0000-000011040000}"/>
    <cellStyle name="Style 27" xfId="1009" xr:uid="{00000000-0005-0000-0000-000012040000}"/>
    <cellStyle name="Style 28" xfId="1010" xr:uid="{00000000-0005-0000-0000-000013040000}"/>
    <cellStyle name="Style 29" xfId="1011" xr:uid="{00000000-0005-0000-0000-000014040000}"/>
    <cellStyle name="Style 3" xfId="1012" xr:uid="{00000000-0005-0000-0000-000015040000}"/>
    <cellStyle name="Style 30" xfId="1013" xr:uid="{00000000-0005-0000-0000-000016040000}"/>
    <cellStyle name="Style 31" xfId="1014" xr:uid="{00000000-0005-0000-0000-000017040000}"/>
    <cellStyle name="Style 32" xfId="1015" xr:uid="{00000000-0005-0000-0000-000018040000}"/>
    <cellStyle name="Style 33" xfId="1016" xr:uid="{00000000-0005-0000-0000-000019040000}"/>
    <cellStyle name="Style 34" xfId="1017" xr:uid="{00000000-0005-0000-0000-00001A040000}"/>
    <cellStyle name="Style 35" xfId="1018" xr:uid="{00000000-0005-0000-0000-00001B040000}"/>
    <cellStyle name="Style 36" xfId="1019" xr:uid="{00000000-0005-0000-0000-00001C040000}"/>
    <cellStyle name="Style 37" xfId="1020" xr:uid="{00000000-0005-0000-0000-00001D040000}"/>
    <cellStyle name="Style 38" xfId="1021" xr:uid="{00000000-0005-0000-0000-00001E040000}"/>
    <cellStyle name="Style 39" xfId="1022" xr:uid="{00000000-0005-0000-0000-00001F040000}"/>
    <cellStyle name="Style 4" xfId="1023" xr:uid="{00000000-0005-0000-0000-000020040000}"/>
    <cellStyle name="Style 40" xfId="1024" xr:uid="{00000000-0005-0000-0000-000021040000}"/>
    <cellStyle name="Style 41" xfId="1025" xr:uid="{00000000-0005-0000-0000-000022040000}"/>
    <cellStyle name="Style 42" xfId="1026" xr:uid="{00000000-0005-0000-0000-000023040000}"/>
    <cellStyle name="Style 43" xfId="1027" xr:uid="{00000000-0005-0000-0000-000024040000}"/>
    <cellStyle name="Style 44" xfId="1028" xr:uid="{00000000-0005-0000-0000-000025040000}"/>
    <cellStyle name="Style 45" xfId="1029" xr:uid="{00000000-0005-0000-0000-000026040000}"/>
    <cellStyle name="Style 46" xfId="1030" xr:uid="{00000000-0005-0000-0000-000027040000}"/>
    <cellStyle name="Style 47" xfId="1031" xr:uid="{00000000-0005-0000-0000-000028040000}"/>
    <cellStyle name="Style 48" xfId="1032" xr:uid="{00000000-0005-0000-0000-000029040000}"/>
    <cellStyle name="Style 49" xfId="1033" xr:uid="{00000000-0005-0000-0000-00002A040000}"/>
    <cellStyle name="Style 5" xfId="1034" xr:uid="{00000000-0005-0000-0000-00002B040000}"/>
    <cellStyle name="Style 50" xfId="1035" xr:uid="{00000000-0005-0000-0000-00002C040000}"/>
    <cellStyle name="Style 51" xfId="1036" xr:uid="{00000000-0005-0000-0000-00002D040000}"/>
    <cellStyle name="Style 52" xfId="1037" xr:uid="{00000000-0005-0000-0000-00002E040000}"/>
    <cellStyle name="Style 53" xfId="1038" xr:uid="{00000000-0005-0000-0000-00002F040000}"/>
    <cellStyle name="Style 54" xfId="1039" xr:uid="{00000000-0005-0000-0000-000030040000}"/>
    <cellStyle name="Style 55" xfId="1040" xr:uid="{00000000-0005-0000-0000-000031040000}"/>
    <cellStyle name="Style 56" xfId="1041" xr:uid="{00000000-0005-0000-0000-000032040000}"/>
    <cellStyle name="Style 57" xfId="1042" xr:uid="{00000000-0005-0000-0000-000033040000}"/>
    <cellStyle name="Style 58" xfId="1043" xr:uid="{00000000-0005-0000-0000-000034040000}"/>
    <cellStyle name="Style 59" xfId="1044" xr:uid="{00000000-0005-0000-0000-000035040000}"/>
    <cellStyle name="Style 6" xfId="1045" xr:uid="{00000000-0005-0000-0000-000036040000}"/>
    <cellStyle name="Style 60" xfId="1046" xr:uid="{00000000-0005-0000-0000-000037040000}"/>
    <cellStyle name="Style 61" xfId="1047" xr:uid="{00000000-0005-0000-0000-000038040000}"/>
    <cellStyle name="Style 62" xfId="1048" xr:uid="{00000000-0005-0000-0000-000039040000}"/>
    <cellStyle name="Style 63" xfId="1049" xr:uid="{00000000-0005-0000-0000-00003A040000}"/>
    <cellStyle name="Style 64" xfId="1050" xr:uid="{00000000-0005-0000-0000-00003B040000}"/>
    <cellStyle name="Style 65" xfId="1051" xr:uid="{00000000-0005-0000-0000-00003C040000}"/>
    <cellStyle name="Style 66" xfId="1052" xr:uid="{00000000-0005-0000-0000-00003D040000}"/>
    <cellStyle name="Style 67" xfId="1053" xr:uid="{00000000-0005-0000-0000-00003E040000}"/>
    <cellStyle name="Style 68" xfId="1054" xr:uid="{00000000-0005-0000-0000-00003F040000}"/>
    <cellStyle name="Style 69" xfId="1055" xr:uid="{00000000-0005-0000-0000-000040040000}"/>
    <cellStyle name="Style 7" xfId="1056" xr:uid="{00000000-0005-0000-0000-000041040000}"/>
    <cellStyle name="Style 70" xfId="1057" xr:uid="{00000000-0005-0000-0000-000042040000}"/>
    <cellStyle name="Style 71" xfId="1058" xr:uid="{00000000-0005-0000-0000-000043040000}"/>
    <cellStyle name="Style 72" xfId="1059" xr:uid="{00000000-0005-0000-0000-000044040000}"/>
    <cellStyle name="Style 73" xfId="1060" xr:uid="{00000000-0005-0000-0000-000045040000}"/>
    <cellStyle name="Style 74" xfId="1061" xr:uid="{00000000-0005-0000-0000-000046040000}"/>
    <cellStyle name="Style 75" xfId="1062" xr:uid="{00000000-0005-0000-0000-000047040000}"/>
    <cellStyle name="Style 76" xfId="1063" xr:uid="{00000000-0005-0000-0000-000048040000}"/>
    <cellStyle name="Style 77" xfId="1064" xr:uid="{00000000-0005-0000-0000-000049040000}"/>
    <cellStyle name="Style 78" xfId="1065" xr:uid="{00000000-0005-0000-0000-00004A040000}"/>
    <cellStyle name="Style 79" xfId="1066" xr:uid="{00000000-0005-0000-0000-00004B040000}"/>
    <cellStyle name="Style 8" xfId="1067" xr:uid="{00000000-0005-0000-0000-00004C040000}"/>
    <cellStyle name="Style 80" xfId="1068" xr:uid="{00000000-0005-0000-0000-00004D040000}"/>
    <cellStyle name="Style 81" xfId="1069" xr:uid="{00000000-0005-0000-0000-00004E040000}"/>
    <cellStyle name="Style 82" xfId="1070" xr:uid="{00000000-0005-0000-0000-00004F040000}"/>
    <cellStyle name="Style 83" xfId="1071" xr:uid="{00000000-0005-0000-0000-000050040000}"/>
    <cellStyle name="Style 84" xfId="1072" xr:uid="{00000000-0005-0000-0000-000051040000}"/>
    <cellStyle name="Style 85" xfId="1073" xr:uid="{00000000-0005-0000-0000-000052040000}"/>
    <cellStyle name="Style 86" xfId="1074" xr:uid="{00000000-0005-0000-0000-000053040000}"/>
    <cellStyle name="Style 87" xfId="1075" xr:uid="{00000000-0005-0000-0000-000054040000}"/>
    <cellStyle name="Style 88" xfId="1076" xr:uid="{00000000-0005-0000-0000-000055040000}"/>
    <cellStyle name="Style 89" xfId="1077" xr:uid="{00000000-0005-0000-0000-000056040000}"/>
    <cellStyle name="Style 9" xfId="1078" xr:uid="{00000000-0005-0000-0000-000057040000}"/>
    <cellStyle name="Style 90" xfId="1079" xr:uid="{00000000-0005-0000-0000-000058040000}"/>
    <cellStyle name="Style 91" xfId="1080" xr:uid="{00000000-0005-0000-0000-000059040000}"/>
    <cellStyle name="Style 92" xfId="1081" xr:uid="{00000000-0005-0000-0000-00005A040000}"/>
    <cellStyle name="Style 93" xfId="1082" xr:uid="{00000000-0005-0000-0000-00005B040000}"/>
    <cellStyle name="Style 94" xfId="1083" xr:uid="{00000000-0005-0000-0000-00005C040000}"/>
    <cellStyle name="Style 95" xfId="1084" xr:uid="{00000000-0005-0000-0000-00005D040000}"/>
    <cellStyle name="Style 96" xfId="1085" xr:uid="{00000000-0005-0000-0000-00005E040000}"/>
    <cellStyle name="Style 97" xfId="1086" xr:uid="{00000000-0005-0000-0000-00005F040000}"/>
    <cellStyle name="Style 98" xfId="1087" xr:uid="{00000000-0005-0000-0000-000060040000}"/>
    <cellStyle name="Style 99" xfId="1088" xr:uid="{00000000-0005-0000-0000-000061040000}"/>
    <cellStyle name="subhead" xfId="1089" xr:uid="{00000000-0005-0000-0000-000062040000}"/>
    <cellStyle name="Table  - Style6" xfId="1090" xr:uid="{00000000-0005-0000-0000-000063040000}"/>
    <cellStyle name="TC_Comment" xfId="1091" xr:uid="{00000000-0005-0000-0000-000064040000}"/>
    <cellStyle name="Title" xfId="47" builtinId="15" customBuiltin="1"/>
    <cellStyle name="Title  - Style1" xfId="1092" xr:uid="{00000000-0005-0000-0000-000066040000}"/>
    <cellStyle name="Total" xfId="54" builtinId="25" customBuiltin="1"/>
    <cellStyle name="TotCol - Style5" xfId="1093" xr:uid="{00000000-0005-0000-0000-000068040000}"/>
    <cellStyle name="TotRow - Style4" xfId="1094" xr:uid="{00000000-0005-0000-0000-000069040000}"/>
    <cellStyle name="™n™C™p©[™™“™N" xfId="1095" xr:uid="{00000000-0005-0000-0000-00006A040000}"/>
    <cellStyle name="Vehicle_Benchmark" xfId="1096" xr:uid="{00000000-0005-0000-0000-00006B040000}"/>
    <cellStyle name="Version_Header" xfId="1097" xr:uid="{00000000-0005-0000-0000-00006C040000}"/>
    <cellStyle name="Volumes_Data" xfId="1098" xr:uid="{00000000-0005-0000-0000-00006D040000}"/>
    <cellStyle name="Währung [0]_AY17dt" xfId="1099" xr:uid="{00000000-0005-0000-0000-00006E040000}"/>
    <cellStyle name="Währung_AY17dt" xfId="1100" xr:uid="{00000000-0005-0000-0000-00006F040000}"/>
    <cellStyle name="Warning Text" xfId="52" builtinId="11" customBuiltin="1"/>
    <cellStyle name="WUUoupalboarrxx_Dbขาว สวย หมวย เซ็ก" xfId="1101" xr:uid="{00000000-0005-0000-0000-000071040000}"/>
    <cellStyle name="x_DbMAP" xfId="1102" xr:uid="{00000000-0005-0000-0000-000072040000}"/>
    <cellStyle name="x_DbP&amp;F0F_x0013_Qrrmdo_lduou{bA_WUUoupalboarrxx_Dbขาว สวย หมวย เซ็ก" xfId="1103" xr:uid="{00000000-0005-0000-0000-000073040000}"/>
    <cellStyle name="アクセント 1" xfId="1104" xr:uid="{00000000-0005-0000-0000-000074040000}"/>
    <cellStyle name="アクセント 2" xfId="1105" xr:uid="{00000000-0005-0000-0000-000075040000}"/>
    <cellStyle name="アクセント 3" xfId="1106" xr:uid="{00000000-0005-0000-0000-000076040000}"/>
    <cellStyle name="アクセント 4" xfId="1107" xr:uid="{00000000-0005-0000-0000-000077040000}"/>
    <cellStyle name="アクセント 5" xfId="1108" xr:uid="{00000000-0005-0000-0000-000078040000}"/>
    <cellStyle name="アクセント 6" xfId="1109" xr:uid="{00000000-0005-0000-0000-000079040000}"/>
    <cellStyle name="ｳfｹ・[0]_､ｭ､ " xfId="1110" xr:uid="{00000000-0005-0000-0000-00007A040000}"/>
    <cellStyle name="ｳfｹ､ｭ､ " xfId="1111" xr:uid="{00000000-0005-0000-0000-00007B040000}"/>
    <cellStyle name="ｳfｹSheet1" xfId="1112" xr:uid="{00000000-0005-0000-0000-00007C040000}"/>
    <cellStyle name="ｳqｳf [0.00]_076WEPD" xfId="1113" xr:uid="{00000000-0005-0000-0000-00007D040000}"/>
    <cellStyle name="ｳqｳf_076WEPD" xfId="1114" xr:uid="{00000000-0005-0000-0000-00007E040000}"/>
    <cellStyle name="ｪ愠ﾜ??????????_501N(991210)-ｧｺ" xfId="1115" xr:uid="{00000000-0005-0000-0000-00007F040000}"/>
    <cellStyle name="ｶWｳsｵｲ" xfId="1116" xr:uid="{00000000-0005-0000-0000-000080040000}"/>
    <cellStyle name="ｹ鮗ﾐﾀｲ_ｰ豼ｵﾁ･" xfId="1117" xr:uid="{00000000-0005-0000-0000-000081040000}"/>
    <cellStyle name="ｻ｡ｵﾔ_｢ﾒﾇ ﾊﾇﾂ ﾋﾁﾇﾂ 爿遑" xfId="1118" xr:uid="{00000000-0005-0000-0000-000082040000}"/>
    <cellStyle name="ささ" xfId="1119" xr:uid="{00000000-0005-0000-0000-000083040000}"/>
    <cellStyle name="ｼﾐｷﾇ_｢ﾑ｢ﾏ｢ﾚ (2)ｶ}?ｴ｣ｮﾗ (2)" xfId="1120" xr:uid="{00000000-0005-0000-0000-000084040000}"/>
    <cellStyle name="ｽｰﾊﾟｰ標準" xfId="1121" xr:uid="{00000000-0005-0000-0000-000085040000}"/>
    <cellStyle name="ﾀHｫ皙ｺｶWｳsｵｲ" xfId="1122" xr:uid="{00000000-0005-0000-0000-000086040000}"/>
    <cellStyle name="タイトル" xfId="1123" xr:uid="{00000000-0005-0000-0000-000087040000}"/>
    <cellStyle name="チェック セル" xfId="1124" xr:uid="{00000000-0005-0000-0000-000088040000}"/>
    <cellStyle name="ﾄﾞｸｶ [0]_ｰ霾ｹ" xfId="1125" xr:uid="{00000000-0005-0000-0000-000089040000}"/>
    <cellStyle name="ﾄﾞｸｶ_ｰ霾ｹ" xfId="1126" xr:uid="{00000000-0005-0000-0000-00008A040000}"/>
    <cellStyle name="どちらでもない" xfId="1127" xr:uid="{00000000-0005-0000-0000-00008B040000}"/>
    <cellStyle name="ﾅ・ｭ [0]_ｰ霾ｹ" xfId="1128" xr:uid="{00000000-0005-0000-0000-00008C040000}"/>
    <cellStyle name="ﾅ・ｭ_ｰ霾ｹ" xfId="1129" xr:uid="{00000000-0005-0000-0000-00008D040000}"/>
    <cellStyle name="ﾇ･ﾁﾘ_ｰ霾ｹ" xfId="1130" xr:uid="{00000000-0005-0000-0000-00008E040000}"/>
    <cellStyle name="パーセント 2" xfId="1131" xr:uid="{00000000-0005-0000-0000-00008F040000}"/>
    <cellStyle name="パーセント 2 2" xfId="1132" xr:uid="{00000000-0005-0000-0000-000090040000}"/>
    <cellStyle name="パーセント 3" xfId="1133" xr:uid="{00000000-0005-0000-0000-000091040000}"/>
    <cellStyle name="パーセント[0.00]" xfId="1134" xr:uid="{00000000-0005-0000-0000-000092040000}"/>
    <cellStyle name="ハイパーリメgク_Trim P" xfId="1135" xr:uid="{00000000-0005-0000-0000-000093040000}"/>
    <cellStyle name="メモ" xfId="1136" xr:uid="{00000000-0005-0000-0000-000094040000}"/>
    <cellStyle name="ｮ・､ﾁ? [0.00]_076WEPD" xfId="1137" xr:uid="{00000000-0005-0000-0000-000095040000}"/>
    <cellStyle name="ｮ・､ﾁ?_076WEPD" xfId="1138" xr:uid="{00000000-0005-0000-0000-000096040000}"/>
    <cellStyle name="ｮ・ﾆｮB｢ﾔ [0.00]_076WEPD" xfId="1139" xr:uid="{00000000-0005-0000-0000-000097040000}"/>
    <cellStyle name="ｮ・ﾆｮB｢ﾔ_076WEPD" xfId="1140" xr:uid="{00000000-0005-0000-0000-000098040000}"/>
    <cellStyle name="リンク セル" xfId="1141" xr:uid="{00000000-0005-0000-0000-000099040000}"/>
    <cellStyle name="เครื่องหมายจุลภาค [0]" xfId="1145" xr:uid="{00000000-0005-0000-0000-00009D040000}"/>
    <cellStyle name="เครื่องหมายจุลภาค [0] 2" xfId="1146" xr:uid="{00000000-0005-0000-0000-00009E040000}"/>
    <cellStyle name="เครื่องหมายจุลภาค [0] 3" xfId="1147" xr:uid="{00000000-0005-0000-0000-00009F040000}"/>
    <cellStyle name="เครื่องหมายจุลภาค [0]_PERSONAL" xfId="1148" xr:uid="{00000000-0005-0000-0000-0000A0040000}"/>
    <cellStyle name="เครื่องหมายจุลภาค_05UC 1-ken modify daily evaluation schedule" xfId="1149" xr:uid="{00000000-0005-0000-0000-0000A1040000}"/>
    <cellStyle name="เครื่องหมายสกุลเงิน [0]" xfId="1150" xr:uid="{00000000-0005-0000-0000-0000A2040000}"/>
    <cellStyle name="เครื่องหมายสกุลเงิน [0] 2" xfId="1151" xr:uid="{00000000-0005-0000-0000-0000A3040000}"/>
    <cellStyle name="เครื่องหมายสกุลเงิน [0] 3" xfId="1152" xr:uid="{00000000-0005-0000-0000-0000A4040000}"/>
    <cellStyle name="เครื่องหมายสกุลเงิน [0]_PERSONAL" xfId="1153" xr:uid="{00000000-0005-0000-0000-0000A5040000}"/>
    <cellStyle name="เครื่องหมายสกุลเงิน_05UC 1-ken modify daily evaluation schedule" xfId="1154" xr:uid="{00000000-0005-0000-0000-0000A6040000}"/>
    <cellStyle name="เชื่อมโยงหลายมิติ" xfId="1156" xr:uid="{00000000-0005-0000-0000-0000A8040000}"/>
    <cellStyle name="เซลล์ตรวจสอบ" xfId="1157" xr:uid="{00000000-0005-0000-0000-0000A9040000}"/>
    <cellStyle name="เซลล์ที่มีการเชื่อมโยง" xfId="1158" xr:uid="{00000000-0005-0000-0000-0000AA040000}"/>
    <cellStyle name="แย่" xfId="1170" xr:uid="{00000000-0005-0000-0000-0000B6040000}"/>
    <cellStyle name="แสดงผล" xfId="1295" xr:uid="{00000000-0005-0000-0000-000033050000}"/>
    <cellStyle name="การคำนวณ" xfId="1142" xr:uid="{00000000-0005-0000-0000-00009A040000}"/>
    <cellStyle name="ข้อความเตือน" xfId="1143" xr:uid="{00000000-0005-0000-0000-00009B040000}"/>
    <cellStyle name="ข้อความอธิบาย" xfId="1144" xr:uid="{00000000-0005-0000-0000-00009C040000}"/>
    <cellStyle name="ชื่อเรื่อง" xfId="1155" xr:uid="{00000000-0005-0000-0000-0000A7040000}"/>
    <cellStyle name="ดี" xfId="1159" xr:uid="{00000000-0005-0000-0000-0000AB040000}"/>
    <cellStyle name="ตามการเชื่อมโยงหลายมิติ" xfId="1160" xr:uid="{00000000-0005-0000-0000-0000AC040000}"/>
    <cellStyle name="น้บะภฒ_95" xfId="1161" xr:uid="{00000000-0005-0000-0000-0000AD040000}"/>
    <cellStyle name="ปกติ 2" xfId="1162" xr:uid="{00000000-0005-0000-0000-0000AE040000}"/>
    <cellStyle name="ปกติ 2 2" xfId="1163" xr:uid="{00000000-0005-0000-0000-0000AF040000}"/>
    <cellStyle name="ปกติ 2_Book2" xfId="1164" xr:uid="{00000000-0005-0000-0000-0000B0040000}"/>
    <cellStyle name="ปกติ 3" xfId="1165" xr:uid="{00000000-0005-0000-0000-0000B1040000}"/>
    <cellStyle name="ปกติ_~0035873" xfId="1166" xr:uid="{00000000-0005-0000-0000-0000B2040000}"/>
    <cellStyle name="ป้อนค่า" xfId="1167" xr:uid="{00000000-0005-0000-0000-0000B3040000}"/>
    <cellStyle name="ปานกลาง" xfId="1168" xr:uid="{00000000-0005-0000-0000-0000B4040000}"/>
    <cellStyle name="ผลรวม" xfId="1169" xr:uid="{00000000-0005-0000-0000-0000B5040000}"/>
    <cellStyle name="ฤธถ [0]_10' 0.26D MS" xfId="1171" xr:uid="{00000000-0005-0000-0000-0000B7040000}"/>
    <cellStyle name="ฤธถ_10' 0.26D MS" xfId="1172" xr:uid="{00000000-0005-0000-0000-0000B8040000}"/>
    <cellStyle name="ล๋ศญ [0]_10' 0.26D MS" xfId="1173" xr:uid="{00000000-0005-0000-0000-0000B9040000}"/>
    <cellStyle name="ล๋ศญ_10' 0.26D MS" xfId="1174" xr:uid="{00000000-0005-0000-0000-0000BA040000}"/>
    <cellStyle name="ลักษณะ 1" xfId="1175" xr:uid="{00000000-0005-0000-0000-0000BB040000}"/>
    <cellStyle name="ลักษณะ 10" xfId="1176" xr:uid="{00000000-0005-0000-0000-0000BC040000}"/>
    <cellStyle name="ลักษณะ 100" xfId="1177" xr:uid="{00000000-0005-0000-0000-0000BD040000}"/>
    <cellStyle name="ลักษณะ 101" xfId="1178" xr:uid="{00000000-0005-0000-0000-0000BE040000}"/>
    <cellStyle name="ลักษณะ 102" xfId="1179" xr:uid="{00000000-0005-0000-0000-0000BF040000}"/>
    <cellStyle name="ลักษณะ 103" xfId="1180" xr:uid="{00000000-0005-0000-0000-0000C0040000}"/>
    <cellStyle name="ลักษณะ 104" xfId="1181" xr:uid="{00000000-0005-0000-0000-0000C1040000}"/>
    <cellStyle name="ลักษณะ 105" xfId="1182" xr:uid="{00000000-0005-0000-0000-0000C2040000}"/>
    <cellStyle name="ลักษณะ 106" xfId="1183" xr:uid="{00000000-0005-0000-0000-0000C3040000}"/>
    <cellStyle name="ลักษณะ 107" xfId="1184" xr:uid="{00000000-0005-0000-0000-0000C4040000}"/>
    <cellStyle name="ลักษณะ 108" xfId="1185" xr:uid="{00000000-0005-0000-0000-0000C5040000}"/>
    <cellStyle name="ลักษณะ 109" xfId="1186" xr:uid="{00000000-0005-0000-0000-0000C6040000}"/>
    <cellStyle name="ลักษณะ 11" xfId="1187" xr:uid="{00000000-0005-0000-0000-0000C7040000}"/>
    <cellStyle name="ลักษณะ 110" xfId="1188" xr:uid="{00000000-0005-0000-0000-0000C8040000}"/>
    <cellStyle name="ลักษณะ 111" xfId="1189" xr:uid="{00000000-0005-0000-0000-0000C9040000}"/>
    <cellStyle name="ลักษณะ 112" xfId="1190" xr:uid="{00000000-0005-0000-0000-0000CA040000}"/>
    <cellStyle name="ลักษณะ 12" xfId="1191" xr:uid="{00000000-0005-0000-0000-0000CB040000}"/>
    <cellStyle name="ลักษณะ 13" xfId="1192" xr:uid="{00000000-0005-0000-0000-0000CC040000}"/>
    <cellStyle name="ลักษณะ 14" xfId="1193" xr:uid="{00000000-0005-0000-0000-0000CD040000}"/>
    <cellStyle name="ลักษณะ 15" xfId="1194" xr:uid="{00000000-0005-0000-0000-0000CE040000}"/>
    <cellStyle name="ลักษณะ 16" xfId="1195" xr:uid="{00000000-0005-0000-0000-0000CF040000}"/>
    <cellStyle name="ลักษณะ 17" xfId="1196" xr:uid="{00000000-0005-0000-0000-0000D0040000}"/>
    <cellStyle name="ลักษณะ 18" xfId="1197" xr:uid="{00000000-0005-0000-0000-0000D1040000}"/>
    <cellStyle name="ลักษณะ 19" xfId="1198" xr:uid="{00000000-0005-0000-0000-0000D2040000}"/>
    <cellStyle name="ลักษณะ 2" xfId="1199" xr:uid="{00000000-0005-0000-0000-0000D3040000}"/>
    <cellStyle name="ลักษณะ 20" xfId="1200" xr:uid="{00000000-0005-0000-0000-0000D4040000}"/>
    <cellStyle name="ลักษณะ 21" xfId="1201" xr:uid="{00000000-0005-0000-0000-0000D5040000}"/>
    <cellStyle name="ลักษณะ 22" xfId="1202" xr:uid="{00000000-0005-0000-0000-0000D6040000}"/>
    <cellStyle name="ลักษณะ 23" xfId="1203" xr:uid="{00000000-0005-0000-0000-0000D7040000}"/>
    <cellStyle name="ลักษณะ 24" xfId="1204" xr:uid="{00000000-0005-0000-0000-0000D8040000}"/>
    <cellStyle name="ลักษณะ 25" xfId="1205" xr:uid="{00000000-0005-0000-0000-0000D9040000}"/>
    <cellStyle name="ลักษณะ 26" xfId="1206" xr:uid="{00000000-0005-0000-0000-0000DA040000}"/>
    <cellStyle name="ลักษณะ 27" xfId="1207" xr:uid="{00000000-0005-0000-0000-0000DB040000}"/>
    <cellStyle name="ลักษณะ 28" xfId="1208" xr:uid="{00000000-0005-0000-0000-0000DC040000}"/>
    <cellStyle name="ลักษณะ 29" xfId="1209" xr:uid="{00000000-0005-0000-0000-0000DD040000}"/>
    <cellStyle name="ลักษณะ 3" xfId="1210" xr:uid="{00000000-0005-0000-0000-0000DE040000}"/>
    <cellStyle name="ลักษณะ 30" xfId="1211" xr:uid="{00000000-0005-0000-0000-0000DF040000}"/>
    <cellStyle name="ลักษณะ 31" xfId="1212" xr:uid="{00000000-0005-0000-0000-0000E0040000}"/>
    <cellStyle name="ลักษณะ 32" xfId="1213" xr:uid="{00000000-0005-0000-0000-0000E1040000}"/>
    <cellStyle name="ลักษณะ 33" xfId="1214" xr:uid="{00000000-0005-0000-0000-0000E2040000}"/>
    <cellStyle name="ลักษณะ 34" xfId="1215" xr:uid="{00000000-0005-0000-0000-0000E3040000}"/>
    <cellStyle name="ลักษณะ 35" xfId="1216" xr:uid="{00000000-0005-0000-0000-0000E4040000}"/>
    <cellStyle name="ลักษณะ 36" xfId="1217" xr:uid="{00000000-0005-0000-0000-0000E5040000}"/>
    <cellStyle name="ลักษณะ 37" xfId="1218" xr:uid="{00000000-0005-0000-0000-0000E6040000}"/>
    <cellStyle name="ลักษณะ 38" xfId="1219" xr:uid="{00000000-0005-0000-0000-0000E7040000}"/>
    <cellStyle name="ลักษณะ 39" xfId="1220" xr:uid="{00000000-0005-0000-0000-0000E8040000}"/>
    <cellStyle name="ลักษณะ 4" xfId="1221" xr:uid="{00000000-0005-0000-0000-0000E9040000}"/>
    <cellStyle name="ลักษณะ 40" xfId="1222" xr:uid="{00000000-0005-0000-0000-0000EA040000}"/>
    <cellStyle name="ลักษณะ 41" xfId="1223" xr:uid="{00000000-0005-0000-0000-0000EB040000}"/>
    <cellStyle name="ลักษณะ 42" xfId="1224" xr:uid="{00000000-0005-0000-0000-0000EC040000}"/>
    <cellStyle name="ลักษณะ 43" xfId="1225" xr:uid="{00000000-0005-0000-0000-0000ED040000}"/>
    <cellStyle name="ลักษณะ 44" xfId="1226" xr:uid="{00000000-0005-0000-0000-0000EE040000}"/>
    <cellStyle name="ลักษณะ 45" xfId="1227" xr:uid="{00000000-0005-0000-0000-0000EF040000}"/>
    <cellStyle name="ลักษณะ 46" xfId="1228" xr:uid="{00000000-0005-0000-0000-0000F0040000}"/>
    <cellStyle name="ลักษณะ 47" xfId="1229" xr:uid="{00000000-0005-0000-0000-0000F1040000}"/>
    <cellStyle name="ลักษณะ 48" xfId="1230" xr:uid="{00000000-0005-0000-0000-0000F2040000}"/>
    <cellStyle name="ลักษณะ 49" xfId="1231" xr:uid="{00000000-0005-0000-0000-0000F3040000}"/>
    <cellStyle name="ลักษณะ 5" xfId="1232" xr:uid="{00000000-0005-0000-0000-0000F4040000}"/>
    <cellStyle name="ลักษณะ 50" xfId="1233" xr:uid="{00000000-0005-0000-0000-0000F5040000}"/>
    <cellStyle name="ลักษณะ 51" xfId="1234" xr:uid="{00000000-0005-0000-0000-0000F6040000}"/>
    <cellStyle name="ลักษณะ 52" xfId="1235" xr:uid="{00000000-0005-0000-0000-0000F7040000}"/>
    <cellStyle name="ลักษณะ 53" xfId="1236" xr:uid="{00000000-0005-0000-0000-0000F8040000}"/>
    <cellStyle name="ลักษณะ 54" xfId="1237" xr:uid="{00000000-0005-0000-0000-0000F9040000}"/>
    <cellStyle name="ลักษณะ 55" xfId="1238" xr:uid="{00000000-0005-0000-0000-0000FA040000}"/>
    <cellStyle name="ลักษณะ 56" xfId="1239" xr:uid="{00000000-0005-0000-0000-0000FB040000}"/>
    <cellStyle name="ลักษณะ 57" xfId="1240" xr:uid="{00000000-0005-0000-0000-0000FC040000}"/>
    <cellStyle name="ลักษณะ 58" xfId="1241" xr:uid="{00000000-0005-0000-0000-0000FD040000}"/>
    <cellStyle name="ลักษณะ 59" xfId="1242" xr:uid="{00000000-0005-0000-0000-0000FE040000}"/>
    <cellStyle name="ลักษณะ 6" xfId="1243" xr:uid="{00000000-0005-0000-0000-0000FF040000}"/>
    <cellStyle name="ลักษณะ 60" xfId="1244" xr:uid="{00000000-0005-0000-0000-000000050000}"/>
    <cellStyle name="ลักษณะ 61" xfId="1245" xr:uid="{00000000-0005-0000-0000-000001050000}"/>
    <cellStyle name="ลักษณะ 62" xfId="1246" xr:uid="{00000000-0005-0000-0000-000002050000}"/>
    <cellStyle name="ลักษณะ 63" xfId="1247" xr:uid="{00000000-0005-0000-0000-000003050000}"/>
    <cellStyle name="ลักษณะ 64" xfId="1248" xr:uid="{00000000-0005-0000-0000-000004050000}"/>
    <cellStyle name="ลักษณะ 65" xfId="1249" xr:uid="{00000000-0005-0000-0000-000005050000}"/>
    <cellStyle name="ลักษณะ 66" xfId="1250" xr:uid="{00000000-0005-0000-0000-000006050000}"/>
    <cellStyle name="ลักษณะ 67" xfId="1251" xr:uid="{00000000-0005-0000-0000-000007050000}"/>
    <cellStyle name="ลักษณะ 68" xfId="1252" xr:uid="{00000000-0005-0000-0000-000008050000}"/>
    <cellStyle name="ลักษณะ 69" xfId="1253" xr:uid="{00000000-0005-0000-0000-000009050000}"/>
    <cellStyle name="ลักษณะ 7" xfId="1254" xr:uid="{00000000-0005-0000-0000-00000A050000}"/>
    <cellStyle name="ลักษณะ 70" xfId="1255" xr:uid="{00000000-0005-0000-0000-00000B050000}"/>
    <cellStyle name="ลักษณะ 71" xfId="1256" xr:uid="{00000000-0005-0000-0000-00000C050000}"/>
    <cellStyle name="ลักษณะ 72" xfId="1257" xr:uid="{00000000-0005-0000-0000-00000D050000}"/>
    <cellStyle name="ลักษณะ 73" xfId="1258" xr:uid="{00000000-0005-0000-0000-00000E050000}"/>
    <cellStyle name="ลักษณะ 74" xfId="1259" xr:uid="{00000000-0005-0000-0000-00000F050000}"/>
    <cellStyle name="ลักษณะ 75" xfId="1260" xr:uid="{00000000-0005-0000-0000-000010050000}"/>
    <cellStyle name="ลักษณะ 76" xfId="1261" xr:uid="{00000000-0005-0000-0000-000011050000}"/>
    <cellStyle name="ลักษณะ 77" xfId="1262" xr:uid="{00000000-0005-0000-0000-000012050000}"/>
    <cellStyle name="ลักษณะ 78" xfId="1263" xr:uid="{00000000-0005-0000-0000-000013050000}"/>
    <cellStyle name="ลักษณะ 79" xfId="1264" xr:uid="{00000000-0005-0000-0000-000014050000}"/>
    <cellStyle name="ลักษณะ 8" xfId="1265" xr:uid="{00000000-0005-0000-0000-000015050000}"/>
    <cellStyle name="ลักษณะ 80" xfId="1266" xr:uid="{00000000-0005-0000-0000-000016050000}"/>
    <cellStyle name="ลักษณะ 81" xfId="1267" xr:uid="{00000000-0005-0000-0000-000017050000}"/>
    <cellStyle name="ลักษณะ 82" xfId="1268" xr:uid="{00000000-0005-0000-0000-000018050000}"/>
    <cellStyle name="ลักษณะ 83" xfId="1269" xr:uid="{00000000-0005-0000-0000-000019050000}"/>
    <cellStyle name="ลักษณะ 84" xfId="1270" xr:uid="{00000000-0005-0000-0000-00001A050000}"/>
    <cellStyle name="ลักษณะ 85" xfId="1271" xr:uid="{00000000-0005-0000-0000-00001B050000}"/>
    <cellStyle name="ลักษณะ 86" xfId="1272" xr:uid="{00000000-0005-0000-0000-00001C050000}"/>
    <cellStyle name="ลักษณะ 87" xfId="1273" xr:uid="{00000000-0005-0000-0000-00001D050000}"/>
    <cellStyle name="ลักษณะ 88" xfId="1274" xr:uid="{00000000-0005-0000-0000-00001E050000}"/>
    <cellStyle name="ลักษณะ 89" xfId="1275" xr:uid="{00000000-0005-0000-0000-00001F050000}"/>
    <cellStyle name="ลักษณะ 9" xfId="1276" xr:uid="{00000000-0005-0000-0000-000020050000}"/>
    <cellStyle name="ลักษณะ 90" xfId="1277" xr:uid="{00000000-0005-0000-0000-000021050000}"/>
    <cellStyle name="ลักษณะ 91" xfId="1278" xr:uid="{00000000-0005-0000-0000-000022050000}"/>
    <cellStyle name="ลักษณะ 92" xfId="1279" xr:uid="{00000000-0005-0000-0000-000023050000}"/>
    <cellStyle name="ลักษณะ 93" xfId="1280" xr:uid="{00000000-0005-0000-0000-000024050000}"/>
    <cellStyle name="ลักษณะ 94" xfId="1281" xr:uid="{00000000-0005-0000-0000-000025050000}"/>
    <cellStyle name="ลักษณะ 95" xfId="1282" xr:uid="{00000000-0005-0000-0000-000026050000}"/>
    <cellStyle name="ลักษณะ 96" xfId="1283" xr:uid="{00000000-0005-0000-0000-000027050000}"/>
    <cellStyle name="ลักษณะ 97" xfId="1284" xr:uid="{00000000-0005-0000-0000-000028050000}"/>
    <cellStyle name="ลักษณะ 98" xfId="1285" xr:uid="{00000000-0005-0000-0000-000029050000}"/>
    <cellStyle name="ลักษณะ 99" xfId="1286" xr:uid="{00000000-0005-0000-0000-00002A050000}"/>
    <cellStyle name="วฅมุ_#2(M17)_1" xfId="1287" xr:uid="{00000000-0005-0000-0000-00002B050000}"/>
    <cellStyle name="ส่วนที่ถูกเน้น1" xfId="1288" xr:uid="{00000000-0005-0000-0000-00002C050000}"/>
    <cellStyle name="ส่วนที่ถูกเน้น2" xfId="1289" xr:uid="{00000000-0005-0000-0000-00002D050000}"/>
    <cellStyle name="ส่วนที่ถูกเน้น3" xfId="1290" xr:uid="{00000000-0005-0000-0000-00002E050000}"/>
    <cellStyle name="ส่วนที่ถูกเน้น4" xfId="1291" xr:uid="{00000000-0005-0000-0000-00002F050000}"/>
    <cellStyle name="ส่วนที่ถูกเน้น5" xfId="1292" xr:uid="{00000000-0005-0000-0000-000030050000}"/>
    <cellStyle name="ส่วนที่ถูกเน้น6" xfId="1293" xr:uid="{00000000-0005-0000-0000-000031050000}"/>
    <cellStyle name="สวย หมวย เซ็ก" xfId="1294" xr:uid="{00000000-0005-0000-0000-000032050000}"/>
    <cellStyle name="หมายเหตุ" xfId="1296" xr:uid="{00000000-0005-0000-0000-000034050000}"/>
    <cellStyle name="หัวเรื่อง 1" xfId="1297" xr:uid="{00000000-0005-0000-0000-000035050000}"/>
    <cellStyle name="หัวเรื่อง 2" xfId="1298" xr:uid="{00000000-0005-0000-0000-000036050000}"/>
    <cellStyle name="หัวเรื่อง 3" xfId="1299" xr:uid="{00000000-0005-0000-0000-000037050000}"/>
    <cellStyle name="หัวเรื่อง 4" xfId="1300" xr:uid="{00000000-0005-0000-0000-000038050000}"/>
    <cellStyle name="" xfId="1301" xr:uid="{00000000-0005-0000-0000-000039050000}"/>
    <cellStyle name="??[0]_316NP(000413)99??3.3" xfId="1302" xr:uid="{00000000-0005-0000-0000-00003A050000}"/>
    <cellStyle name="??_316NP(000413)99??3.3" xfId="1303" xr:uid="{00000000-0005-0000-0000-00003B050000}"/>
    <cellStyle name="[0]_316NP(000413)993.3" xfId="1304" xr:uid="{00000000-0005-0000-0000-00003C050000}"/>
    <cellStyle name="_316NP(000413)993.3" xfId="1305" xr:uid="{00000000-0005-0000-0000-00003D050000}"/>
    <cellStyle name="? [0.00]_076WEPD" xfId="1306" xr:uid="{00000000-0005-0000-0000-00003E050000}"/>
    <cellStyle name="?_076WEPD" xfId="1307" xr:uid="{00000000-0005-0000-0000-00003F050000}"/>
    <cellStyle name=" [0.00]_076WEPD" xfId="1308" xr:uid="{00000000-0005-0000-0000-000040050000}"/>
    <cellStyle name="_076WEPD" xfId="1309" xr:uid="{00000000-0005-0000-0000-000041050000}"/>
    <cellStyle name="? [0.00]_??" xfId="1310" xr:uid="{00000000-0005-0000-0000-000042050000}"/>
    <cellStyle name="?_??" xfId="1311" xr:uid="{00000000-0005-0000-0000-000043050000}"/>
    <cellStyle name=" [0.00]_??" xfId="1312" xr:uid="{00000000-0005-0000-0000-000044050000}"/>
    <cellStyle name="_??" xfId="1313" xr:uid="{00000000-0005-0000-0000-000045050000}"/>
    <cellStyle name="?_??" xfId="1314" xr:uid="{00000000-0005-0000-0000-000046050000}"/>
    <cellStyle name="?8" xfId="1315" xr:uid="{00000000-0005-0000-0000-000047050000}"/>
    <cellStyle name="??" xfId="1316" xr:uid="{00000000-0005-0000-0000-000048050000}"/>
    <cellStyle name="??" xfId="1317" xr:uid="{00000000-0005-0000-0000-000049050000}"/>
    <cellStyle name="??" xfId="1318" xr:uid="{00000000-0005-0000-0000-00004A050000}"/>
    <cellStyle name="_316NP(000413)993.3" xfId="1319" xr:uid="{00000000-0005-0000-0000-00004B050000}"/>
    <cellStyle name=" [0]_316NP(000413)993.3" xfId="1320" xr:uid="{00000000-0005-0000-0000-00004C050000}"/>
    <cellStyle name="_316NP(000413)993.3" xfId="1321" xr:uid="{00000000-0005-0000-0000-00004D050000}"/>
    <cellStyle name="" xfId="1322" xr:uid="{00000000-0005-0000-0000-00004E050000}"/>
    <cellStyle name="_(Chassis)" xfId="1323" xr:uid="{00000000-0005-0000-0000-00004F050000}"/>
    <cellStyle name="_(Chassis)_2012 Capacity up Plan-2" xfId="1324" xr:uid="{00000000-0005-0000-0000-000050050000}"/>
    <cellStyle name="_(Chassis)_2012 Capacity up Plan-2_15Dec_よし" xfId="1325" xr:uid="{00000000-0005-0000-0000-000051050000}"/>
    <cellStyle name="_~6321223" xfId="1326" xr:uid="{00000000-0005-0000-0000-000052050000}"/>
    <cellStyle name="_07MY Retail sales mix" xfId="1327" xr:uid="{00000000-0005-0000-0000-000053050000}"/>
    <cellStyle name="_07MY Retail sales mix_~2428181" xfId="1328" xr:uid="{00000000-0005-0000-0000-000054050000}"/>
    <cellStyle name="_07MY Retail sales mix_~2428181_~6321223" xfId="1329" xr:uid="{00000000-0005-0000-0000-000055050000}"/>
    <cellStyle name="_07MY Retail sales mix_~2428181_080215_For 1st FO" xfId="1330" xr:uid="{00000000-0005-0000-0000-000056050000}"/>
    <cellStyle name="_07MY Retail sales mix_~2428181_080215_For 1st FO_Final3" xfId="1331" xr:uid="{00000000-0005-0000-0000-000057050000}"/>
    <cellStyle name="_07MY Retail sales mix_~2428181_080215_For 1st FO_updated" xfId="1332" xr:uid="{00000000-0005-0000-0000-000058050000}"/>
    <cellStyle name="_07MY Retail sales mix_~2428181_080703 2008 Summary Sheet _JCC vs Actual" xfId="1333" xr:uid="{00000000-0005-0000-0000-000059050000}"/>
    <cellStyle name="_07MY Retail sales mix_~2428181_080703 2008 Summary Sheet _JCC vs Actual rev" xfId="1334" xr:uid="{00000000-0005-0000-0000-00005A050000}"/>
    <cellStyle name="_07MY Retail sales mix_~2428181_080710 2009 Summary Sheet" xfId="1335" xr:uid="{00000000-0005-0000-0000-00005B050000}"/>
    <cellStyle name="_07MY Retail sales mix_~2428181_080710 The Final Summary Sheet" xfId="1336" xr:uid="{00000000-0005-0000-0000-00005C050000}"/>
    <cellStyle name="_07MY Retail sales mix_~2428181_2007 RS_Model Mix_Dec'07xls_Actual" xfId="1337" xr:uid="{00000000-0005-0000-0000-00005D050000}"/>
    <cellStyle name="_07MY Retail sales mix_~2428181_2007 RS_Model Mix_Dec'07xls_Actual_2008 Inventory Ratio_TF_actual" xfId="1338" xr:uid="{00000000-0005-0000-0000-00005E050000}"/>
    <cellStyle name="_07MY Retail sales mix_~2428181_2007-2008 RS_Model Mix_DNet" xfId="1339" xr:uid="{00000000-0005-0000-0000-00005F050000}"/>
    <cellStyle name="_07MY Retail sales mix_~2428181_2008 Summary Sheet _JCC vs Actual" xfId="1340" xr:uid="{00000000-0005-0000-0000-000060050000}"/>
    <cellStyle name="_07MY Retail sales mix_~2428181_2008 Summary Sheet _JCC vs Actual_000608" xfId="1341" xr:uid="{00000000-0005-0000-0000-000061050000}"/>
    <cellStyle name="_07MY Retail sales mix_~2428181_2008 Summary Sheet _JCC vs Actual_080608" xfId="1342" xr:uid="{00000000-0005-0000-0000-000062050000}"/>
    <cellStyle name="_07MY Retail sales mix_~2428181_2008 Summary Sheet _JCC vs Actual_after FO" xfId="1343" xr:uid="{00000000-0005-0000-0000-000063050000}"/>
    <cellStyle name="_07MY Retail sales mix_~2428181_2008 Summary Sheet _JCC vs Actual_FO" xfId="1344" xr:uid="{00000000-0005-0000-0000-000064050000}"/>
    <cellStyle name="_07MY Retail sales mix_~2428181_2008 Summary sheet_080410_1st FO(in the meeting)_revised" xfId="1345" xr:uid="{00000000-0005-0000-0000-000065050000}"/>
    <cellStyle name="_07MY Retail sales mix_~2428181_2008 Summary sheet_Actual base" xfId="1346" xr:uid="{00000000-0005-0000-0000-000066050000}"/>
    <cellStyle name="_07MY Retail sales mix_~2428181_2nd FO_Dec.28" xfId="1347" xr:uid="{00000000-0005-0000-0000-000067050000}"/>
    <cellStyle name="_07MY Retail sales mix_~2428181_For 1st FO_Jan'08" xfId="1348" xr:uid="{00000000-0005-0000-0000-000068050000}"/>
    <cellStyle name="_07MY Retail sales mix_~2428181_Inventory for Budget_2008-2009 Updated" xfId="1349" xr:uid="{00000000-0005-0000-0000-000069050000}"/>
    <cellStyle name="_07MY Retail sales mix_~2428181_Inventory for Budget_2008-2009 Updated_2008 Inventory Ratio_TF_actual" xfId="1350" xr:uid="{00000000-0005-0000-0000-00006A050000}"/>
    <cellStyle name="_07MY Retail sales mix_~2428181_Model Mix 2008-2009 for budget_Dec.17" xfId="1351" xr:uid="{00000000-0005-0000-0000-00006B050000}"/>
    <cellStyle name="_07MY Retail sales mix_~2428181_Model Mix 2008-2009 for budget_Dec.17_2008 Inventory Ratio_TF_actual" xfId="1352" xr:uid="{00000000-0005-0000-0000-00006C050000}"/>
    <cellStyle name="_07MY Retail sales mix_~2428181_Retail Sale Forcast. Jan-2008 _Jan4" xfId="1353" xr:uid="{00000000-0005-0000-0000-00006D050000}"/>
    <cellStyle name="_07MY Retail sales mix_~2428181_Retail Sale Forcast. Jan-2008 _Jan4_2008 Inventory Ratio_TF_actual" xfId="1354" xr:uid="{00000000-0005-0000-0000-00006E050000}"/>
    <cellStyle name="_07MY Retail sales mix_~2428181_summary sheet 2007_2008 (for actual order)" xfId="1355" xr:uid="{00000000-0005-0000-0000-00006F050000}"/>
    <cellStyle name="_07MY Retail sales mix_~2428181_summary sheet 2007_2008 (for actual order)_2008 Inventory Ratio_TF_actual" xfId="1356" xr:uid="{00000000-0005-0000-0000-000070050000}"/>
    <cellStyle name="_07MY Retail sales mix_~2428181_summary sheet 2007_2008 (for actual order)_summary sheet 2007_2008 _Dec" xfId="1357" xr:uid="{00000000-0005-0000-0000-000071050000}"/>
    <cellStyle name="_07MY Retail sales mix_~2428181_summary sheet 2007_2008 (for actual order)_summary sheet 2007_2008 _Dec_~6321223" xfId="1358" xr:uid="{00000000-0005-0000-0000-000072050000}"/>
    <cellStyle name="_07MY Retail sales mix_~2428181_summary sheet 2007_2008 (for actual order)_summary sheet 2007_2008 _Dec_080215_For 1st FO" xfId="1359" xr:uid="{00000000-0005-0000-0000-000073050000}"/>
    <cellStyle name="_07MY Retail sales mix_~2428181_summary sheet 2007_2008 (for actual order)_summary sheet 2007_2008 _Dec_080215_For 1st FO_Final3" xfId="1360" xr:uid="{00000000-0005-0000-0000-000074050000}"/>
    <cellStyle name="_07MY Retail sales mix_~2428181_summary sheet 2007_2008 (for actual order)_summary sheet 2007_2008 _Dec_080215_For 1st FO_updated" xfId="1361" xr:uid="{00000000-0005-0000-0000-000075050000}"/>
    <cellStyle name="_07MY Retail sales mix_~2428181_summary sheet 2007_2008 (for actual order)_summary sheet 2007_2008 _Dec_080703 2008 Summary Sheet _JCC vs Actual" xfId="1362" xr:uid="{00000000-0005-0000-0000-000076050000}"/>
    <cellStyle name="_07MY Retail sales mix_~2428181_summary sheet 2007_2008 (for actual order)_summary sheet 2007_2008 _Dec_080703 2008 Summary Sheet _JCC vs Actual rev" xfId="1363" xr:uid="{00000000-0005-0000-0000-000077050000}"/>
    <cellStyle name="_07MY Retail sales mix_~2428181_summary sheet 2007_2008 (for actual order)_summary sheet 2007_2008 _Dec_080710 2009 Summary Sheet" xfId="1364" xr:uid="{00000000-0005-0000-0000-000078050000}"/>
    <cellStyle name="_07MY Retail sales mix_~2428181_summary sheet 2007_2008 (for actual order)_summary sheet 2007_2008 _Dec_080710 The Final Summary Sheet" xfId="1365" xr:uid="{00000000-0005-0000-0000-000079050000}"/>
    <cellStyle name="_07MY Retail sales mix_~2428181_summary sheet 2007_2008 (for actual order)_summary sheet 2007_2008 _Dec_2007 RS_Model Mix_Dec'07xls_Actual" xfId="1366" xr:uid="{00000000-0005-0000-0000-00007A050000}"/>
    <cellStyle name="_07MY Retail sales mix_~2428181_summary sheet 2007_2008 (for actual order)_summary sheet 2007_2008 _Dec_2007 RS_Model Mix_Dec'07xls_Actual_2008 Inventory Ratio_TF_actual" xfId="1367" xr:uid="{00000000-0005-0000-0000-00007B050000}"/>
    <cellStyle name="_07MY Retail sales mix_~2428181_summary sheet 2007_2008 (for actual order)_summary sheet 2007_2008 _Dec_2007-2008 RS_Model Mix_DNet" xfId="1368" xr:uid="{00000000-0005-0000-0000-00007C050000}"/>
    <cellStyle name="_07MY Retail sales mix_~2428181_summary sheet 2007_2008 (for actual order)_summary sheet 2007_2008 _Dec_2008 Summary Sheet _JCC vs Actual" xfId="1369" xr:uid="{00000000-0005-0000-0000-00007D050000}"/>
    <cellStyle name="_07MY Retail sales mix_~2428181_summary sheet 2007_2008 (for actual order)_summary sheet 2007_2008 _Dec_2008 Summary Sheet _JCC vs Actual_000608" xfId="1370" xr:uid="{00000000-0005-0000-0000-00007E050000}"/>
    <cellStyle name="_07MY Retail sales mix_~2428181_summary sheet 2007_2008 (for actual order)_summary sheet 2007_2008 _Dec_2008 Summary Sheet _JCC vs Actual_080608" xfId="1371" xr:uid="{00000000-0005-0000-0000-00007F050000}"/>
    <cellStyle name="_07MY Retail sales mix_~2428181_summary sheet 2007_2008 (for actual order)_summary sheet 2007_2008 _Dec_2008 Summary Sheet _JCC vs Actual_after FO" xfId="1372" xr:uid="{00000000-0005-0000-0000-000080050000}"/>
    <cellStyle name="_07MY Retail sales mix_~2428181_summary sheet 2007_2008 (for actual order)_summary sheet 2007_2008 _Dec_2008 Summary Sheet _JCC vs Actual_FO" xfId="1373" xr:uid="{00000000-0005-0000-0000-000081050000}"/>
    <cellStyle name="_07MY Retail sales mix_~2428181_summary sheet 2007_2008 (for actual order)_summary sheet 2007_2008 _Dec_2008 Summary sheet_080410_1st FO(in the meeting)_revised" xfId="1374" xr:uid="{00000000-0005-0000-0000-000082050000}"/>
    <cellStyle name="_07MY Retail sales mix_~2428181_summary sheet 2007_2008 (for actual order)_summary sheet 2007_2008 _Dec_2008 Summary sheet_Actual base" xfId="1375" xr:uid="{00000000-0005-0000-0000-000083050000}"/>
    <cellStyle name="_07MY Retail sales mix_~2428181_summary sheet 2007_2008 (for actual order)_summary sheet 2007_2008 _Dec_2nd FO_Dec.28" xfId="1376" xr:uid="{00000000-0005-0000-0000-000084050000}"/>
    <cellStyle name="_07MY Retail sales mix_~2428181_summary sheet 2007_2008 (for actual order)_summary sheet 2007_2008 _Dec_For 1st FO_Jan'08" xfId="1377" xr:uid="{00000000-0005-0000-0000-000085050000}"/>
    <cellStyle name="_07MY Retail sales mix_~2428181_summary sheet 2007_2008 (for actual order)_summary sheet 2007_2008 _Dec_Inventory for Budget_2008-2009 Updated" xfId="1378" xr:uid="{00000000-0005-0000-0000-000086050000}"/>
    <cellStyle name="_07MY Retail sales mix_~2428181_summary sheet 2007_2008 (for actual order)_summary sheet 2007_2008 _Dec_Inventory for Budget_2008-2009 Updated_2008 Inventory Ratio_TF_actual" xfId="1379" xr:uid="{00000000-0005-0000-0000-000087050000}"/>
    <cellStyle name="_07MY Retail sales mix_~2428181_summary sheet 2007_2008 (for actual order)_summary sheet 2007_2008 _Dec_Model Mix 2008-2009 for budget_Dec.17" xfId="1380" xr:uid="{00000000-0005-0000-0000-000088050000}"/>
    <cellStyle name="_07MY Retail sales mix_~2428181_summary sheet 2007_2008 (for actual order)_summary sheet 2007_2008 _Dec_Model Mix 2008-2009 for budget_Dec.17_2008 Inventory Ratio_TF_actual" xfId="1381" xr:uid="{00000000-0005-0000-0000-000089050000}"/>
    <cellStyle name="_07MY Retail sales mix_~2428181_summary sheet 2007_2008 (for actual order)_summary sheet 2007_2008 _Dec_Retail Sale Forcast. Jan-2008 _Jan4" xfId="1382" xr:uid="{00000000-0005-0000-0000-00008A050000}"/>
    <cellStyle name="_07MY Retail sales mix_~2428181_summary sheet 2007_2008 (for actual order)_summary sheet 2007_2008 _Dec_Retail Sale Forcast. Jan-2008 _Jan4_2008 Inventory Ratio_TF_actual" xfId="1383" xr:uid="{00000000-0005-0000-0000-00008B050000}"/>
    <cellStyle name="_07MY Retail sales mix_~2428181_summary sheet 2007_2008 (for actual order)_summary sheet 2007_2008 _Dec_summary sheet 2007_2008 _Dec_2" xfId="1384" xr:uid="{00000000-0005-0000-0000-00008C050000}"/>
    <cellStyle name="_07MY Retail sales mix_~2428181_summary sheet 2007_2008 (for actual order)_summary sheet 2007_2008 _Dec_summary sheet 2007_2008 _Dec_2_2008 Inventory Ratio_TF_actual" xfId="1385" xr:uid="{00000000-0005-0000-0000-00008D050000}"/>
    <cellStyle name="_07MY Retail sales mix_~2428181_summary sheet 2007_2008 (for actual order)_summary sheet 2007_2008 _Dec_summary sheet 2007_2008 _Dec14_revised1" xfId="1386" xr:uid="{00000000-0005-0000-0000-00008E050000}"/>
    <cellStyle name="_07MY Retail sales mix_~2428181_summary sheet 2007_2008 (for actual order)_summary sheet 2007_2008 _Dec_summary sheet 2007_2008 _Dec14_revised1_2008 Inventory Ratio_TF_actual" xfId="1387" xr:uid="{00000000-0005-0000-0000-00008F050000}"/>
    <cellStyle name="_07MY Retail sales mix_~2428181_summary sheet 2007_2008 (for actual order)_summary sheet 2007_2008 _Dec_summary sheet 2007_2008 _Dec14_revised2" xfId="1388" xr:uid="{00000000-0005-0000-0000-000090050000}"/>
    <cellStyle name="_07MY Retail sales mix_~2428181_summary sheet 2007_2008 (for actual order)_summary sheet 2007_2008 _Dec_summary sheet 2007_2008 _Dec14_revised2_2008 Inventory Ratio_TF_actual" xfId="1389" xr:uid="{00000000-0005-0000-0000-000091050000}"/>
    <cellStyle name="_07MY Retail sales mix_~2428181_summary sheet 2007_2008 (for actual order)_summary sheet 2007_2008 _Dec_Summary sheet_for FO_JCC Base" xfId="1390" xr:uid="{00000000-0005-0000-0000-000092050000}"/>
    <cellStyle name="_07MY Retail sales mix_~2428181_summary sheet 2007_2008 (for actual order)_summary sheet 2007_2008 _Dec_TYT vs ISZ_Mar11’08" xfId="1391" xr:uid="{00000000-0005-0000-0000-000093050000}"/>
    <cellStyle name="_07MY Retail sales mix_~2428181_summary sheet 2007_2008 _Dec" xfId="1392" xr:uid="{00000000-0005-0000-0000-000094050000}"/>
    <cellStyle name="_07MY Retail sales mix_~2428181_summary sheet 2007_2008 _Dec_2" xfId="1393" xr:uid="{00000000-0005-0000-0000-000095050000}"/>
    <cellStyle name="_07MY Retail sales mix_~2428181_summary sheet 2007_2008 _Dec_2_2008 Inventory Ratio_TF_actual" xfId="1394" xr:uid="{00000000-0005-0000-0000-000096050000}"/>
    <cellStyle name="_07MY Retail sales mix_~2428181_summary sheet 2007_2008 _Dec_2008 Inventory Ratio_TF_actual" xfId="1395" xr:uid="{00000000-0005-0000-0000-000097050000}"/>
    <cellStyle name="_07MY Retail sales mix_~2428181_summary sheet 2007_2008 _Dec_summary sheet 2007_2008 _Dec" xfId="1396" xr:uid="{00000000-0005-0000-0000-000098050000}"/>
    <cellStyle name="_07MY Retail sales mix_~2428181_summary sheet 2007_2008 _Dec_summary sheet 2007_2008 _Dec_~6321223" xfId="1397" xr:uid="{00000000-0005-0000-0000-000099050000}"/>
    <cellStyle name="_07MY Retail sales mix_~2428181_summary sheet 2007_2008 _Dec_summary sheet 2007_2008 _Dec_080215_For 1st FO" xfId="1398" xr:uid="{00000000-0005-0000-0000-00009A050000}"/>
    <cellStyle name="_07MY Retail sales mix_~2428181_summary sheet 2007_2008 _Dec_summary sheet 2007_2008 _Dec_080215_For 1st FO_Final3" xfId="1399" xr:uid="{00000000-0005-0000-0000-00009B050000}"/>
    <cellStyle name="_07MY Retail sales mix_~2428181_summary sheet 2007_2008 _Dec_summary sheet 2007_2008 _Dec_080215_For 1st FO_updated" xfId="1400" xr:uid="{00000000-0005-0000-0000-00009C050000}"/>
    <cellStyle name="_07MY Retail sales mix_~2428181_summary sheet 2007_2008 _Dec_summary sheet 2007_2008 _Dec_080703 2008 Summary Sheet _JCC vs Actual" xfId="1401" xr:uid="{00000000-0005-0000-0000-00009D050000}"/>
    <cellStyle name="_07MY Retail sales mix_~2428181_summary sheet 2007_2008 _Dec_summary sheet 2007_2008 _Dec_080703 2008 Summary Sheet _JCC vs Actual rev" xfId="1402" xr:uid="{00000000-0005-0000-0000-00009E050000}"/>
    <cellStyle name="_07MY Retail sales mix_~2428181_summary sheet 2007_2008 _Dec_summary sheet 2007_2008 _Dec_080710 2009 Summary Sheet" xfId="1403" xr:uid="{00000000-0005-0000-0000-00009F050000}"/>
    <cellStyle name="_07MY Retail sales mix_~2428181_summary sheet 2007_2008 _Dec_summary sheet 2007_2008 _Dec_080710 The Final Summary Sheet" xfId="1404" xr:uid="{00000000-0005-0000-0000-0000A0050000}"/>
    <cellStyle name="_07MY Retail sales mix_~2428181_summary sheet 2007_2008 _Dec_summary sheet 2007_2008 _Dec_2007 RS_Model Mix_Dec'07xls_Actual" xfId="1405" xr:uid="{00000000-0005-0000-0000-0000A1050000}"/>
    <cellStyle name="_07MY Retail sales mix_~2428181_summary sheet 2007_2008 _Dec_summary sheet 2007_2008 _Dec_2007 RS_Model Mix_Dec'07xls_Actual_2008 Inventory Ratio_TF_actual" xfId="1406" xr:uid="{00000000-0005-0000-0000-0000A2050000}"/>
    <cellStyle name="_07MY Retail sales mix_~2428181_summary sheet 2007_2008 _Dec_summary sheet 2007_2008 _Dec_2007-2008 RS_Model Mix_DNet" xfId="1407" xr:uid="{00000000-0005-0000-0000-0000A3050000}"/>
    <cellStyle name="_07MY Retail sales mix_~2428181_summary sheet 2007_2008 _Dec_summary sheet 2007_2008 _Dec_2008 Summary Sheet _JCC vs Actual" xfId="1408" xr:uid="{00000000-0005-0000-0000-0000A4050000}"/>
    <cellStyle name="_07MY Retail sales mix_~2428181_summary sheet 2007_2008 _Dec_summary sheet 2007_2008 _Dec_2008 Summary Sheet _JCC vs Actual_000608" xfId="1409" xr:uid="{00000000-0005-0000-0000-0000A5050000}"/>
    <cellStyle name="_07MY Retail sales mix_~2428181_summary sheet 2007_2008 _Dec_summary sheet 2007_2008 _Dec_2008 Summary Sheet _JCC vs Actual_080608" xfId="1410" xr:uid="{00000000-0005-0000-0000-0000A6050000}"/>
    <cellStyle name="_07MY Retail sales mix_~2428181_summary sheet 2007_2008 _Dec_summary sheet 2007_2008 _Dec_2008 Summary Sheet _JCC vs Actual_after FO" xfId="1411" xr:uid="{00000000-0005-0000-0000-0000A7050000}"/>
    <cellStyle name="_07MY Retail sales mix_~2428181_summary sheet 2007_2008 _Dec_summary sheet 2007_2008 _Dec_2008 Summary Sheet _JCC vs Actual_FO" xfId="1412" xr:uid="{00000000-0005-0000-0000-0000A8050000}"/>
    <cellStyle name="_07MY Retail sales mix_~2428181_summary sheet 2007_2008 _Dec_summary sheet 2007_2008 _Dec_2008 Summary sheet_080410_1st FO(in the meeting)_revised" xfId="1413" xr:uid="{00000000-0005-0000-0000-0000A9050000}"/>
    <cellStyle name="_07MY Retail sales mix_~2428181_summary sheet 2007_2008 _Dec_summary sheet 2007_2008 _Dec_2008 Summary sheet_Actual base" xfId="1414" xr:uid="{00000000-0005-0000-0000-0000AA050000}"/>
    <cellStyle name="_07MY Retail sales mix_~2428181_summary sheet 2007_2008 _Dec_summary sheet 2007_2008 _Dec_2nd FO_Dec.28" xfId="1415" xr:uid="{00000000-0005-0000-0000-0000AB050000}"/>
    <cellStyle name="_07MY Retail sales mix_~2428181_summary sheet 2007_2008 _Dec_summary sheet 2007_2008 _Dec_For 1st FO_Jan'08" xfId="1416" xr:uid="{00000000-0005-0000-0000-0000AC050000}"/>
    <cellStyle name="_07MY Retail sales mix_~2428181_summary sheet 2007_2008 _Dec_summary sheet 2007_2008 _Dec_Inventory for Budget_2008-2009 Updated" xfId="1417" xr:uid="{00000000-0005-0000-0000-0000AD050000}"/>
    <cellStyle name="_07MY Retail sales mix_~2428181_summary sheet 2007_2008 _Dec_summary sheet 2007_2008 _Dec_Inventory for Budget_2008-2009 Updated_2008 Inventory Ratio_TF_actual" xfId="1418" xr:uid="{00000000-0005-0000-0000-0000AE050000}"/>
    <cellStyle name="_07MY Retail sales mix_~2428181_summary sheet 2007_2008 _Dec_summary sheet 2007_2008 _Dec_Model Mix 2008-2009 for budget_Dec.17" xfId="1419" xr:uid="{00000000-0005-0000-0000-0000AF050000}"/>
    <cellStyle name="_07MY Retail sales mix_~2428181_summary sheet 2007_2008 _Dec_summary sheet 2007_2008 _Dec_Model Mix 2008-2009 for budget_Dec.17_2008 Inventory Ratio_TF_actual" xfId="1420" xr:uid="{00000000-0005-0000-0000-0000B0050000}"/>
    <cellStyle name="_07MY Retail sales mix_~2428181_summary sheet 2007_2008 _Dec_summary sheet 2007_2008 _Dec_Retail Sale Forcast. Jan-2008 _Jan4" xfId="1421" xr:uid="{00000000-0005-0000-0000-0000B1050000}"/>
    <cellStyle name="_07MY Retail sales mix_~2428181_summary sheet 2007_2008 _Dec_summary sheet 2007_2008 _Dec_Retail Sale Forcast. Jan-2008 _Jan4_2008 Inventory Ratio_TF_actual" xfId="1422" xr:uid="{00000000-0005-0000-0000-0000B2050000}"/>
    <cellStyle name="_07MY Retail sales mix_~2428181_summary sheet 2007_2008 _Dec_summary sheet 2007_2008 _Dec_summary sheet 2007_2008 _Dec_2" xfId="1423" xr:uid="{00000000-0005-0000-0000-0000B3050000}"/>
    <cellStyle name="_07MY Retail sales mix_~2428181_summary sheet 2007_2008 _Dec_summary sheet 2007_2008 _Dec_summary sheet 2007_2008 _Dec_2_2008 Inventory Ratio_TF_actual" xfId="1424" xr:uid="{00000000-0005-0000-0000-0000B4050000}"/>
    <cellStyle name="_07MY Retail sales mix_~2428181_summary sheet 2007_2008 _Dec_summary sheet 2007_2008 _Dec_summary sheet 2007_2008 _Dec14_revised1" xfId="1425" xr:uid="{00000000-0005-0000-0000-0000B5050000}"/>
    <cellStyle name="_07MY Retail sales mix_~2428181_summary sheet 2007_2008 _Dec_summary sheet 2007_2008 _Dec_summary sheet 2007_2008 _Dec14_revised1_2008 Inventory Ratio_TF_actual" xfId="1426" xr:uid="{00000000-0005-0000-0000-0000B6050000}"/>
    <cellStyle name="_07MY Retail sales mix_~2428181_summary sheet 2007_2008 _Dec_summary sheet 2007_2008 _Dec_summary sheet 2007_2008 _Dec14_revised2" xfId="1427" xr:uid="{00000000-0005-0000-0000-0000B7050000}"/>
    <cellStyle name="_07MY Retail sales mix_~2428181_summary sheet 2007_2008 _Dec_summary sheet 2007_2008 _Dec_summary sheet 2007_2008 _Dec14_revised2_2008 Inventory Ratio_TF_actual" xfId="1428" xr:uid="{00000000-0005-0000-0000-0000B8050000}"/>
    <cellStyle name="_07MY Retail sales mix_~2428181_summary sheet 2007_2008 _Dec_summary sheet 2007_2008 _Dec_Summary sheet_for FO_JCC Base" xfId="1429" xr:uid="{00000000-0005-0000-0000-0000B9050000}"/>
    <cellStyle name="_07MY Retail sales mix_~2428181_summary sheet 2007_2008 _Dec_summary sheet 2007_2008 _Dec_TYT vs ISZ_Mar11’08" xfId="1430" xr:uid="{00000000-0005-0000-0000-0000BA050000}"/>
    <cellStyle name="_07MY Retail sales mix_~2428181_summary sheet 2007_2008 _Dec14_revised1" xfId="1431" xr:uid="{00000000-0005-0000-0000-0000BB050000}"/>
    <cellStyle name="_07MY Retail sales mix_~2428181_summary sheet 2007_2008 _Dec14_revised1_2008 Inventory Ratio_TF_actual" xfId="1432" xr:uid="{00000000-0005-0000-0000-0000BC050000}"/>
    <cellStyle name="_07MY Retail sales mix_~2428181_summary sheet 2007_2008 _Dec14_revised2" xfId="1433" xr:uid="{00000000-0005-0000-0000-0000BD050000}"/>
    <cellStyle name="_07MY Retail sales mix_~2428181_summary sheet 2007_2008 _Dec14_revised2_2008 Inventory Ratio_TF_actual" xfId="1434" xr:uid="{00000000-0005-0000-0000-0000BE050000}"/>
    <cellStyle name="_07MY Retail sales mix_~2428181_Summary sheet_for FO_JCC Base" xfId="1435" xr:uid="{00000000-0005-0000-0000-0000BF050000}"/>
    <cellStyle name="_07MY Retail sales mix_~2428181_TYT vs ISZ_Mar11’08" xfId="1436" xr:uid="{00000000-0005-0000-0000-0000C0050000}"/>
    <cellStyle name="_07MY Retail sales mix_~6321223" xfId="1437" xr:uid="{00000000-0005-0000-0000-0000C1050000}"/>
    <cellStyle name="_07MY Retail sales mix_080215_For 1st FO" xfId="1438" xr:uid="{00000000-0005-0000-0000-0000C2050000}"/>
    <cellStyle name="_07MY Retail sales mix_080215_For 1st FO_Final3" xfId="1439" xr:uid="{00000000-0005-0000-0000-0000C3050000}"/>
    <cellStyle name="_07MY Retail sales mix_080215_For 1st FO_updated" xfId="1440" xr:uid="{00000000-0005-0000-0000-0000C4050000}"/>
    <cellStyle name="_07MY Retail sales mix_080703 2008 Summary Sheet _JCC vs Actual" xfId="1441" xr:uid="{00000000-0005-0000-0000-0000C5050000}"/>
    <cellStyle name="_07MY Retail sales mix_080703 2008 Summary Sheet _JCC vs Actual rev" xfId="1442" xr:uid="{00000000-0005-0000-0000-0000C6050000}"/>
    <cellStyle name="_07MY Retail sales mix_080710 2009 Summary Sheet" xfId="1443" xr:uid="{00000000-0005-0000-0000-0000C7050000}"/>
    <cellStyle name="_07MY Retail sales mix_080710 The Final Summary Sheet" xfId="1444" xr:uid="{00000000-0005-0000-0000-0000C8050000}"/>
    <cellStyle name="_07MY Retail sales mix_2007 RS_Model Mix_Dec'07xls_Actual" xfId="1445" xr:uid="{00000000-0005-0000-0000-0000C9050000}"/>
    <cellStyle name="_07MY Retail sales mix_2007 RS_Model Mix_Dec'07xls_Actual_2008 Inventory Ratio_TF_actual" xfId="1446" xr:uid="{00000000-0005-0000-0000-0000CA050000}"/>
    <cellStyle name="_07MY Retail sales mix_2007-2008 RS_Model Mix_DNet" xfId="1447" xr:uid="{00000000-0005-0000-0000-0000CB050000}"/>
    <cellStyle name="_07MY Retail sales mix_2008 model mix" xfId="1448" xr:uid="{00000000-0005-0000-0000-0000CC050000}"/>
    <cellStyle name="_07MY Retail sales mix_2008 model mix_~6321223" xfId="1449" xr:uid="{00000000-0005-0000-0000-0000CD050000}"/>
    <cellStyle name="_07MY Retail sales mix_2008 model mix_080215_For 1st FO" xfId="1450" xr:uid="{00000000-0005-0000-0000-0000CE050000}"/>
    <cellStyle name="_07MY Retail sales mix_2008 model mix_080215_For 1st FO_Final3" xfId="1451" xr:uid="{00000000-0005-0000-0000-0000CF050000}"/>
    <cellStyle name="_07MY Retail sales mix_2008 model mix_080215_For 1st FO_updated" xfId="1452" xr:uid="{00000000-0005-0000-0000-0000D0050000}"/>
    <cellStyle name="_07MY Retail sales mix_2008 model mix_080703 2008 Summary Sheet _JCC vs Actual" xfId="1453" xr:uid="{00000000-0005-0000-0000-0000D1050000}"/>
    <cellStyle name="_07MY Retail sales mix_2008 model mix_080703 2008 Summary Sheet _JCC vs Actual rev" xfId="1454" xr:uid="{00000000-0005-0000-0000-0000D2050000}"/>
    <cellStyle name="_07MY Retail sales mix_2008 model mix_080710 2009 Summary Sheet" xfId="1455" xr:uid="{00000000-0005-0000-0000-0000D3050000}"/>
    <cellStyle name="_07MY Retail sales mix_2008 model mix_080710 The Final Summary Sheet" xfId="1456" xr:uid="{00000000-0005-0000-0000-0000D4050000}"/>
    <cellStyle name="_07MY Retail sales mix_2008 model mix_2007 RS_Model Mix_Dec'07xls_Actual" xfId="1457" xr:uid="{00000000-0005-0000-0000-0000D5050000}"/>
    <cellStyle name="_07MY Retail sales mix_2008 model mix_2007 RS_Model Mix_Dec'07xls_Actual_2008 Inventory Ratio_TF_actual" xfId="1458" xr:uid="{00000000-0005-0000-0000-0000D6050000}"/>
    <cellStyle name="_07MY Retail sales mix_2008 model mix_2007-2008 RS_Model Mix_DNet" xfId="1459" xr:uid="{00000000-0005-0000-0000-0000D7050000}"/>
    <cellStyle name="_07MY Retail sales mix_2008 model mix_2008 Summary Sheet _JCC vs Actual" xfId="1460" xr:uid="{00000000-0005-0000-0000-0000D8050000}"/>
    <cellStyle name="_07MY Retail sales mix_2008 model mix_2008 Summary Sheet _JCC vs Actual_000608" xfId="1461" xr:uid="{00000000-0005-0000-0000-0000D9050000}"/>
    <cellStyle name="_07MY Retail sales mix_2008 model mix_2008 Summary Sheet _JCC vs Actual_080608" xfId="1462" xr:uid="{00000000-0005-0000-0000-0000DA050000}"/>
    <cellStyle name="_07MY Retail sales mix_2008 model mix_2008 Summary Sheet _JCC vs Actual_after FO" xfId="1463" xr:uid="{00000000-0005-0000-0000-0000DB050000}"/>
    <cellStyle name="_07MY Retail sales mix_2008 model mix_2008 Summary Sheet _JCC vs Actual_FO" xfId="1464" xr:uid="{00000000-0005-0000-0000-0000DC050000}"/>
    <cellStyle name="_07MY Retail sales mix_2008 model mix_2008 Summary sheet_080410_1st FO(in the meeting)_revised" xfId="1465" xr:uid="{00000000-0005-0000-0000-0000DD050000}"/>
    <cellStyle name="_07MY Retail sales mix_2008 model mix_2008 Summary sheet_Actual base" xfId="1466" xr:uid="{00000000-0005-0000-0000-0000DE050000}"/>
    <cellStyle name="_07MY Retail sales mix_2008 model mix_2nd FO_Dec.28" xfId="1467" xr:uid="{00000000-0005-0000-0000-0000DF050000}"/>
    <cellStyle name="_07MY Retail sales mix_2008 model mix_For 1st FO_Jan'08" xfId="1468" xr:uid="{00000000-0005-0000-0000-0000E0050000}"/>
    <cellStyle name="_07MY Retail sales mix_2008 model mix_Inventory for Budget_2008-2009 Updated" xfId="1469" xr:uid="{00000000-0005-0000-0000-0000E1050000}"/>
    <cellStyle name="_07MY Retail sales mix_2008 model mix_Inventory for Budget_2008-2009 Updated_2008 Inventory Ratio_TF_actual" xfId="1470" xr:uid="{00000000-0005-0000-0000-0000E2050000}"/>
    <cellStyle name="_07MY Retail sales mix_2008 model mix_Model Mix 2008-2009 for budget_Dec.17" xfId="1471" xr:uid="{00000000-0005-0000-0000-0000E3050000}"/>
    <cellStyle name="_07MY Retail sales mix_2008 model mix_Model Mix 2008-2009 for budget_Dec.17_2008 Inventory Ratio_TF_actual" xfId="1472" xr:uid="{00000000-0005-0000-0000-0000E4050000}"/>
    <cellStyle name="_07MY Retail sales mix_2008 model mix_Retail Sale Forcast. Jan-2008 _Jan4" xfId="1473" xr:uid="{00000000-0005-0000-0000-0000E5050000}"/>
    <cellStyle name="_07MY Retail sales mix_2008 model mix_Retail Sale Forcast. Jan-2008 _Jan4_2008 Inventory Ratio_TF_actual" xfId="1474" xr:uid="{00000000-0005-0000-0000-0000E6050000}"/>
    <cellStyle name="_07MY Retail sales mix_2008 model mix_summary sheet 2007_2008 (for actual order)" xfId="1475" xr:uid="{00000000-0005-0000-0000-0000E7050000}"/>
    <cellStyle name="_07MY Retail sales mix_2008 model mix_summary sheet 2007_2008 (for actual order)_2008 Inventory Ratio_TF_actual" xfId="1476" xr:uid="{00000000-0005-0000-0000-0000E8050000}"/>
    <cellStyle name="_07MY Retail sales mix_2008 model mix_summary sheet 2007_2008 (for actual order)_summary sheet 2007_2008 _Dec" xfId="1477" xr:uid="{00000000-0005-0000-0000-0000E9050000}"/>
    <cellStyle name="_07MY Retail sales mix_2008 model mix_summary sheet 2007_2008 (for actual order)_summary sheet 2007_2008 _Dec_~6321223" xfId="1478" xr:uid="{00000000-0005-0000-0000-0000EA050000}"/>
    <cellStyle name="_07MY Retail sales mix_2008 model mix_summary sheet 2007_2008 (for actual order)_summary sheet 2007_2008 _Dec_080215_For 1st FO" xfId="1479" xr:uid="{00000000-0005-0000-0000-0000EB050000}"/>
    <cellStyle name="_07MY Retail sales mix_2008 model mix_summary sheet 2007_2008 (for actual order)_summary sheet 2007_2008 _Dec_080215_For 1st FO_Final3" xfId="1480" xr:uid="{00000000-0005-0000-0000-0000EC050000}"/>
    <cellStyle name="_07MY Retail sales mix_2008 model mix_summary sheet 2007_2008 (for actual order)_summary sheet 2007_2008 _Dec_080215_For 1st FO_updated" xfId="1481" xr:uid="{00000000-0005-0000-0000-0000ED050000}"/>
    <cellStyle name="_07MY Retail sales mix_2008 model mix_summary sheet 2007_2008 (for actual order)_summary sheet 2007_2008 _Dec_080703 2008 Summary Sheet _JCC vs Actual" xfId="1482" xr:uid="{00000000-0005-0000-0000-0000EE050000}"/>
    <cellStyle name="_07MY Retail sales mix_2008 model mix_summary sheet 2007_2008 (for actual order)_summary sheet 2007_2008 _Dec_080703 2008 Summary Sheet _JCC vs Actual rev" xfId="1483" xr:uid="{00000000-0005-0000-0000-0000EF050000}"/>
    <cellStyle name="_07MY Retail sales mix_2008 model mix_summary sheet 2007_2008 (for actual order)_summary sheet 2007_2008 _Dec_080710 2009 Summary Sheet" xfId="1484" xr:uid="{00000000-0005-0000-0000-0000F0050000}"/>
    <cellStyle name="_07MY Retail sales mix_2008 model mix_summary sheet 2007_2008 (for actual order)_summary sheet 2007_2008 _Dec_080710 The Final Summary Sheet" xfId="1485" xr:uid="{00000000-0005-0000-0000-0000F1050000}"/>
    <cellStyle name="_07MY Retail sales mix_2008 model mix_summary sheet 2007_2008 (for actual order)_summary sheet 2007_2008 _Dec_2007 RS_Model Mix_Dec'07xls_Actual" xfId="1486" xr:uid="{00000000-0005-0000-0000-0000F2050000}"/>
    <cellStyle name="_07MY Retail sales mix_2008 model mix_summary sheet 2007_2008 (for actual order)_summary sheet 2007_2008 _Dec_2007 RS_Model Mix_Dec'07xls_Actual_2008 Inventory Ratio_TF_actual" xfId="1487" xr:uid="{00000000-0005-0000-0000-0000F3050000}"/>
    <cellStyle name="_07MY Retail sales mix_2008 model mix_summary sheet 2007_2008 (for actual order)_summary sheet 2007_2008 _Dec_2007-2008 RS_Model Mix_DNet" xfId="1488" xr:uid="{00000000-0005-0000-0000-0000F4050000}"/>
    <cellStyle name="_07MY Retail sales mix_2008 model mix_summary sheet 2007_2008 (for actual order)_summary sheet 2007_2008 _Dec_2008 Summary Sheet _JCC vs Actual" xfId="1489" xr:uid="{00000000-0005-0000-0000-0000F5050000}"/>
    <cellStyle name="_07MY Retail sales mix_2008 model mix_summary sheet 2007_2008 (for actual order)_summary sheet 2007_2008 _Dec_2008 Summary Sheet _JCC vs Actual_000608" xfId="1490" xr:uid="{00000000-0005-0000-0000-0000F6050000}"/>
    <cellStyle name="_07MY Retail sales mix_2008 model mix_summary sheet 2007_2008 (for actual order)_summary sheet 2007_2008 _Dec_2008 Summary Sheet _JCC vs Actual_080608" xfId="1491" xr:uid="{00000000-0005-0000-0000-0000F7050000}"/>
    <cellStyle name="_07MY Retail sales mix_2008 model mix_summary sheet 2007_2008 (for actual order)_summary sheet 2007_2008 _Dec_2008 Summary Sheet _JCC vs Actual_after FO" xfId="1492" xr:uid="{00000000-0005-0000-0000-0000F8050000}"/>
    <cellStyle name="_07MY Retail sales mix_2008 model mix_summary sheet 2007_2008 (for actual order)_summary sheet 2007_2008 _Dec_2008 Summary Sheet _JCC vs Actual_FO" xfId="1493" xr:uid="{00000000-0005-0000-0000-0000F9050000}"/>
    <cellStyle name="_07MY Retail sales mix_2008 model mix_summary sheet 2007_2008 (for actual order)_summary sheet 2007_2008 _Dec_2008 Summary sheet_080410_1st FO(in the meeting)_revised" xfId="1494" xr:uid="{00000000-0005-0000-0000-0000FA050000}"/>
    <cellStyle name="_07MY Retail sales mix_2008 model mix_summary sheet 2007_2008 (for actual order)_summary sheet 2007_2008 _Dec_2008 Summary sheet_Actual base" xfId="1495" xr:uid="{00000000-0005-0000-0000-0000FB050000}"/>
    <cellStyle name="_07MY Retail sales mix_2008 model mix_summary sheet 2007_2008 (for actual order)_summary sheet 2007_2008 _Dec_2nd FO_Dec.28" xfId="1496" xr:uid="{00000000-0005-0000-0000-0000FC050000}"/>
    <cellStyle name="_07MY Retail sales mix_2008 model mix_summary sheet 2007_2008 (for actual order)_summary sheet 2007_2008 _Dec_For 1st FO_Jan'08" xfId="1497" xr:uid="{00000000-0005-0000-0000-0000FD050000}"/>
    <cellStyle name="_07MY Retail sales mix_2008 model mix_summary sheet 2007_2008 (for actual order)_summary sheet 2007_2008 _Dec_Inventory for Budget_2008-2009 Updated" xfId="1498" xr:uid="{00000000-0005-0000-0000-0000FE050000}"/>
    <cellStyle name="_07MY Retail sales mix_2008 model mix_summary sheet 2007_2008 (for actual order)_summary sheet 2007_2008 _Dec_Inventory for Budget_2008-2009 Updated_2008 Inventory Ratio_TF_actual" xfId="1499" xr:uid="{00000000-0005-0000-0000-0000FF050000}"/>
    <cellStyle name="_07MY Retail sales mix_2008 model mix_summary sheet 2007_2008 (for actual order)_summary sheet 2007_2008 _Dec_Model Mix 2008-2009 for budget_Dec.17" xfId="1500" xr:uid="{00000000-0005-0000-0000-000000060000}"/>
    <cellStyle name="_07MY Retail sales mix_2008 model mix_summary sheet 2007_2008 (for actual order)_summary sheet 2007_2008 _Dec_Model Mix 2008-2009 for budget_Dec.17_2008 Inventory Ratio_TF_actual" xfId="1501" xr:uid="{00000000-0005-0000-0000-000001060000}"/>
    <cellStyle name="_07MY Retail sales mix_2008 model mix_summary sheet 2007_2008 (for actual order)_summary sheet 2007_2008 _Dec_Retail Sale Forcast. Jan-2008 _Jan4" xfId="1502" xr:uid="{00000000-0005-0000-0000-000002060000}"/>
    <cellStyle name="_07MY Retail sales mix_2008 model mix_summary sheet 2007_2008 (for actual order)_summary sheet 2007_2008 _Dec_Retail Sale Forcast. Jan-2008 _Jan4_2008 Inventory Ratio_TF_actual" xfId="1503" xr:uid="{00000000-0005-0000-0000-000003060000}"/>
    <cellStyle name="_07MY Retail sales mix_2008 model mix_summary sheet 2007_2008 (for actual order)_summary sheet 2007_2008 _Dec_summary sheet 2007_2008 _Dec_2" xfId="1504" xr:uid="{00000000-0005-0000-0000-000004060000}"/>
    <cellStyle name="_07MY Retail sales mix_2008 model mix_summary sheet 2007_2008 (for actual order)_summary sheet 2007_2008 _Dec_summary sheet 2007_2008 _Dec_2_2008 Inventory Ratio_TF_actual" xfId="1505" xr:uid="{00000000-0005-0000-0000-000005060000}"/>
    <cellStyle name="_07MY Retail sales mix_2008 model mix_summary sheet 2007_2008 (for actual order)_summary sheet 2007_2008 _Dec_summary sheet 2007_2008 _Dec14_revised1" xfId="1506" xr:uid="{00000000-0005-0000-0000-000006060000}"/>
    <cellStyle name="_07MY Retail sales mix_2008 model mix_summary sheet 2007_2008 (for actual order)_summary sheet 2007_2008 _Dec_summary sheet 2007_2008 _Dec14_revised1_2008 Inventory Ratio_TF_actual" xfId="1507" xr:uid="{00000000-0005-0000-0000-000007060000}"/>
    <cellStyle name="_07MY Retail sales mix_2008 model mix_summary sheet 2007_2008 (for actual order)_summary sheet 2007_2008 _Dec_summary sheet 2007_2008 _Dec14_revised2" xfId="1508" xr:uid="{00000000-0005-0000-0000-000008060000}"/>
    <cellStyle name="_07MY Retail sales mix_2008 model mix_summary sheet 2007_2008 (for actual order)_summary sheet 2007_2008 _Dec_summary sheet 2007_2008 _Dec14_revised2_2008 Inventory Ratio_TF_actual" xfId="1509" xr:uid="{00000000-0005-0000-0000-000009060000}"/>
    <cellStyle name="_07MY Retail sales mix_2008 model mix_summary sheet 2007_2008 (for actual order)_summary sheet 2007_2008 _Dec_Summary sheet_for FO_JCC Base" xfId="1510" xr:uid="{00000000-0005-0000-0000-00000A060000}"/>
    <cellStyle name="_07MY Retail sales mix_2008 model mix_summary sheet 2007_2008 (for actual order)_summary sheet 2007_2008 _Dec_TYT vs ISZ_Mar11’08" xfId="1511" xr:uid="{00000000-0005-0000-0000-00000B060000}"/>
    <cellStyle name="_07MY Retail sales mix_2008 model mix_summary sheet 2007_2008 _Dec" xfId="1512" xr:uid="{00000000-0005-0000-0000-00000C060000}"/>
    <cellStyle name="_07MY Retail sales mix_2008 model mix_summary sheet 2007_2008 _Dec_2" xfId="1513" xr:uid="{00000000-0005-0000-0000-00000D060000}"/>
    <cellStyle name="_07MY Retail sales mix_2008 model mix_summary sheet 2007_2008 _Dec_2_2008 Inventory Ratio_TF_actual" xfId="1514" xr:uid="{00000000-0005-0000-0000-00000E060000}"/>
    <cellStyle name="_07MY Retail sales mix_2008 model mix_summary sheet 2007_2008 _Dec_2008 Inventory Ratio_TF_actual" xfId="1515" xr:uid="{00000000-0005-0000-0000-00000F060000}"/>
    <cellStyle name="_07MY Retail sales mix_2008 model mix_summary sheet 2007_2008 _Dec_summary sheet 2007_2008 _Dec" xfId="1516" xr:uid="{00000000-0005-0000-0000-000010060000}"/>
    <cellStyle name="_07MY Retail sales mix_2008 model mix_summary sheet 2007_2008 _Dec_summary sheet 2007_2008 _Dec_~6321223" xfId="1517" xr:uid="{00000000-0005-0000-0000-000011060000}"/>
    <cellStyle name="_07MY Retail sales mix_2008 model mix_summary sheet 2007_2008 _Dec_summary sheet 2007_2008 _Dec_080215_For 1st FO" xfId="1518" xr:uid="{00000000-0005-0000-0000-000012060000}"/>
    <cellStyle name="_07MY Retail sales mix_2008 model mix_summary sheet 2007_2008 _Dec_summary sheet 2007_2008 _Dec_080215_For 1st FO_Final3" xfId="1519" xr:uid="{00000000-0005-0000-0000-000013060000}"/>
    <cellStyle name="_07MY Retail sales mix_2008 model mix_summary sheet 2007_2008 _Dec_summary sheet 2007_2008 _Dec_080215_For 1st FO_updated" xfId="1520" xr:uid="{00000000-0005-0000-0000-000014060000}"/>
    <cellStyle name="_07MY Retail sales mix_2008 model mix_summary sheet 2007_2008 _Dec_summary sheet 2007_2008 _Dec_080703 2008 Summary Sheet _JCC vs Actual" xfId="1521" xr:uid="{00000000-0005-0000-0000-000015060000}"/>
    <cellStyle name="_07MY Retail sales mix_2008 model mix_summary sheet 2007_2008 _Dec_summary sheet 2007_2008 _Dec_080703 2008 Summary Sheet _JCC vs Actual rev" xfId="1522" xr:uid="{00000000-0005-0000-0000-000016060000}"/>
    <cellStyle name="_07MY Retail sales mix_2008 model mix_summary sheet 2007_2008 _Dec_summary sheet 2007_2008 _Dec_080710 2009 Summary Sheet" xfId="1523" xr:uid="{00000000-0005-0000-0000-000017060000}"/>
    <cellStyle name="_07MY Retail sales mix_2008 model mix_summary sheet 2007_2008 _Dec_summary sheet 2007_2008 _Dec_080710 The Final Summary Sheet" xfId="1524" xr:uid="{00000000-0005-0000-0000-000018060000}"/>
    <cellStyle name="_07MY Retail sales mix_2008 model mix_summary sheet 2007_2008 _Dec_summary sheet 2007_2008 _Dec_2007 RS_Model Mix_Dec'07xls_Actual" xfId="1525" xr:uid="{00000000-0005-0000-0000-000019060000}"/>
    <cellStyle name="_07MY Retail sales mix_2008 model mix_summary sheet 2007_2008 _Dec_summary sheet 2007_2008 _Dec_2007 RS_Model Mix_Dec'07xls_Actual_2008 Inventory Ratio_TF_actual" xfId="1526" xr:uid="{00000000-0005-0000-0000-00001A060000}"/>
    <cellStyle name="_07MY Retail sales mix_2008 model mix_summary sheet 2007_2008 _Dec_summary sheet 2007_2008 _Dec_2007-2008 RS_Model Mix_DNet" xfId="1527" xr:uid="{00000000-0005-0000-0000-00001B060000}"/>
    <cellStyle name="_07MY Retail sales mix_2008 model mix_summary sheet 2007_2008 _Dec_summary sheet 2007_2008 _Dec_2008 Summary Sheet _JCC vs Actual" xfId="1528" xr:uid="{00000000-0005-0000-0000-00001C060000}"/>
    <cellStyle name="_07MY Retail sales mix_2008 model mix_summary sheet 2007_2008 _Dec_summary sheet 2007_2008 _Dec_2008 Summary Sheet _JCC vs Actual_000608" xfId="1529" xr:uid="{00000000-0005-0000-0000-00001D060000}"/>
    <cellStyle name="_07MY Retail sales mix_2008 model mix_summary sheet 2007_2008 _Dec_summary sheet 2007_2008 _Dec_2008 Summary Sheet _JCC vs Actual_080608" xfId="1530" xr:uid="{00000000-0005-0000-0000-00001E060000}"/>
    <cellStyle name="_07MY Retail sales mix_2008 model mix_summary sheet 2007_2008 _Dec_summary sheet 2007_2008 _Dec_2008 Summary Sheet _JCC vs Actual_after FO" xfId="1531" xr:uid="{00000000-0005-0000-0000-00001F060000}"/>
    <cellStyle name="_07MY Retail sales mix_2008 model mix_summary sheet 2007_2008 _Dec_summary sheet 2007_2008 _Dec_2008 Summary Sheet _JCC vs Actual_FO" xfId="1532" xr:uid="{00000000-0005-0000-0000-000020060000}"/>
    <cellStyle name="_07MY Retail sales mix_2008 model mix_summary sheet 2007_2008 _Dec_summary sheet 2007_2008 _Dec_2008 Summary sheet_080410_1st FO(in the meeting)_revised" xfId="1533" xr:uid="{00000000-0005-0000-0000-000021060000}"/>
    <cellStyle name="_07MY Retail sales mix_2008 model mix_summary sheet 2007_2008 _Dec_summary sheet 2007_2008 _Dec_2008 Summary sheet_Actual base" xfId="1534" xr:uid="{00000000-0005-0000-0000-000022060000}"/>
    <cellStyle name="_07MY Retail sales mix_2008 model mix_summary sheet 2007_2008 _Dec_summary sheet 2007_2008 _Dec_2nd FO_Dec.28" xfId="1535" xr:uid="{00000000-0005-0000-0000-000023060000}"/>
    <cellStyle name="_07MY Retail sales mix_2008 model mix_summary sheet 2007_2008 _Dec_summary sheet 2007_2008 _Dec_For 1st FO_Jan'08" xfId="1536" xr:uid="{00000000-0005-0000-0000-000024060000}"/>
    <cellStyle name="_07MY Retail sales mix_2008 model mix_summary sheet 2007_2008 _Dec_summary sheet 2007_2008 _Dec_Inventory for Budget_2008-2009 Updated" xfId="1537" xr:uid="{00000000-0005-0000-0000-000025060000}"/>
    <cellStyle name="_07MY Retail sales mix_2008 model mix_summary sheet 2007_2008 _Dec_summary sheet 2007_2008 _Dec_Inventory for Budget_2008-2009 Updated_2008 Inventory Ratio_TF_actual" xfId="1538" xr:uid="{00000000-0005-0000-0000-000026060000}"/>
    <cellStyle name="_07MY Retail sales mix_2008 model mix_summary sheet 2007_2008 _Dec_summary sheet 2007_2008 _Dec_Model Mix 2008-2009 for budget_Dec.17" xfId="1539" xr:uid="{00000000-0005-0000-0000-000027060000}"/>
    <cellStyle name="_07MY Retail sales mix_2008 model mix_summary sheet 2007_2008 _Dec_summary sheet 2007_2008 _Dec_Model Mix 2008-2009 for budget_Dec.17_2008 Inventory Ratio_TF_actual" xfId="1540" xr:uid="{00000000-0005-0000-0000-000028060000}"/>
    <cellStyle name="_07MY Retail sales mix_2008 model mix_summary sheet 2007_2008 _Dec_summary sheet 2007_2008 _Dec_Retail Sale Forcast. Jan-2008 _Jan4" xfId="1541" xr:uid="{00000000-0005-0000-0000-000029060000}"/>
    <cellStyle name="_07MY Retail sales mix_2008 model mix_summary sheet 2007_2008 _Dec_summary sheet 2007_2008 _Dec_Retail Sale Forcast. Jan-2008 _Jan4_2008 Inventory Ratio_TF_actual" xfId="1542" xr:uid="{00000000-0005-0000-0000-00002A060000}"/>
    <cellStyle name="_07MY Retail sales mix_2008 model mix_summary sheet 2007_2008 _Dec_summary sheet 2007_2008 _Dec_summary sheet 2007_2008 _Dec_2" xfId="1543" xr:uid="{00000000-0005-0000-0000-00002B060000}"/>
    <cellStyle name="_07MY Retail sales mix_2008 model mix_summary sheet 2007_2008 _Dec_summary sheet 2007_2008 _Dec_summary sheet 2007_2008 _Dec_2_2008 Inventory Ratio_TF_actual" xfId="1544" xr:uid="{00000000-0005-0000-0000-00002C060000}"/>
    <cellStyle name="_07MY Retail sales mix_2008 model mix_summary sheet 2007_2008 _Dec_summary sheet 2007_2008 _Dec_summary sheet 2007_2008 _Dec14_revised1" xfId="1545" xr:uid="{00000000-0005-0000-0000-00002D060000}"/>
    <cellStyle name="_07MY Retail sales mix_2008 model mix_summary sheet 2007_2008 _Dec_summary sheet 2007_2008 _Dec_summary sheet 2007_2008 _Dec14_revised1_2008 Inventory Ratio_TF_actual" xfId="1546" xr:uid="{00000000-0005-0000-0000-00002E060000}"/>
    <cellStyle name="_07MY Retail sales mix_2008 model mix_summary sheet 2007_2008 _Dec_summary sheet 2007_2008 _Dec_summary sheet 2007_2008 _Dec14_revised2" xfId="1547" xr:uid="{00000000-0005-0000-0000-00002F060000}"/>
    <cellStyle name="_07MY Retail sales mix_2008 model mix_summary sheet 2007_2008 _Dec_summary sheet 2007_2008 _Dec_summary sheet 2007_2008 _Dec14_revised2_2008 Inventory Ratio_TF_actual" xfId="1548" xr:uid="{00000000-0005-0000-0000-000030060000}"/>
    <cellStyle name="_07MY Retail sales mix_2008 model mix_summary sheet 2007_2008 _Dec_summary sheet 2007_2008 _Dec_Summary sheet_for FO_JCC Base" xfId="1549" xr:uid="{00000000-0005-0000-0000-000031060000}"/>
    <cellStyle name="_07MY Retail sales mix_2008 model mix_summary sheet 2007_2008 _Dec_summary sheet 2007_2008 _Dec_TYT vs ISZ_Mar11’08" xfId="1550" xr:uid="{00000000-0005-0000-0000-000032060000}"/>
    <cellStyle name="_07MY Retail sales mix_2008 model mix_summary sheet 2007_2008 _Dec14_revised1" xfId="1551" xr:uid="{00000000-0005-0000-0000-000033060000}"/>
    <cellStyle name="_07MY Retail sales mix_2008 model mix_summary sheet 2007_2008 _Dec14_revised1_2008 Inventory Ratio_TF_actual" xfId="1552" xr:uid="{00000000-0005-0000-0000-000034060000}"/>
    <cellStyle name="_07MY Retail sales mix_2008 model mix_summary sheet 2007_2008 _Dec14_revised2" xfId="1553" xr:uid="{00000000-0005-0000-0000-000035060000}"/>
    <cellStyle name="_07MY Retail sales mix_2008 model mix_summary sheet 2007_2008 _Dec14_revised2_2008 Inventory Ratio_TF_actual" xfId="1554" xr:uid="{00000000-0005-0000-0000-000036060000}"/>
    <cellStyle name="_07MY Retail sales mix_2008 model mix_Summary sheet_for FO_JCC Base" xfId="1555" xr:uid="{00000000-0005-0000-0000-000037060000}"/>
    <cellStyle name="_07MY Retail sales mix_2008 model mix_TYT vs ISZ_Mar11’08" xfId="1556" xr:uid="{00000000-0005-0000-0000-000038060000}"/>
    <cellStyle name="_07MY Retail sales mix_2008 Summary Sheet _JCC vs Actual" xfId="1557" xr:uid="{00000000-0005-0000-0000-000039060000}"/>
    <cellStyle name="_07MY Retail sales mix_2008 Summary Sheet _JCC vs Actual_000608" xfId="1558" xr:uid="{00000000-0005-0000-0000-00003A060000}"/>
    <cellStyle name="_07MY Retail sales mix_2008 Summary Sheet _JCC vs Actual_080608" xfId="1559" xr:uid="{00000000-0005-0000-0000-00003B060000}"/>
    <cellStyle name="_07MY Retail sales mix_2008 Summary Sheet _JCC vs Actual_after FO" xfId="1560" xr:uid="{00000000-0005-0000-0000-00003C060000}"/>
    <cellStyle name="_07MY Retail sales mix_2008 Summary Sheet _JCC vs Actual_FO" xfId="1561" xr:uid="{00000000-0005-0000-0000-00003D060000}"/>
    <cellStyle name="_07MY Retail sales mix_2008 Summary sheet_080410_1st FO(in the meeting)_revised" xfId="1562" xr:uid="{00000000-0005-0000-0000-00003E060000}"/>
    <cellStyle name="_07MY Retail sales mix_2008 Summary sheet_Actual base" xfId="1563" xr:uid="{00000000-0005-0000-0000-00003F060000}"/>
    <cellStyle name="_07MY Retail sales mix_2nd FO_Dec.28" xfId="1564" xr:uid="{00000000-0005-0000-0000-000040060000}"/>
    <cellStyle name="_07MY Retail sales mix_For 1st FO_Jan'08" xfId="1565" xr:uid="{00000000-0005-0000-0000-000041060000}"/>
    <cellStyle name="_07MY Retail sales mix_Inventory for Budget_2008-2009 Updated" xfId="1566" xr:uid="{00000000-0005-0000-0000-000042060000}"/>
    <cellStyle name="_07MY Retail sales mix_Inventory for Budget_2008-2009 Updated_2008 Inventory Ratio_TF_actual" xfId="1567" xr:uid="{00000000-0005-0000-0000-000043060000}"/>
    <cellStyle name="_07MY Retail sales mix_Model Mix 2008-2009 for budget_Dec.17" xfId="1568" xr:uid="{00000000-0005-0000-0000-000044060000}"/>
    <cellStyle name="_07MY Retail sales mix_Model Mix 2008-2009 for budget_Dec.17_2008 Inventory Ratio_TF_actual" xfId="1569" xr:uid="{00000000-0005-0000-0000-000045060000}"/>
    <cellStyle name="_07MY Retail sales mix_Retail Sale Forcast. Jan-2008 _Jan4" xfId="1570" xr:uid="{00000000-0005-0000-0000-000046060000}"/>
    <cellStyle name="_07MY Retail sales mix_Retail Sale Forcast. Jan-2008 _Jan4_2008 Inventory Ratio_TF_actual" xfId="1571" xr:uid="{00000000-0005-0000-0000-000047060000}"/>
    <cellStyle name="_07MY Retail sales mix_summary sheet 2007_2008 (for actual order)" xfId="1572" xr:uid="{00000000-0005-0000-0000-000048060000}"/>
    <cellStyle name="_07MY Retail sales mix_summary sheet 2007_2008 (for actual order)_2008 Inventory Ratio_TF_actual" xfId="1573" xr:uid="{00000000-0005-0000-0000-000049060000}"/>
    <cellStyle name="_07MY Retail sales mix_summary sheet 2007_2008 (for actual order)_summary sheet 2007_2008 _Dec" xfId="1574" xr:uid="{00000000-0005-0000-0000-00004A060000}"/>
    <cellStyle name="_07MY Retail sales mix_summary sheet 2007_2008 (for actual order)_summary sheet 2007_2008 _Dec_~6321223" xfId="1575" xr:uid="{00000000-0005-0000-0000-00004B060000}"/>
    <cellStyle name="_07MY Retail sales mix_summary sheet 2007_2008 (for actual order)_summary sheet 2007_2008 _Dec_080215_For 1st FO" xfId="1576" xr:uid="{00000000-0005-0000-0000-00004C060000}"/>
    <cellStyle name="_07MY Retail sales mix_summary sheet 2007_2008 (for actual order)_summary sheet 2007_2008 _Dec_080215_For 1st FO_Final3" xfId="1577" xr:uid="{00000000-0005-0000-0000-00004D060000}"/>
    <cellStyle name="_07MY Retail sales mix_summary sheet 2007_2008 (for actual order)_summary sheet 2007_2008 _Dec_080215_For 1st FO_updated" xfId="1578" xr:uid="{00000000-0005-0000-0000-00004E060000}"/>
    <cellStyle name="_07MY Retail sales mix_summary sheet 2007_2008 (for actual order)_summary sheet 2007_2008 _Dec_080703 2008 Summary Sheet _JCC vs Actual" xfId="1579" xr:uid="{00000000-0005-0000-0000-00004F060000}"/>
    <cellStyle name="_07MY Retail sales mix_summary sheet 2007_2008 (for actual order)_summary sheet 2007_2008 _Dec_080703 2008 Summary Sheet _JCC vs Actual rev" xfId="1580" xr:uid="{00000000-0005-0000-0000-000050060000}"/>
    <cellStyle name="_07MY Retail sales mix_summary sheet 2007_2008 (for actual order)_summary sheet 2007_2008 _Dec_080710 2009 Summary Sheet" xfId="1581" xr:uid="{00000000-0005-0000-0000-000051060000}"/>
    <cellStyle name="_07MY Retail sales mix_summary sheet 2007_2008 (for actual order)_summary sheet 2007_2008 _Dec_080710 The Final Summary Sheet" xfId="1582" xr:uid="{00000000-0005-0000-0000-000052060000}"/>
    <cellStyle name="_07MY Retail sales mix_summary sheet 2007_2008 (for actual order)_summary sheet 2007_2008 _Dec_2007 RS_Model Mix_Dec'07xls_Actual" xfId="1583" xr:uid="{00000000-0005-0000-0000-000053060000}"/>
    <cellStyle name="_07MY Retail sales mix_summary sheet 2007_2008 (for actual order)_summary sheet 2007_2008 _Dec_2007 RS_Model Mix_Dec'07xls_Actual_2008 Inventory Ratio_TF_actual" xfId="1584" xr:uid="{00000000-0005-0000-0000-000054060000}"/>
    <cellStyle name="_07MY Retail sales mix_summary sheet 2007_2008 (for actual order)_summary sheet 2007_2008 _Dec_2007-2008 RS_Model Mix_DNet" xfId="1585" xr:uid="{00000000-0005-0000-0000-000055060000}"/>
    <cellStyle name="_07MY Retail sales mix_summary sheet 2007_2008 (for actual order)_summary sheet 2007_2008 _Dec_2008 Summary Sheet _JCC vs Actual" xfId="1586" xr:uid="{00000000-0005-0000-0000-000056060000}"/>
    <cellStyle name="_07MY Retail sales mix_summary sheet 2007_2008 (for actual order)_summary sheet 2007_2008 _Dec_2008 Summary Sheet _JCC vs Actual_000608" xfId="1587" xr:uid="{00000000-0005-0000-0000-000057060000}"/>
    <cellStyle name="_07MY Retail sales mix_summary sheet 2007_2008 (for actual order)_summary sheet 2007_2008 _Dec_2008 Summary Sheet _JCC vs Actual_080608" xfId="1588" xr:uid="{00000000-0005-0000-0000-000058060000}"/>
    <cellStyle name="_07MY Retail sales mix_summary sheet 2007_2008 (for actual order)_summary sheet 2007_2008 _Dec_2008 Summary Sheet _JCC vs Actual_after FO" xfId="1589" xr:uid="{00000000-0005-0000-0000-000059060000}"/>
    <cellStyle name="_07MY Retail sales mix_summary sheet 2007_2008 (for actual order)_summary sheet 2007_2008 _Dec_2008 Summary Sheet _JCC vs Actual_FO" xfId="1590" xr:uid="{00000000-0005-0000-0000-00005A060000}"/>
    <cellStyle name="_07MY Retail sales mix_summary sheet 2007_2008 (for actual order)_summary sheet 2007_2008 _Dec_2008 Summary sheet_080410_1st FO(in the meeting)_revised" xfId="1591" xr:uid="{00000000-0005-0000-0000-00005B060000}"/>
    <cellStyle name="_07MY Retail sales mix_summary sheet 2007_2008 (for actual order)_summary sheet 2007_2008 _Dec_2008 Summary sheet_Actual base" xfId="1592" xr:uid="{00000000-0005-0000-0000-00005C060000}"/>
    <cellStyle name="_07MY Retail sales mix_summary sheet 2007_2008 (for actual order)_summary sheet 2007_2008 _Dec_2nd FO_Dec.28" xfId="1593" xr:uid="{00000000-0005-0000-0000-00005D060000}"/>
    <cellStyle name="_07MY Retail sales mix_summary sheet 2007_2008 (for actual order)_summary sheet 2007_2008 _Dec_For 1st FO_Jan'08" xfId="1594" xr:uid="{00000000-0005-0000-0000-00005E060000}"/>
    <cellStyle name="_07MY Retail sales mix_summary sheet 2007_2008 (for actual order)_summary sheet 2007_2008 _Dec_Inventory for Budget_2008-2009 Updated" xfId="1595" xr:uid="{00000000-0005-0000-0000-00005F060000}"/>
    <cellStyle name="_07MY Retail sales mix_summary sheet 2007_2008 (for actual order)_summary sheet 2007_2008 _Dec_Inventory for Budget_2008-2009 Updated_2008 Inventory Ratio_TF_actual" xfId="1596" xr:uid="{00000000-0005-0000-0000-000060060000}"/>
    <cellStyle name="_07MY Retail sales mix_summary sheet 2007_2008 (for actual order)_summary sheet 2007_2008 _Dec_Model Mix 2008-2009 for budget_Dec.17" xfId="1597" xr:uid="{00000000-0005-0000-0000-000061060000}"/>
    <cellStyle name="_07MY Retail sales mix_summary sheet 2007_2008 (for actual order)_summary sheet 2007_2008 _Dec_Model Mix 2008-2009 for budget_Dec.17_2008 Inventory Ratio_TF_actual" xfId="1598" xr:uid="{00000000-0005-0000-0000-000062060000}"/>
    <cellStyle name="_07MY Retail sales mix_summary sheet 2007_2008 (for actual order)_summary sheet 2007_2008 _Dec_Retail Sale Forcast. Jan-2008 _Jan4" xfId="1599" xr:uid="{00000000-0005-0000-0000-000063060000}"/>
    <cellStyle name="_07MY Retail sales mix_summary sheet 2007_2008 (for actual order)_summary sheet 2007_2008 _Dec_Retail Sale Forcast. Jan-2008 _Jan4_2008 Inventory Ratio_TF_actual" xfId="1600" xr:uid="{00000000-0005-0000-0000-000064060000}"/>
    <cellStyle name="_07MY Retail sales mix_summary sheet 2007_2008 (for actual order)_summary sheet 2007_2008 _Dec_summary sheet 2007_2008 _Dec_2" xfId="1601" xr:uid="{00000000-0005-0000-0000-000065060000}"/>
    <cellStyle name="_07MY Retail sales mix_summary sheet 2007_2008 (for actual order)_summary sheet 2007_2008 _Dec_summary sheet 2007_2008 _Dec_2_2008 Inventory Ratio_TF_actual" xfId="1602" xr:uid="{00000000-0005-0000-0000-000066060000}"/>
    <cellStyle name="_07MY Retail sales mix_summary sheet 2007_2008 (for actual order)_summary sheet 2007_2008 _Dec_summary sheet 2007_2008 _Dec14_revised1" xfId="1603" xr:uid="{00000000-0005-0000-0000-000067060000}"/>
    <cellStyle name="_07MY Retail sales mix_summary sheet 2007_2008 (for actual order)_summary sheet 2007_2008 _Dec_summary sheet 2007_2008 _Dec14_revised1_2008 Inventory Ratio_TF_actual" xfId="1604" xr:uid="{00000000-0005-0000-0000-000068060000}"/>
    <cellStyle name="_07MY Retail sales mix_summary sheet 2007_2008 (for actual order)_summary sheet 2007_2008 _Dec_summary sheet 2007_2008 _Dec14_revised2" xfId="1605" xr:uid="{00000000-0005-0000-0000-000069060000}"/>
    <cellStyle name="_07MY Retail sales mix_summary sheet 2007_2008 (for actual order)_summary sheet 2007_2008 _Dec_summary sheet 2007_2008 _Dec14_revised2_2008 Inventory Ratio_TF_actual" xfId="1606" xr:uid="{00000000-0005-0000-0000-00006A060000}"/>
    <cellStyle name="_07MY Retail sales mix_summary sheet 2007_2008 (for actual order)_summary sheet 2007_2008 _Dec_Summary sheet_for FO_JCC Base" xfId="1607" xr:uid="{00000000-0005-0000-0000-00006B060000}"/>
    <cellStyle name="_07MY Retail sales mix_summary sheet 2007_2008 (for actual order)_summary sheet 2007_2008 _Dec_TYT vs ISZ_Mar11’08" xfId="1608" xr:uid="{00000000-0005-0000-0000-00006C060000}"/>
    <cellStyle name="_07MY Retail sales mix_summary sheet 2007_2008 _Dec" xfId="1609" xr:uid="{00000000-0005-0000-0000-00006D060000}"/>
    <cellStyle name="_07MY Retail sales mix_summary sheet 2007_2008 _Dec_2" xfId="1610" xr:uid="{00000000-0005-0000-0000-00006E060000}"/>
    <cellStyle name="_07MY Retail sales mix_summary sheet 2007_2008 _Dec_2_2008 Inventory Ratio_TF_actual" xfId="1611" xr:uid="{00000000-0005-0000-0000-00006F060000}"/>
    <cellStyle name="_07MY Retail sales mix_summary sheet 2007_2008 _Dec_2008 Inventory Ratio_TF_actual" xfId="1612" xr:uid="{00000000-0005-0000-0000-000070060000}"/>
    <cellStyle name="_07MY Retail sales mix_summary sheet 2007_2008 _Dec_summary sheet 2007_2008 _Dec" xfId="1613" xr:uid="{00000000-0005-0000-0000-000071060000}"/>
    <cellStyle name="_07MY Retail sales mix_summary sheet 2007_2008 _Dec_summary sheet 2007_2008 _Dec_~6321223" xfId="1614" xr:uid="{00000000-0005-0000-0000-000072060000}"/>
    <cellStyle name="_07MY Retail sales mix_summary sheet 2007_2008 _Dec_summary sheet 2007_2008 _Dec_080215_For 1st FO" xfId="1615" xr:uid="{00000000-0005-0000-0000-000073060000}"/>
    <cellStyle name="_07MY Retail sales mix_summary sheet 2007_2008 _Dec_summary sheet 2007_2008 _Dec_080215_For 1st FO_Final3" xfId="1616" xr:uid="{00000000-0005-0000-0000-000074060000}"/>
    <cellStyle name="_07MY Retail sales mix_summary sheet 2007_2008 _Dec_summary sheet 2007_2008 _Dec_080215_For 1st FO_updated" xfId="1617" xr:uid="{00000000-0005-0000-0000-000075060000}"/>
    <cellStyle name="_07MY Retail sales mix_summary sheet 2007_2008 _Dec_summary sheet 2007_2008 _Dec_080703 2008 Summary Sheet _JCC vs Actual" xfId="1618" xr:uid="{00000000-0005-0000-0000-000076060000}"/>
    <cellStyle name="_07MY Retail sales mix_summary sheet 2007_2008 _Dec_summary sheet 2007_2008 _Dec_080703 2008 Summary Sheet _JCC vs Actual rev" xfId="1619" xr:uid="{00000000-0005-0000-0000-000077060000}"/>
    <cellStyle name="_07MY Retail sales mix_summary sheet 2007_2008 _Dec_summary sheet 2007_2008 _Dec_080710 2009 Summary Sheet" xfId="1620" xr:uid="{00000000-0005-0000-0000-000078060000}"/>
    <cellStyle name="_07MY Retail sales mix_summary sheet 2007_2008 _Dec_summary sheet 2007_2008 _Dec_080710 The Final Summary Sheet" xfId="1621" xr:uid="{00000000-0005-0000-0000-000079060000}"/>
    <cellStyle name="_07MY Retail sales mix_summary sheet 2007_2008 _Dec_summary sheet 2007_2008 _Dec_2007 RS_Model Mix_Dec'07xls_Actual" xfId="1622" xr:uid="{00000000-0005-0000-0000-00007A060000}"/>
    <cellStyle name="_07MY Retail sales mix_summary sheet 2007_2008 _Dec_summary sheet 2007_2008 _Dec_2007 RS_Model Mix_Dec'07xls_Actual_2008 Inventory Ratio_TF_actual" xfId="1623" xr:uid="{00000000-0005-0000-0000-00007B060000}"/>
    <cellStyle name="_07MY Retail sales mix_summary sheet 2007_2008 _Dec_summary sheet 2007_2008 _Dec_2007-2008 RS_Model Mix_DNet" xfId="1624" xr:uid="{00000000-0005-0000-0000-00007C060000}"/>
    <cellStyle name="_07MY Retail sales mix_summary sheet 2007_2008 _Dec_summary sheet 2007_2008 _Dec_2008 Summary Sheet _JCC vs Actual" xfId="1625" xr:uid="{00000000-0005-0000-0000-00007D060000}"/>
    <cellStyle name="_07MY Retail sales mix_summary sheet 2007_2008 _Dec_summary sheet 2007_2008 _Dec_2008 Summary Sheet _JCC vs Actual_000608" xfId="1626" xr:uid="{00000000-0005-0000-0000-00007E060000}"/>
    <cellStyle name="_07MY Retail sales mix_summary sheet 2007_2008 _Dec_summary sheet 2007_2008 _Dec_2008 Summary Sheet _JCC vs Actual_080608" xfId="1627" xr:uid="{00000000-0005-0000-0000-00007F060000}"/>
    <cellStyle name="_07MY Retail sales mix_summary sheet 2007_2008 _Dec_summary sheet 2007_2008 _Dec_2008 Summary Sheet _JCC vs Actual_after FO" xfId="1628" xr:uid="{00000000-0005-0000-0000-000080060000}"/>
    <cellStyle name="_07MY Retail sales mix_summary sheet 2007_2008 _Dec_summary sheet 2007_2008 _Dec_2008 Summary Sheet _JCC vs Actual_FO" xfId="1629" xr:uid="{00000000-0005-0000-0000-000081060000}"/>
    <cellStyle name="_07MY Retail sales mix_summary sheet 2007_2008 _Dec_summary sheet 2007_2008 _Dec_2008 Summary sheet_080410_1st FO(in the meeting)_revised" xfId="1630" xr:uid="{00000000-0005-0000-0000-000082060000}"/>
    <cellStyle name="_07MY Retail sales mix_summary sheet 2007_2008 _Dec_summary sheet 2007_2008 _Dec_2008 Summary sheet_Actual base" xfId="1631" xr:uid="{00000000-0005-0000-0000-000083060000}"/>
    <cellStyle name="_07MY Retail sales mix_summary sheet 2007_2008 _Dec_summary sheet 2007_2008 _Dec_2nd FO_Dec.28" xfId="1632" xr:uid="{00000000-0005-0000-0000-000084060000}"/>
    <cellStyle name="_07MY Retail sales mix_summary sheet 2007_2008 _Dec_summary sheet 2007_2008 _Dec_For 1st FO_Jan'08" xfId="1633" xr:uid="{00000000-0005-0000-0000-000085060000}"/>
    <cellStyle name="_07MY Retail sales mix_summary sheet 2007_2008 _Dec_summary sheet 2007_2008 _Dec_Inventory for Budget_2008-2009 Updated" xfId="1634" xr:uid="{00000000-0005-0000-0000-000086060000}"/>
    <cellStyle name="_07MY Retail sales mix_summary sheet 2007_2008 _Dec_summary sheet 2007_2008 _Dec_Inventory for Budget_2008-2009 Updated_2008 Inventory Ratio_TF_actual" xfId="1635" xr:uid="{00000000-0005-0000-0000-000087060000}"/>
    <cellStyle name="_07MY Retail sales mix_summary sheet 2007_2008 _Dec_summary sheet 2007_2008 _Dec_Model Mix 2008-2009 for budget_Dec.17" xfId="1636" xr:uid="{00000000-0005-0000-0000-000088060000}"/>
    <cellStyle name="_07MY Retail sales mix_summary sheet 2007_2008 _Dec_summary sheet 2007_2008 _Dec_Model Mix 2008-2009 for budget_Dec.17_2008 Inventory Ratio_TF_actual" xfId="1637" xr:uid="{00000000-0005-0000-0000-000089060000}"/>
    <cellStyle name="_07MY Retail sales mix_summary sheet 2007_2008 _Dec_summary sheet 2007_2008 _Dec_Retail Sale Forcast. Jan-2008 _Jan4" xfId="1638" xr:uid="{00000000-0005-0000-0000-00008A060000}"/>
    <cellStyle name="_07MY Retail sales mix_summary sheet 2007_2008 _Dec_summary sheet 2007_2008 _Dec_Retail Sale Forcast. Jan-2008 _Jan4_2008 Inventory Ratio_TF_actual" xfId="1639" xr:uid="{00000000-0005-0000-0000-00008B060000}"/>
    <cellStyle name="_07MY Retail sales mix_summary sheet 2007_2008 _Dec_summary sheet 2007_2008 _Dec_summary sheet 2007_2008 _Dec_2" xfId="1640" xr:uid="{00000000-0005-0000-0000-00008C060000}"/>
    <cellStyle name="_07MY Retail sales mix_summary sheet 2007_2008 _Dec_summary sheet 2007_2008 _Dec_summary sheet 2007_2008 _Dec_2_2008 Inventory Ratio_TF_actual" xfId="1641" xr:uid="{00000000-0005-0000-0000-00008D060000}"/>
    <cellStyle name="_07MY Retail sales mix_summary sheet 2007_2008 _Dec_summary sheet 2007_2008 _Dec_summary sheet 2007_2008 _Dec14_revised1" xfId="1642" xr:uid="{00000000-0005-0000-0000-00008E060000}"/>
    <cellStyle name="_07MY Retail sales mix_summary sheet 2007_2008 _Dec_summary sheet 2007_2008 _Dec_summary sheet 2007_2008 _Dec14_revised1_2008 Inventory Ratio_TF_actual" xfId="1643" xr:uid="{00000000-0005-0000-0000-00008F060000}"/>
    <cellStyle name="_07MY Retail sales mix_summary sheet 2007_2008 _Dec_summary sheet 2007_2008 _Dec_summary sheet 2007_2008 _Dec14_revised2" xfId="1644" xr:uid="{00000000-0005-0000-0000-000090060000}"/>
    <cellStyle name="_07MY Retail sales mix_summary sheet 2007_2008 _Dec_summary sheet 2007_2008 _Dec_summary sheet 2007_2008 _Dec14_revised2_2008 Inventory Ratio_TF_actual" xfId="1645" xr:uid="{00000000-0005-0000-0000-000091060000}"/>
    <cellStyle name="_07MY Retail sales mix_summary sheet 2007_2008 _Dec_summary sheet 2007_2008 _Dec_Summary sheet_for FO_JCC Base" xfId="1646" xr:uid="{00000000-0005-0000-0000-000092060000}"/>
    <cellStyle name="_07MY Retail sales mix_summary sheet 2007_2008 _Dec_summary sheet 2007_2008 _Dec_TYT vs ISZ_Mar11’08" xfId="1647" xr:uid="{00000000-0005-0000-0000-000093060000}"/>
    <cellStyle name="_07MY Retail sales mix_summary sheet 2007_2008 _Dec14_revised1" xfId="1648" xr:uid="{00000000-0005-0000-0000-000094060000}"/>
    <cellStyle name="_07MY Retail sales mix_summary sheet 2007_2008 _Dec14_revised1_2008 Inventory Ratio_TF_actual" xfId="1649" xr:uid="{00000000-0005-0000-0000-000095060000}"/>
    <cellStyle name="_07MY Retail sales mix_summary sheet 2007_2008 _Dec14_revised2" xfId="1650" xr:uid="{00000000-0005-0000-0000-000096060000}"/>
    <cellStyle name="_07MY Retail sales mix_summary sheet 2007_2008 _Dec14_revised2_2008 Inventory Ratio_TF_actual" xfId="1651" xr:uid="{00000000-0005-0000-0000-000097060000}"/>
    <cellStyle name="_07MY Retail sales mix_Summary sheet_for FO_JCC Base" xfId="1652" xr:uid="{00000000-0005-0000-0000-000098060000}"/>
    <cellStyle name="_07MY Retail sales mix_TYT vs ISZ_Mar11’08" xfId="1653" xr:uid="{00000000-0005-0000-0000-000099060000}"/>
    <cellStyle name="_080215_For 1st FO" xfId="1654" xr:uid="{00000000-0005-0000-0000-00009A060000}"/>
    <cellStyle name="_080215_For 1st FO_Final3" xfId="1655" xr:uid="{00000000-0005-0000-0000-00009B060000}"/>
    <cellStyle name="_080215_For 1st FO_updated" xfId="1656" xr:uid="{00000000-0005-0000-0000-00009C060000}"/>
    <cellStyle name="_080703 2008 Summary Sheet _JCC vs Actual" xfId="1657" xr:uid="{00000000-0005-0000-0000-00009D060000}"/>
    <cellStyle name="_080703 2008 Summary Sheet _JCC vs Actual rev" xfId="1658" xr:uid="{00000000-0005-0000-0000-00009E060000}"/>
    <cellStyle name="_080710 2009 Summary Sheet" xfId="1659" xr:uid="{00000000-0005-0000-0000-00009F060000}"/>
    <cellStyle name="_080710 The Final Summary Sheet" xfId="1660" xr:uid="{00000000-0005-0000-0000-0000A0060000}"/>
    <cellStyle name="_080721_08 Jul Budget_09MY Price &amp; Cost up assumption" xfId="1661" xr:uid="{00000000-0005-0000-0000-0000A1060000}"/>
    <cellStyle name="_10MY Plan Book 20090701_Final" xfId="1662" xr:uid="{00000000-0005-0000-0000-0000A2060000}"/>
    <cellStyle name="_10MY Plan Book 20090702_Final" xfId="1663" xr:uid="{00000000-0005-0000-0000-0000A3060000}"/>
    <cellStyle name="_10MY Plan Book 20090702_Final_2012 Capacity up Plan-2" xfId="1664" xr:uid="{00000000-0005-0000-0000-0000A4060000}"/>
    <cellStyle name="_10MY Plan Book 20090702_Final_2012 Capacity up Plan-2_15Dec_よし" xfId="1665" xr:uid="{00000000-0005-0000-0000-0000A5060000}"/>
    <cellStyle name="_2007 RS_Model Mix_Dec'07xls_Actual" xfId="1666" xr:uid="{00000000-0005-0000-0000-0000A6060000}"/>
    <cellStyle name="_2007 RS_Model Mix_Dec'07xls_Actual_2008 Inventory Ratio_TF_actual" xfId="1667" xr:uid="{00000000-0005-0000-0000-0000A7060000}"/>
    <cellStyle name="_2007-2008 RS_Model Mix_DNet" xfId="1668" xr:uid="{00000000-0005-0000-0000-0000A8060000}"/>
    <cellStyle name="_2008 RS sales plan (08 &amp; 08.5)_Nov.1" xfId="1669" xr:uid="{00000000-0005-0000-0000-0000A9060000}"/>
    <cellStyle name="_2008 RS sales plan (08 &amp; 08.5)_Nov.1_~6321223" xfId="1670" xr:uid="{00000000-0005-0000-0000-0000AA060000}"/>
    <cellStyle name="_2008 RS sales plan (08 &amp; 08.5)_Nov.1_080215_For 1st FO" xfId="1671" xr:uid="{00000000-0005-0000-0000-0000AB060000}"/>
    <cellStyle name="_2008 RS sales plan (08 &amp; 08.5)_Nov.1_080215_For 1st FO_Final3" xfId="1672" xr:uid="{00000000-0005-0000-0000-0000AC060000}"/>
    <cellStyle name="_2008 RS sales plan (08 &amp; 08.5)_Nov.1_080215_For 1st FO_updated" xfId="1673" xr:uid="{00000000-0005-0000-0000-0000AD060000}"/>
    <cellStyle name="_2008 RS sales plan (08 &amp; 08.5)_Nov.1_080703 2008 Summary Sheet _JCC vs Actual" xfId="1674" xr:uid="{00000000-0005-0000-0000-0000AE060000}"/>
    <cellStyle name="_2008 RS sales plan (08 &amp; 08.5)_Nov.1_080703 2008 Summary Sheet _JCC vs Actual rev" xfId="1675" xr:uid="{00000000-0005-0000-0000-0000AF060000}"/>
    <cellStyle name="_2008 RS sales plan (08 &amp; 08.5)_Nov.1_080710 2009 Summary Sheet" xfId="1676" xr:uid="{00000000-0005-0000-0000-0000B0060000}"/>
    <cellStyle name="_2008 RS sales plan (08 &amp; 08.5)_Nov.1_080710 The Final Summary Sheet" xfId="1677" xr:uid="{00000000-0005-0000-0000-0000B1060000}"/>
    <cellStyle name="_2008 RS sales plan (08 &amp; 08.5)_Nov.1_2007 RS_Model Mix_Dec'07xls_Actual" xfId="1678" xr:uid="{00000000-0005-0000-0000-0000B2060000}"/>
    <cellStyle name="_2008 RS sales plan (08 &amp; 08.5)_Nov.1_2007 RS_Model Mix_Dec'07xls_Actual_2008 Inventory Ratio_TF_actual" xfId="1679" xr:uid="{00000000-0005-0000-0000-0000B3060000}"/>
    <cellStyle name="_2008 RS sales plan (08 &amp; 08.5)_Nov.1_2007-2008 RS_Model Mix_DNet" xfId="1680" xr:uid="{00000000-0005-0000-0000-0000B4060000}"/>
    <cellStyle name="_2008 RS sales plan (08 &amp; 08.5)_Nov.1_2008 Summary Sheet _JCC vs Actual" xfId="1681" xr:uid="{00000000-0005-0000-0000-0000B5060000}"/>
    <cellStyle name="_2008 RS sales plan (08 &amp; 08.5)_Nov.1_2008 Summary Sheet _JCC vs Actual_000608" xfId="1682" xr:uid="{00000000-0005-0000-0000-0000B6060000}"/>
    <cellStyle name="_2008 RS sales plan (08 &amp; 08.5)_Nov.1_2008 Summary Sheet _JCC vs Actual_080608" xfId="1683" xr:uid="{00000000-0005-0000-0000-0000B7060000}"/>
    <cellStyle name="_2008 RS sales plan (08 &amp; 08.5)_Nov.1_2008 Summary Sheet _JCC vs Actual_after FO" xfId="1684" xr:uid="{00000000-0005-0000-0000-0000B8060000}"/>
    <cellStyle name="_2008 RS sales plan (08 &amp; 08.5)_Nov.1_2008 Summary Sheet _JCC vs Actual_FO" xfId="1685" xr:uid="{00000000-0005-0000-0000-0000B9060000}"/>
    <cellStyle name="_2008 RS sales plan (08 &amp; 08.5)_Nov.1_2008 Summary sheet_080410_1st FO(in the meeting)_revised" xfId="1686" xr:uid="{00000000-0005-0000-0000-0000BA060000}"/>
    <cellStyle name="_2008 RS sales plan (08 &amp; 08.5)_Nov.1_2008 Summary sheet_Actual base" xfId="1687" xr:uid="{00000000-0005-0000-0000-0000BB060000}"/>
    <cellStyle name="_2008 RS sales plan (08 &amp; 08.5)_Nov.1_2nd FO_Dec.28" xfId="1688" xr:uid="{00000000-0005-0000-0000-0000BC060000}"/>
    <cellStyle name="_2008 RS sales plan (08 &amp; 08.5)_Nov.1_For 1st FO_Jan'08" xfId="1689" xr:uid="{00000000-0005-0000-0000-0000BD060000}"/>
    <cellStyle name="_2008 RS sales plan (08 &amp; 08.5)_Nov.1_Inventory for Budget_2008-2009 Updated" xfId="1690" xr:uid="{00000000-0005-0000-0000-0000BE060000}"/>
    <cellStyle name="_2008 RS sales plan (08 &amp; 08.5)_Nov.1_Inventory for Budget_2008-2009 Updated_2008 Inventory Ratio_TF_actual" xfId="1691" xr:uid="{00000000-0005-0000-0000-0000BF060000}"/>
    <cellStyle name="_2008 RS sales plan (08 &amp; 08.5)_Nov.1_Model Mix 2008-2009 for budget_Dec.17" xfId="1692" xr:uid="{00000000-0005-0000-0000-0000C0060000}"/>
    <cellStyle name="_2008 RS sales plan (08 &amp; 08.5)_Nov.1_Model Mix 2008-2009 for budget_Dec.17_2008 Inventory Ratio_TF_actual" xfId="1693" xr:uid="{00000000-0005-0000-0000-0000C1060000}"/>
    <cellStyle name="_2008 RS sales plan (08 &amp; 08.5)_Nov.1_Retail Sale Forcast. Jan-2008 _Jan4" xfId="1694" xr:uid="{00000000-0005-0000-0000-0000C2060000}"/>
    <cellStyle name="_2008 RS sales plan (08 &amp; 08.5)_Nov.1_Retail Sale Forcast. Jan-2008 _Jan4_2008 Inventory Ratio_TF_actual" xfId="1695" xr:uid="{00000000-0005-0000-0000-0000C3060000}"/>
    <cellStyle name="_2008 RS sales plan (08 &amp; 08.5)_Nov.1_summary sheet 2007_2008 (for actual order)" xfId="1696" xr:uid="{00000000-0005-0000-0000-0000C4060000}"/>
    <cellStyle name="_2008 RS sales plan (08 &amp; 08.5)_Nov.1_summary sheet 2007_2008 (for actual order)_2008 Inventory Ratio_TF_actual" xfId="1697" xr:uid="{00000000-0005-0000-0000-0000C5060000}"/>
    <cellStyle name="_2008 RS sales plan (08 &amp; 08.5)_Nov.1_summary sheet 2007_2008 (for actual order)_summary sheet 2007_2008 _Dec" xfId="1698" xr:uid="{00000000-0005-0000-0000-0000C6060000}"/>
    <cellStyle name="_2008 RS sales plan (08 &amp; 08.5)_Nov.1_summary sheet 2007_2008 (for actual order)_summary sheet 2007_2008 _Dec_~6321223" xfId="1699" xr:uid="{00000000-0005-0000-0000-0000C7060000}"/>
    <cellStyle name="_2008 RS sales plan (08 &amp; 08.5)_Nov.1_summary sheet 2007_2008 (for actual order)_summary sheet 2007_2008 _Dec_080215_For 1st FO" xfId="1700" xr:uid="{00000000-0005-0000-0000-0000C8060000}"/>
    <cellStyle name="_2008 RS sales plan (08 &amp; 08.5)_Nov.1_summary sheet 2007_2008 (for actual order)_summary sheet 2007_2008 _Dec_080215_For 1st FO_Final3" xfId="1701" xr:uid="{00000000-0005-0000-0000-0000C9060000}"/>
    <cellStyle name="_2008 RS sales plan (08 &amp; 08.5)_Nov.1_summary sheet 2007_2008 (for actual order)_summary sheet 2007_2008 _Dec_080215_For 1st FO_updated" xfId="1702" xr:uid="{00000000-0005-0000-0000-0000CA060000}"/>
    <cellStyle name="_2008 RS sales plan (08 &amp; 08.5)_Nov.1_summary sheet 2007_2008 (for actual order)_summary sheet 2007_2008 _Dec_080703 2008 Summary Sheet _JCC vs Actual" xfId="1703" xr:uid="{00000000-0005-0000-0000-0000CB060000}"/>
    <cellStyle name="_2008 RS sales plan (08 &amp; 08.5)_Nov.1_summary sheet 2007_2008 (for actual order)_summary sheet 2007_2008 _Dec_080703 2008 Summary Sheet _JCC vs Actual rev" xfId="1704" xr:uid="{00000000-0005-0000-0000-0000CC060000}"/>
    <cellStyle name="_2008 RS sales plan (08 &amp; 08.5)_Nov.1_summary sheet 2007_2008 (for actual order)_summary sheet 2007_2008 _Dec_080710 2009 Summary Sheet" xfId="1705" xr:uid="{00000000-0005-0000-0000-0000CD060000}"/>
    <cellStyle name="_2008 RS sales plan (08 &amp; 08.5)_Nov.1_summary sheet 2007_2008 (for actual order)_summary sheet 2007_2008 _Dec_080710 The Final Summary Sheet" xfId="1706" xr:uid="{00000000-0005-0000-0000-0000CE060000}"/>
    <cellStyle name="_2008 RS sales plan (08 &amp; 08.5)_Nov.1_summary sheet 2007_2008 (for actual order)_summary sheet 2007_2008 _Dec_2007 RS_Model Mix_Dec'07xls_Actual" xfId="1707" xr:uid="{00000000-0005-0000-0000-0000CF060000}"/>
    <cellStyle name="_2008 RS sales plan (08 &amp; 08.5)_Nov.1_summary sheet 2007_2008 (for actual order)_summary sheet 2007_2008 _Dec_2007 RS_Model Mix_Dec'07xls_Actual_2008 Inventory Ratio_TF_actual" xfId="1708" xr:uid="{00000000-0005-0000-0000-0000D0060000}"/>
    <cellStyle name="_2008 RS sales plan (08 &amp; 08.5)_Nov.1_summary sheet 2007_2008 (for actual order)_summary sheet 2007_2008 _Dec_2007-2008 RS_Model Mix_DNet" xfId="1709" xr:uid="{00000000-0005-0000-0000-0000D1060000}"/>
    <cellStyle name="_2008 RS sales plan (08 &amp; 08.5)_Nov.1_summary sheet 2007_2008 (for actual order)_summary sheet 2007_2008 _Dec_2008 Summary Sheet _JCC vs Actual" xfId="1710" xr:uid="{00000000-0005-0000-0000-0000D2060000}"/>
    <cellStyle name="_2008 RS sales plan (08 &amp; 08.5)_Nov.1_summary sheet 2007_2008 (for actual order)_summary sheet 2007_2008 _Dec_2008 Summary Sheet _JCC vs Actual_000608" xfId="1711" xr:uid="{00000000-0005-0000-0000-0000D3060000}"/>
    <cellStyle name="_2008 RS sales plan (08 &amp; 08.5)_Nov.1_summary sheet 2007_2008 (for actual order)_summary sheet 2007_2008 _Dec_2008 Summary Sheet _JCC vs Actual_080608" xfId="1712" xr:uid="{00000000-0005-0000-0000-0000D4060000}"/>
    <cellStyle name="_2008 RS sales plan (08 &amp; 08.5)_Nov.1_summary sheet 2007_2008 (for actual order)_summary sheet 2007_2008 _Dec_2008 Summary Sheet _JCC vs Actual_after FO" xfId="1713" xr:uid="{00000000-0005-0000-0000-0000D5060000}"/>
    <cellStyle name="_2008 RS sales plan (08 &amp; 08.5)_Nov.1_summary sheet 2007_2008 (for actual order)_summary sheet 2007_2008 _Dec_2008 Summary Sheet _JCC vs Actual_FO" xfId="1714" xr:uid="{00000000-0005-0000-0000-0000D6060000}"/>
    <cellStyle name="_2008 RS sales plan (08 &amp; 08.5)_Nov.1_summary sheet 2007_2008 (for actual order)_summary sheet 2007_2008 _Dec_2008 Summary sheet_080410_1st FO(in the meeting)_revised" xfId="1715" xr:uid="{00000000-0005-0000-0000-0000D7060000}"/>
    <cellStyle name="_2008 RS sales plan (08 &amp; 08.5)_Nov.1_summary sheet 2007_2008 (for actual order)_summary sheet 2007_2008 _Dec_2008 Summary sheet_Actual base" xfId="1716" xr:uid="{00000000-0005-0000-0000-0000D8060000}"/>
    <cellStyle name="_2008 RS sales plan (08 &amp; 08.5)_Nov.1_summary sheet 2007_2008 (for actual order)_summary sheet 2007_2008 _Dec_2nd FO_Dec.28" xfId="1717" xr:uid="{00000000-0005-0000-0000-0000D9060000}"/>
    <cellStyle name="_2008 RS sales plan (08 &amp; 08.5)_Nov.1_summary sheet 2007_2008 (for actual order)_summary sheet 2007_2008 _Dec_For 1st FO_Jan'08" xfId="1718" xr:uid="{00000000-0005-0000-0000-0000DA060000}"/>
    <cellStyle name="_2008 RS sales plan (08 &amp; 08.5)_Nov.1_summary sheet 2007_2008 (for actual order)_summary sheet 2007_2008 _Dec_Inventory for Budget_2008-2009 Updated" xfId="1719" xr:uid="{00000000-0005-0000-0000-0000DB060000}"/>
    <cellStyle name="_2008 RS sales plan (08 &amp; 08.5)_Nov.1_summary sheet 2007_2008 (for actual order)_summary sheet 2007_2008 _Dec_Inventory for Budget_2008-2009 Updated_2008 Inventory Ratio_TF_actual" xfId="1720" xr:uid="{00000000-0005-0000-0000-0000DC060000}"/>
    <cellStyle name="_2008 RS sales plan (08 &amp; 08.5)_Nov.1_summary sheet 2007_2008 (for actual order)_summary sheet 2007_2008 _Dec_Model Mix 2008-2009 for budget_Dec.17" xfId="1721" xr:uid="{00000000-0005-0000-0000-0000DD060000}"/>
    <cellStyle name="_2008 RS sales plan (08 &amp; 08.5)_Nov.1_summary sheet 2007_2008 (for actual order)_summary sheet 2007_2008 _Dec_Model Mix 2008-2009 for budget_Dec.17_2008 Inventory Ratio_TF_actual" xfId="1722" xr:uid="{00000000-0005-0000-0000-0000DE060000}"/>
    <cellStyle name="_2008 RS sales plan (08 &amp; 08.5)_Nov.1_summary sheet 2007_2008 (for actual order)_summary sheet 2007_2008 _Dec_Retail Sale Forcast. Jan-2008 _Jan4" xfId="1723" xr:uid="{00000000-0005-0000-0000-0000DF060000}"/>
    <cellStyle name="_2008 RS sales plan (08 &amp; 08.5)_Nov.1_summary sheet 2007_2008 (for actual order)_summary sheet 2007_2008 _Dec_Retail Sale Forcast. Jan-2008 _Jan4_2008 Inventory Ratio_TF_actual" xfId="1724" xr:uid="{00000000-0005-0000-0000-0000E0060000}"/>
    <cellStyle name="_2008 RS sales plan (08 &amp; 08.5)_Nov.1_summary sheet 2007_2008 (for actual order)_summary sheet 2007_2008 _Dec_summary sheet 2007_2008 _Dec_2" xfId="1725" xr:uid="{00000000-0005-0000-0000-0000E1060000}"/>
    <cellStyle name="_2008 RS sales plan (08 &amp; 08.5)_Nov.1_summary sheet 2007_2008 (for actual order)_summary sheet 2007_2008 _Dec_summary sheet 2007_2008 _Dec_2_2008 Inventory Ratio_TF_actual" xfId="1726" xr:uid="{00000000-0005-0000-0000-0000E2060000}"/>
    <cellStyle name="_2008 RS sales plan (08 &amp; 08.5)_Nov.1_summary sheet 2007_2008 (for actual order)_summary sheet 2007_2008 _Dec_summary sheet 2007_2008 _Dec14_revised1" xfId="1727" xr:uid="{00000000-0005-0000-0000-0000E3060000}"/>
    <cellStyle name="_2008 RS sales plan (08 &amp; 08.5)_Nov.1_summary sheet 2007_2008 (for actual order)_summary sheet 2007_2008 _Dec_summary sheet 2007_2008 _Dec14_revised1_2008 Inventory Ratio_TF_actual" xfId="1728" xr:uid="{00000000-0005-0000-0000-0000E4060000}"/>
    <cellStyle name="_2008 RS sales plan (08 &amp; 08.5)_Nov.1_summary sheet 2007_2008 (for actual order)_summary sheet 2007_2008 _Dec_summary sheet 2007_2008 _Dec14_revised2" xfId="1729" xr:uid="{00000000-0005-0000-0000-0000E5060000}"/>
    <cellStyle name="_2008 RS sales plan (08 &amp; 08.5)_Nov.1_summary sheet 2007_2008 (for actual order)_summary sheet 2007_2008 _Dec_summary sheet 2007_2008 _Dec14_revised2_2008 Inventory Ratio_TF_actual" xfId="1730" xr:uid="{00000000-0005-0000-0000-0000E6060000}"/>
    <cellStyle name="_2008 RS sales plan (08 &amp; 08.5)_Nov.1_summary sheet 2007_2008 (for actual order)_summary sheet 2007_2008 _Dec_Summary sheet_for FO_JCC Base" xfId="1731" xr:uid="{00000000-0005-0000-0000-0000E7060000}"/>
    <cellStyle name="_2008 RS sales plan (08 &amp; 08.5)_Nov.1_summary sheet 2007_2008 (for actual order)_summary sheet 2007_2008 _Dec_TYT vs ISZ_Mar11’08" xfId="1732" xr:uid="{00000000-0005-0000-0000-0000E8060000}"/>
    <cellStyle name="_2008 RS sales plan (08 &amp; 08.5)_Nov.1_summary sheet 2007_2008 _Dec" xfId="1733" xr:uid="{00000000-0005-0000-0000-0000E9060000}"/>
    <cellStyle name="_2008 RS sales plan (08 &amp; 08.5)_Nov.1_summary sheet 2007_2008 _Dec_2" xfId="1734" xr:uid="{00000000-0005-0000-0000-0000EA060000}"/>
    <cellStyle name="_2008 RS sales plan (08 &amp; 08.5)_Nov.1_summary sheet 2007_2008 _Dec_2_2008 Inventory Ratio_TF_actual" xfId="1735" xr:uid="{00000000-0005-0000-0000-0000EB060000}"/>
    <cellStyle name="_2008 RS sales plan (08 &amp; 08.5)_Nov.1_summary sheet 2007_2008 _Dec_2008 Inventory Ratio_TF_actual" xfId="1736" xr:uid="{00000000-0005-0000-0000-0000EC060000}"/>
    <cellStyle name="_2008 RS sales plan (08 &amp; 08.5)_Nov.1_summary sheet 2007_2008 _Dec_summary sheet 2007_2008 _Dec" xfId="1737" xr:uid="{00000000-0005-0000-0000-0000ED060000}"/>
    <cellStyle name="_2008 RS sales plan (08 &amp; 08.5)_Nov.1_summary sheet 2007_2008 _Dec_summary sheet 2007_2008 _Dec_~6321223" xfId="1738" xr:uid="{00000000-0005-0000-0000-0000EE060000}"/>
    <cellStyle name="_2008 RS sales plan (08 &amp; 08.5)_Nov.1_summary sheet 2007_2008 _Dec_summary sheet 2007_2008 _Dec_080215_For 1st FO" xfId="1739" xr:uid="{00000000-0005-0000-0000-0000EF060000}"/>
    <cellStyle name="_2008 RS sales plan (08 &amp; 08.5)_Nov.1_summary sheet 2007_2008 _Dec_summary sheet 2007_2008 _Dec_080215_For 1st FO_Final3" xfId="1740" xr:uid="{00000000-0005-0000-0000-0000F0060000}"/>
    <cellStyle name="_2008 RS sales plan (08 &amp; 08.5)_Nov.1_summary sheet 2007_2008 _Dec_summary sheet 2007_2008 _Dec_080215_For 1st FO_updated" xfId="1741" xr:uid="{00000000-0005-0000-0000-0000F1060000}"/>
    <cellStyle name="_2008 RS sales plan (08 &amp; 08.5)_Nov.1_summary sheet 2007_2008 _Dec_summary sheet 2007_2008 _Dec_080703 2008 Summary Sheet _JCC vs Actual" xfId="1742" xr:uid="{00000000-0005-0000-0000-0000F2060000}"/>
    <cellStyle name="_2008 RS sales plan (08 &amp; 08.5)_Nov.1_summary sheet 2007_2008 _Dec_summary sheet 2007_2008 _Dec_080703 2008 Summary Sheet _JCC vs Actual rev" xfId="1743" xr:uid="{00000000-0005-0000-0000-0000F3060000}"/>
    <cellStyle name="_2008 RS sales plan (08 &amp; 08.5)_Nov.1_summary sheet 2007_2008 _Dec_summary sheet 2007_2008 _Dec_080710 2009 Summary Sheet" xfId="1744" xr:uid="{00000000-0005-0000-0000-0000F4060000}"/>
    <cellStyle name="_2008 RS sales plan (08 &amp; 08.5)_Nov.1_summary sheet 2007_2008 _Dec_summary sheet 2007_2008 _Dec_080710 The Final Summary Sheet" xfId="1745" xr:uid="{00000000-0005-0000-0000-0000F5060000}"/>
    <cellStyle name="_2008 RS sales plan (08 &amp; 08.5)_Nov.1_summary sheet 2007_2008 _Dec_summary sheet 2007_2008 _Dec_2007 RS_Model Mix_Dec'07xls_Actual" xfId="1746" xr:uid="{00000000-0005-0000-0000-0000F6060000}"/>
    <cellStyle name="_2008 RS sales plan (08 &amp; 08.5)_Nov.1_summary sheet 2007_2008 _Dec_summary sheet 2007_2008 _Dec_2007 RS_Model Mix_Dec'07xls_Actual_2008 Inventory Ratio_TF_actual" xfId="1747" xr:uid="{00000000-0005-0000-0000-0000F7060000}"/>
    <cellStyle name="_2008 RS sales plan (08 &amp; 08.5)_Nov.1_summary sheet 2007_2008 _Dec_summary sheet 2007_2008 _Dec_2007-2008 RS_Model Mix_DNet" xfId="1748" xr:uid="{00000000-0005-0000-0000-0000F8060000}"/>
    <cellStyle name="_2008 RS sales plan (08 &amp; 08.5)_Nov.1_summary sheet 2007_2008 _Dec_summary sheet 2007_2008 _Dec_2008 Summary Sheet _JCC vs Actual" xfId="1749" xr:uid="{00000000-0005-0000-0000-0000F9060000}"/>
    <cellStyle name="_2008 RS sales plan (08 &amp; 08.5)_Nov.1_summary sheet 2007_2008 _Dec_summary sheet 2007_2008 _Dec_2008 Summary Sheet _JCC vs Actual_000608" xfId="1750" xr:uid="{00000000-0005-0000-0000-0000FA060000}"/>
    <cellStyle name="_2008 RS sales plan (08 &amp; 08.5)_Nov.1_summary sheet 2007_2008 _Dec_summary sheet 2007_2008 _Dec_2008 Summary Sheet _JCC vs Actual_080608" xfId="1751" xr:uid="{00000000-0005-0000-0000-0000FB060000}"/>
    <cellStyle name="_2008 RS sales plan (08 &amp; 08.5)_Nov.1_summary sheet 2007_2008 _Dec_summary sheet 2007_2008 _Dec_2008 Summary Sheet _JCC vs Actual_after FO" xfId="1752" xr:uid="{00000000-0005-0000-0000-0000FC060000}"/>
    <cellStyle name="_2008 RS sales plan (08 &amp; 08.5)_Nov.1_summary sheet 2007_2008 _Dec_summary sheet 2007_2008 _Dec_2008 Summary Sheet _JCC vs Actual_FO" xfId="1753" xr:uid="{00000000-0005-0000-0000-0000FD060000}"/>
    <cellStyle name="_2008 RS sales plan (08 &amp; 08.5)_Nov.1_summary sheet 2007_2008 _Dec_summary sheet 2007_2008 _Dec_2008 Summary sheet_080410_1st FO(in the meeting)_revised" xfId="1754" xr:uid="{00000000-0005-0000-0000-0000FE060000}"/>
    <cellStyle name="_2008 RS sales plan (08 &amp; 08.5)_Nov.1_summary sheet 2007_2008 _Dec_summary sheet 2007_2008 _Dec_2008 Summary sheet_Actual base" xfId="1755" xr:uid="{00000000-0005-0000-0000-0000FF060000}"/>
    <cellStyle name="_2008 RS sales plan (08 &amp; 08.5)_Nov.1_summary sheet 2007_2008 _Dec_summary sheet 2007_2008 _Dec_2nd FO_Dec.28" xfId="1756" xr:uid="{00000000-0005-0000-0000-000000070000}"/>
    <cellStyle name="_2008 RS sales plan (08 &amp; 08.5)_Nov.1_summary sheet 2007_2008 _Dec_summary sheet 2007_2008 _Dec_For 1st FO_Jan'08" xfId="1757" xr:uid="{00000000-0005-0000-0000-000001070000}"/>
    <cellStyle name="_2008 RS sales plan (08 &amp; 08.5)_Nov.1_summary sheet 2007_2008 _Dec_summary sheet 2007_2008 _Dec_Inventory for Budget_2008-2009 Updated" xfId="1758" xr:uid="{00000000-0005-0000-0000-000002070000}"/>
    <cellStyle name="_2008 RS sales plan (08 &amp; 08.5)_Nov.1_summary sheet 2007_2008 _Dec_summary sheet 2007_2008 _Dec_Inventory for Budget_2008-2009 Updated_2008 Inventory Ratio_TF_actual" xfId="1759" xr:uid="{00000000-0005-0000-0000-000003070000}"/>
    <cellStyle name="_2008 RS sales plan (08 &amp; 08.5)_Nov.1_summary sheet 2007_2008 _Dec_summary sheet 2007_2008 _Dec_Model Mix 2008-2009 for budget_Dec.17" xfId="1760" xr:uid="{00000000-0005-0000-0000-000004070000}"/>
    <cellStyle name="_2008 RS sales plan (08 &amp; 08.5)_Nov.1_summary sheet 2007_2008 _Dec_summary sheet 2007_2008 _Dec_Model Mix 2008-2009 for budget_Dec.17_2008 Inventory Ratio_TF_actual" xfId="1761" xr:uid="{00000000-0005-0000-0000-000005070000}"/>
    <cellStyle name="_2008 RS sales plan (08 &amp; 08.5)_Nov.1_summary sheet 2007_2008 _Dec_summary sheet 2007_2008 _Dec_Retail Sale Forcast. Jan-2008 _Jan4" xfId="1762" xr:uid="{00000000-0005-0000-0000-000006070000}"/>
    <cellStyle name="_2008 RS sales plan (08 &amp; 08.5)_Nov.1_summary sheet 2007_2008 _Dec_summary sheet 2007_2008 _Dec_Retail Sale Forcast. Jan-2008 _Jan4_2008 Inventory Ratio_TF_actual" xfId="1763" xr:uid="{00000000-0005-0000-0000-000007070000}"/>
    <cellStyle name="_2008 RS sales plan (08 &amp; 08.5)_Nov.1_summary sheet 2007_2008 _Dec_summary sheet 2007_2008 _Dec_summary sheet 2007_2008 _Dec_2" xfId="1764" xr:uid="{00000000-0005-0000-0000-000008070000}"/>
    <cellStyle name="_2008 RS sales plan (08 &amp; 08.5)_Nov.1_summary sheet 2007_2008 _Dec_summary sheet 2007_2008 _Dec_summary sheet 2007_2008 _Dec_2_2008 Inventory Ratio_TF_actual" xfId="1765" xr:uid="{00000000-0005-0000-0000-000009070000}"/>
    <cellStyle name="_2008 RS sales plan (08 &amp; 08.5)_Nov.1_summary sheet 2007_2008 _Dec_summary sheet 2007_2008 _Dec_summary sheet 2007_2008 _Dec14_revised1" xfId="1766" xr:uid="{00000000-0005-0000-0000-00000A070000}"/>
    <cellStyle name="_2008 RS sales plan (08 &amp; 08.5)_Nov.1_summary sheet 2007_2008 _Dec_summary sheet 2007_2008 _Dec_summary sheet 2007_2008 _Dec14_revised1_2008 Inventory Ratio_TF_actual" xfId="1767" xr:uid="{00000000-0005-0000-0000-00000B070000}"/>
    <cellStyle name="_2008 RS sales plan (08 &amp; 08.5)_Nov.1_summary sheet 2007_2008 _Dec_summary sheet 2007_2008 _Dec_summary sheet 2007_2008 _Dec14_revised2" xfId="1768" xr:uid="{00000000-0005-0000-0000-00000C070000}"/>
    <cellStyle name="_2008 RS sales plan (08 &amp; 08.5)_Nov.1_summary sheet 2007_2008 _Dec_summary sheet 2007_2008 _Dec_summary sheet 2007_2008 _Dec14_revised2_2008 Inventory Ratio_TF_actual" xfId="1769" xr:uid="{00000000-0005-0000-0000-00000D070000}"/>
    <cellStyle name="_2008 RS sales plan (08 &amp; 08.5)_Nov.1_summary sheet 2007_2008 _Dec_summary sheet 2007_2008 _Dec_Summary sheet_for FO_JCC Base" xfId="1770" xr:uid="{00000000-0005-0000-0000-00000E070000}"/>
    <cellStyle name="_2008 RS sales plan (08 &amp; 08.5)_Nov.1_summary sheet 2007_2008 _Dec_summary sheet 2007_2008 _Dec_TYT vs ISZ_Mar11’08" xfId="1771" xr:uid="{00000000-0005-0000-0000-00000F070000}"/>
    <cellStyle name="_2008 RS sales plan (08 &amp; 08.5)_Nov.1_summary sheet 2007_2008 _Dec14_revised1" xfId="1772" xr:uid="{00000000-0005-0000-0000-000010070000}"/>
    <cellStyle name="_2008 RS sales plan (08 &amp; 08.5)_Nov.1_summary sheet 2007_2008 _Dec14_revised1_2008 Inventory Ratio_TF_actual" xfId="1773" xr:uid="{00000000-0005-0000-0000-000011070000}"/>
    <cellStyle name="_2008 RS sales plan (08 &amp; 08.5)_Nov.1_summary sheet 2007_2008 _Dec14_revised2" xfId="1774" xr:uid="{00000000-0005-0000-0000-000012070000}"/>
    <cellStyle name="_2008 RS sales plan (08 &amp; 08.5)_Nov.1_summary sheet 2007_2008 _Dec14_revised2_2008 Inventory Ratio_TF_actual" xfId="1775" xr:uid="{00000000-0005-0000-0000-000013070000}"/>
    <cellStyle name="_2008 RS sales plan (08 &amp; 08.5)_Nov.1_Summary sheet_for FO_JCC Base" xfId="1776" xr:uid="{00000000-0005-0000-0000-000014070000}"/>
    <cellStyle name="_2008 RS sales plan (08 &amp; 08.5)_Nov.1_TYT vs ISZ_Mar11’08" xfId="1777" xr:uid="{00000000-0005-0000-0000-000015070000}"/>
    <cellStyle name="_2008 RS sales plan (08 &amp; 08.5)_Oct.10" xfId="1778" xr:uid="{00000000-0005-0000-0000-000016070000}"/>
    <cellStyle name="_2008 RS sales plan (08 &amp; 08.5)_Oct.10_~6321223" xfId="1779" xr:uid="{00000000-0005-0000-0000-000017070000}"/>
    <cellStyle name="_2008 RS sales plan (08 &amp; 08.5)_Oct.10_080215_For 1st FO" xfId="1780" xr:uid="{00000000-0005-0000-0000-000018070000}"/>
    <cellStyle name="_2008 RS sales plan (08 &amp; 08.5)_Oct.10_080215_For 1st FO_Final3" xfId="1781" xr:uid="{00000000-0005-0000-0000-000019070000}"/>
    <cellStyle name="_2008 RS sales plan (08 &amp; 08.5)_Oct.10_080215_For 1st FO_updated" xfId="1782" xr:uid="{00000000-0005-0000-0000-00001A070000}"/>
    <cellStyle name="_2008 RS sales plan (08 &amp; 08.5)_Oct.10_080703 2008 Summary Sheet _JCC vs Actual" xfId="1783" xr:uid="{00000000-0005-0000-0000-00001B070000}"/>
    <cellStyle name="_2008 RS sales plan (08 &amp; 08.5)_Oct.10_080703 2008 Summary Sheet _JCC vs Actual rev" xfId="1784" xr:uid="{00000000-0005-0000-0000-00001C070000}"/>
    <cellStyle name="_2008 RS sales plan (08 &amp; 08.5)_Oct.10_080710 2009 Summary Sheet" xfId="1785" xr:uid="{00000000-0005-0000-0000-00001D070000}"/>
    <cellStyle name="_2008 RS sales plan (08 &amp; 08.5)_Oct.10_080710 The Final Summary Sheet" xfId="1786" xr:uid="{00000000-0005-0000-0000-00001E070000}"/>
    <cellStyle name="_2008 RS sales plan (08 &amp; 08.5)_Oct.10_2007 RS_Model Mix_Dec'07xls_Actual" xfId="1787" xr:uid="{00000000-0005-0000-0000-00001F070000}"/>
    <cellStyle name="_2008 RS sales plan (08 &amp; 08.5)_Oct.10_2007 RS_Model Mix_Dec'07xls_Actual_2008 Inventory Ratio_TF_actual" xfId="1788" xr:uid="{00000000-0005-0000-0000-000020070000}"/>
    <cellStyle name="_2008 RS sales plan (08 &amp; 08.5)_Oct.10_2007-2008 RS_Model Mix_DNet" xfId="1789" xr:uid="{00000000-0005-0000-0000-000021070000}"/>
    <cellStyle name="_2008 RS sales plan (08 &amp; 08.5)_Oct.10_2008 Summary Sheet _JCC vs Actual" xfId="1790" xr:uid="{00000000-0005-0000-0000-000022070000}"/>
    <cellStyle name="_2008 RS sales plan (08 &amp; 08.5)_Oct.10_2008 Summary Sheet _JCC vs Actual_000608" xfId="1791" xr:uid="{00000000-0005-0000-0000-000023070000}"/>
    <cellStyle name="_2008 RS sales plan (08 &amp; 08.5)_Oct.10_2008 Summary Sheet _JCC vs Actual_080608" xfId="1792" xr:uid="{00000000-0005-0000-0000-000024070000}"/>
    <cellStyle name="_2008 RS sales plan (08 &amp; 08.5)_Oct.10_2008 Summary Sheet _JCC vs Actual_after FO" xfId="1793" xr:uid="{00000000-0005-0000-0000-000025070000}"/>
    <cellStyle name="_2008 RS sales plan (08 &amp; 08.5)_Oct.10_2008 Summary Sheet _JCC vs Actual_FO" xfId="1794" xr:uid="{00000000-0005-0000-0000-000026070000}"/>
    <cellStyle name="_2008 RS sales plan (08 &amp; 08.5)_Oct.10_2008 Summary sheet_080410_1st FO(in the meeting)_revised" xfId="1795" xr:uid="{00000000-0005-0000-0000-000027070000}"/>
    <cellStyle name="_2008 RS sales plan (08 &amp; 08.5)_Oct.10_2008 Summary sheet_Actual base" xfId="1796" xr:uid="{00000000-0005-0000-0000-000028070000}"/>
    <cellStyle name="_2008 RS sales plan (08 &amp; 08.5)_Oct.10_2nd FO_Dec.28" xfId="1797" xr:uid="{00000000-0005-0000-0000-000029070000}"/>
    <cellStyle name="_2008 RS sales plan (08 &amp; 08.5)_Oct.10_For 1st FO_Jan'08" xfId="1798" xr:uid="{00000000-0005-0000-0000-00002A070000}"/>
    <cellStyle name="_2008 RS sales plan (08 &amp; 08.5)_Oct.10_Inventory for Budget_2008-2009 Updated" xfId="1799" xr:uid="{00000000-0005-0000-0000-00002B070000}"/>
    <cellStyle name="_2008 RS sales plan (08 &amp; 08.5)_Oct.10_Inventory for Budget_2008-2009 Updated_2008 Inventory Ratio_TF_actual" xfId="1800" xr:uid="{00000000-0005-0000-0000-00002C070000}"/>
    <cellStyle name="_2008 RS sales plan (08 &amp; 08.5)_Oct.10_Model Mix 2008-2009 for budget_Dec.17" xfId="1801" xr:uid="{00000000-0005-0000-0000-00002D070000}"/>
    <cellStyle name="_2008 RS sales plan (08 &amp; 08.5)_Oct.10_Model Mix 2008-2009 for budget_Dec.17_2008 Inventory Ratio_TF_actual" xfId="1802" xr:uid="{00000000-0005-0000-0000-00002E070000}"/>
    <cellStyle name="_2008 RS sales plan (08 &amp; 08.5)_Oct.10_Retail Sale Forcast. Jan-2008 _Jan4" xfId="1803" xr:uid="{00000000-0005-0000-0000-00002F070000}"/>
    <cellStyle name="_2008 RS sales plan (08 &amp; 08.5)_Oct.10_Retail Sale Forcast. Jan-2008 _Jan4_2008 Inventory Ratio_TF_actual" xfId="1804" xr:uid="{00000000-0005-0000-0000-000030070000}"/>
    <cellStyle name="_2008 RS sales plan (08 &amp; 08.5)_Oct.10_summary sheet 2007_2008 (for actual order)" xfId="1805" xr:uid="{00000000-0005-0000-0000-000031070000}"/>
    <cellStyle name="_2008 RS sales plan (08 &amp; 08.5)_Oct.10_summary sheet 2007_2008 (for actual order)_2008 Inventory Ratio_TF_actual" xfId="1806" xr:uid="{00000000-0005-0000-0000-000032070000}"/>
    <cellStyle name="_2008 RS sales plan (08 &amp; 08.5)_Oct.10_summary sheet 2007_2008 (for actual order)_summary sheet 2007_2008 _Dec" xfId="1807" xr:uid="{00000000-0005-0000-0000-000033070000}"/>
    <cellStyle name="_2008 RS sales plan (08 &amp; 08.5)_Oct.10_summary sheet 2007_2008 (for actual order)_summary sheet 2007_2008 _Dec_~6321223" xfId="1808" xr:uid="{00000000-0005-0000-0000-000034070000}"/>
    <cellStyle name="_2008 RS sales plan (08 &amp; 08.5)_Oct.10_summary sheet 2007_2008 (for actual order)_summary sheet 2007_2008 _Dec_080215_For 1st FO" xfId="1809" xr:uid="{00000000-0005-0000-0000-000035070000}"/>
    <cellStyle name="_2008 RS sales plan (08 &amp; 08.5)_Oct.10_summary sheet 2007_2008 (for actual order)_summary sheet 2007_2008 _Dec_080215_For 1st FO_Final3" xfId="1810" xr:uid="{00000000-0005-0000-0000-000036070000}"/>
    <cellStyle name="_2008 RS sales plan (08 &amp; 08.5)_Oct.10_summary sheet 2007_2008 (for actual order)_summary sheet 2007_2008 _Dec_080215_For 1st FO_updated" xfId="1811" xr:uid="{00000000-0005-0000-0000-000037070000}"/>
    <cellStyle name="_2008 RS sales plan (08 &amp; 08.5)_Oct.10_summary sheet 2007_2008 (for actual order)_summary sheet 2007_2008 _Dec_080703 2008 Summary Sheet _JCC vs Actual" xfId="1812" xr:uid="{00000000-0005-0000-0000-000038070000}"/>
    <cellStyle name="_2008 RS sales plan (08 &amp; 08.5)_Oct.10_summary sheet 2007_2008 (for actual order)_summary sheet 2007_2008 _Dec_080703 2008 Summary Sheet _JCC vs Actual rev" xfId="1813" xr:uid="{00000000-0005-0000-0000-000039070000}"/>
    <cellStyle name="_2008 RS sales plan (08 &amp; 08.5)_Oct.10_summary sheet 2007_2008 (for actual order)_summary sheet 2007_2008 _Dec_080710 2009 Summary Sheet" xfId="1814" xr:uid="{00000000-0005-0000-0000-00003A070000}"/>
    <cellStyle name="_2008 RS sales plan (08 &amp; 08.5)_Oct.10_summary sheet 2007_2008 (for actual order)_summary sheet 2007_2008 _Dec_080710 The Final Summary Sheet" xfId="1815" xr:uid="{00000000-0005-0000-0000-00003B070000}"/>
    <cellStyle name="_2008 RS sales plan (08 &amp; 08.5)_Oct.10_summary sheet 2007_2008 (for actual order)_summary sheet 2007_2008 _Dec_2007 RS_Model Mix_Dec'07xls_Actual" xfId="1816" xr:uid="{00000000-0005-0000-0000-00003C070000}"/>
    <cellStyle name="_2008 RS sales plan (08 &amp; 08.5)_Oct.10_summary sheet 2007_2008 (for actual order)_summary sheet 2007_2008 _Dec_2007 RS_Model Mix_Dec'07xls_Actual_2008 Inventory Ratio_TF_actual" xfId="1817" xr:uid="{00000000-0005-0000-0000-00003D070000}"/>
    <cellStyle name="_2008 RS sales plan (08 &amp; 08.5)_Oct.10_summary sheet 2007_2008 (for actual order)_summary sheet 2007_2008 _Dec_2007-2008 RS_Model Mix_DNet" xfId="1818" xr:uid="{00000000-0005-0000-0000-00003E070000}"/>
    <cellStyle name="_2008 RS sales plan (08 &amp; 08.5)_Oct.10_summary sheet 2007_2008 (for actual order)_summary sheet 2007_2008 _Dec_2008 Summary Sheet _JCC vs Actual" xfId="1819" xr:uid="{00000000-0005-0000-0000-00003F070000}"/>
    <cellStyle name="_2008 RS sales plan (08 &amp; 08.5)_Oct.10_summary sheet 2007_2008 (for actual order)_summary sheet 2007_2008 _Dec_2008 Summary Sheet _JCC vs Actual_000608" xfId="1820" xr:uid="{00000000-0005-0000-0000-000040070000}"/>
    <cellStyle name="_2008 RS sales plan (08 &amp; 08.5)_Oct.10_summary sheet 2007_2008 (for actual order)_summary sheet 2007_2008 _Dec_2008 Summary Sheet _JCC vs Actual_080608" xfId="1821" xr:uid="{00000000-0005-0000-0000-000041070000}"/>
    <cellStyle name="_2008 RS sales plan (08 &amp; 08.5)_Oct.10_summary sheet 2007_2008 (for actual order)_summary sheet 2007_2008 _Dec_2008 Summary Sheet _JCC vs Actual_after FO" xfId="1822" xr:uid="{00000000-0005-0000-0000-000042070000}"/>
    <cellStyle name="_2008 RS sales plan (08 &amp; 08.5)_Oct.10_summary sheet 2007_2008 (for actual order)_summary sheet 2007_2008 _Dec_2008 Summary Sheet _JCC vs Actual_FO" xfId="1823" xr:uid="{00000000-0005-0000-0000-000043070000}"/>
    <cellStyle name="_2008 RS sales plan (08 &amp; 08.5)_Oct.10_summary sheet 2007_2008 (for actual order)_summary sheet 2007_2008 _Dec_2008 Summary sheet_080410_1st FO(in the meeting)_revised" xfId="1824" xr:uid="{00000000-0005-0000-0000-000044070000}"/>
    <cellStyle name="_2008 RS sales plan (08 &amp; 08.5)_Oct.10_summary sheet 2007_2008 (for actual order)_summary sheet 2007_2008 _Dec_2008 Summary sheet_Actual base" xfId="1825" xr:uid="{00000000-0005-0000-0000-000045070000}"/>
    <cellStyle name="_2008 RS sales plan (08 &amp; 08.5)_Oct.10_summary sheet 2007_2008 (for actual order)_summary sheet 2007_2008 _Dec_2nd FO_Dec.28" xfId="1826" xr:uid="{00000000-0005-0000-0000-000046070000}"/>
    <cellStyle name="_2008 RS sales plan (08 &amp; 08.5)_Oct.10_summary sheet 2007_2008 (for actual order)_summary sheet 2007_2008 _Dec_For 1st FO_Jan'08" xfId="1827" xr:uid="{00000000-0005-0000-0000-000047070000}"/>
    <cellStyle name="_2008 RS sales plan (08 &amp; 08.5)_Oct.10_summary sheet 2007_2008 (for actual order)_summary sheet 2007_2008 _Dec_Inventory for Budget_2008-2009 Updated" xfId="1828" xr:uid="{00000000-0005-0000-0000-000048070000}"/>
    <cellStyle name="_2008 RS sales plan (08 &amp; 08.5)_Oct.10_summary sheet 2007_2008 (for actual order)_summary sheet 2007_2008 _Dec_Inventory for Budget_2008-2009 Updated_2008 Inventory Ratio_TF_actual" xfId="1829" xr:uid="{00000000-0005-0000-0000-000049070000}"/>
    <cellStyle name="_2008 RS sales plan (08 &amp; 08.5)_Oct.10_summary sheet 2007_2008 (for actual order)_summary sheet 2007_2008 _Dec_Model Mix 2008-2009 for budget_Dec.17" xfId="1830" xr:uid="{00000000-0005-0000-0000-00004A070000}"/>
    <cellStyle name="_2008 RS sales plan (08 &amp; 08.5)_Oct.10_summary sheet 2007_2008 (for actual order)_summary sheet 2007_2008 _Dec_Model Mix 2008-2009 for budget_Dec.17_2008 Inventory Ratio_TF_actual" xfId="1831" xr:uid="{00000000-0005-0000-0000-00004B070000}"/>
    <cellStyle name="_2008 RS sales plan (08 &amp; 08.5)_Oct.10_summary sheet 2007_2008 (for actual order)_summary sheet 2007_2008 _Dec_Retail Sale Forcast. Jan-2008 _Jan4" xfId="1832" xr:uid="{00000000-0005-0000-0000-00004C070000}"/>
    <cellStyle name="_2008 RS sales plan (08 &amp; 08.5)_Oct.10_summary sheet 2007_2008 (for actual order)_summary sheet 2007_2008 _Dec_Retail Sale Forcast. Jan-2008 _Jan4_2008 Inventory Ratio_TF_actual" xfId="1833" xr:uid="{00000000-0005-0000-0000-00004D070000}"/>
    <cellStyle name="_2008 RS sales plan (08 &amp; 08.5)_Oct.10_summary sheet 2007_2008 (for actual order)_summary sheet 2007_2008 _Dec_summary sheet 2007_2008 _Dec_2" xfId="1834" xr:uid="{00000000-0005-0000-0000-00004E070000}"/>
    <cellStyle name="_2008 RS sales plan (08 &amp; 08.5)_Oct.10_summary sheet 2007_2008 (for actual order)_summary sheet 2007_2008 _Dec_summary sheet 2007_2008 _Dec_2_2008 Inventory Ratio_TF_actual" xfId="1835" xr:uid="{00000000-0005-0000-0000-00004F070000}"/>
    <cellStyle name="_2008 RS sales plan (08 &amp; 08.5)_Oct.10_summary sheet 2007_2008 (for actual order)_summary sheet 2007_2008 _Dec_summary sheet 2007_2008 _Dec14_revised1" xfId="1836" xr:uid="{00000000-0005-0000-0000-000050070000}"/>
    <cellStyle name="_2008 RS sales plan (08 &amp; 08.5)_Oct.10_summary sheet 2007_2008 (for actual order)_summary sheet 2007_2008 _Dec_summary sheet 2007_2008 _Dec14_revised1_2008 Inventory Ratio_TF_actual" xfId="1837" xr:uid="{00000000-0005-0000-0000-000051070000}"/>
    <cellStyle name="_2008 RS sales plan (08 &amp; 08.5)_Oct.10_summary sheet 2007_2008 (for actual order)_summary sheet 2007_2008 _Dec_summary sheet 2007_2008 _Dec14_revised2" xfId="1838" xr:uid="{00000000-0005-0000-0000-000052070000}"/>
    <cellStyle name="_2008 RS sales plan (08 &amp; 08.5)_Oct.10_summary sheet 2007_2008 (for actual order)_summary sheet 2007_2008 _Dec_summary sheet 2007_2008 _Dec14_revised2_2008 Inventory Ratio_TF_actual" xfId="1839" xr:uid="{00000000-0005-0000-0000-000053070000}"/>
    <cellStyle name="_2008 RS sales plan (08 &amp; 08.5)_Oct.10_summary sheet 2007_2008 (for actual order)_summary sheet 2007_2008 _Dec_Summary sheet_for FO_JCC Base" xfId="1840" xr:uid="{00000000-0005-0000-0000-000054070000}"/>
    <cellStyle name="_2008 RS sales plan (08 &amp; 08.5)_Oct.10_summary sheet 2007_2008 (for actual order)_summary sheet 2007_2008 _Dec_TYT vs ISZ_Mar11’08" xfId="1841" xr:uid="{00000000-0005-0000-0000-000055070000}"/>
    <cellStyle name="_2008 RS sales plan (08 &amp; 08.5)_Oct.10_summary sheet 2007_2008 _Dec" xfId="1842" xr:uid="{00000000-0005-0000-0000-000056070000}"/>
    <cellStyle name="_2008 RS sales plan (08 &amp; 08.5)_Oct.10_summary sheet 2007_2008 _Dec_2" xfId="1843" xr:uid="{00000000-0005-0000-0000-000057070000}"/>
    <cellStyle name="_2008 RS sales plan (08 &amp; 08.5)_Oct.10_summary sheet 2007_2008 _Dec_2_2008 Inventory Ratio_TF_actual" xfId="1844" xr:uid="{00000000-0005-0000-0000-000058070000}"/>
    <cellStyle name="_2008 RS sales plan (08 &amp; 08.5)_Oct.10_summary sheet 2007_2008 _Dec_2008 Inventory Ratio_TF_actual" xfId="1845" xr:uid="{00000000-0005-0000-0000-000059070000}"/>
    <cellStyle name="_2008 RS sales plan (08 &amp; 08.5)_Oct.10_summary sheet 2007_2008 _Dec_summary sheet 2007_2008 _Dec" xfId="1846" xr:uid="{00000000-0005-0000-0000-00005A070000}"/>
    <cellStyle name="_2008 RS sales plan (08 &amp; 08.5)_Oct.10_summary sheet 2007_2008 _Dec_summary sheet 2007_2008 _Dec_~6321223" xfId="1847" xr:uid="{00000000-0005-0000-0000-00005B070000}"/>
    <cellStyle name="_2008 RS sales plan (08 &amp; 08.5)_Oct.10_summary sheet 2007_2008 _Dec_summary sheet 2007_2008 _Dec_080215_For 1st FO" xfId="1848" xr:uid="{00000000-0005-0000-0000-00005C070000}"/>
    <cellStyle name="_2008 RS sales plan (08 &amp; 08.5)_Oct.10_summary sheet 2007_2008 _Dec_summary sheet 2007_2008 _Dec_080215_For 1st FO_Final3" xfId="1849" xr:uid="{00000000-0005-0000-0000-00005D070000}"/>
    <cellStyle name="_2008 RS sales plan (08 &amp; 08.5)_Oct.10_summary sheet 2007_2008 _Dec_summary sheet 2007_2008 _Dec_080215_For 1st FO_updated" xfId="1850" xr:uid="{00000000-0005-0000-0000-00005E070000}"/>
    <cellStyle name="_2008 RS sales plan (08 &amp; 08.5)_Oct.10_summary sheet 2007_2008 _Dec_summary sheet 2007_2008 _Dec_080703 2008 Summary Sheet _JCC vs Actual" xfId="1851" xr:uid="{00000000-0005-0000-0000-00005F070000}"/>
    <cellStyle name="_2008 RS sales plan (08 &amp; 08.5)_Oct.10_summary sheet 2007_2008 _Dec_summary sheet 2007_2008 _Dec_080703 2008 Summary Sheet _JCC vs Actual rev" xfId="1852" xr:uid="{00000000-0005-0000-0000-000060070000}"/>
    <cellStyle name="_2008 RS sales plan (08 &amp; 08.5)_Oct.10_summary sheet 2007_2008 _Dec_summary sheet 2007_2008 _Dec_080710 2009 Summary Sheet" xfId="1853" xr:uid="{00000000-0005-0000-0000-000061070000}"/>
    <cellStyle name="_2008 RS sales plan (08 &amp; 08.5)_Oct.10_summary sheet 2007_2008 _Dec_summary sheet 2007_2008 _Dec_080710 The Final Summary Sheet" xfId="1854" xr:uid="{00000000-0005-0000-0000-000062070000}"/>
    <cellStyle name="_2008 RS sales plan (08 &amp; 08.5)_Oct.10_summary sheet 2007_2008 _Dec_summary sheet 2007_2008 _Dec_2007 RS_Model Mix_Dec'07xls_Actual" xfId="1855" xr:uid="{00000000-0005-0000-0000-000063070000}"/>
    <cellStyle name="_2008 RS sales plan (08 &amp; 08.5)_Oct.10_summary sheet 2007_2008 _Dec_summary sheet 2007_2008 _Dec_2007 RS_Model Mix_Dec'07xls_Actual_2008 Inventory Ratio_TF_actual" xfId="1856" xr:uid="{00000000-0005-0000-0000-000064070000}"/>
    <cellStyle name="_2008 RS sales plan (08 &amp; 08.5)_Oct.10_summary sheet 2007_2008 _Dec_summary sheet 2007_2008 _Dec_2007-2008 RS_Model Mix_DNet" xfId="1857" xr:uid="{00000000-0005-0000-0000-000065070000}"/>
    <cellStyle name="_2008 RS sales plan (08 &amp; 08.5)_Oct.10_summary sheet 2007_2008 _Dec_summary sheet 2007_2008 _Dec_2008 Summary Sheet _JCC vs Actual" xfId="1858" xr:uid="{00000000-0005-0000-0000-000066070000}"/>
    <cellStyle name="_2008 RS sales plan (08 &amp; 08.5)_Oct.10_summary sheet 2007_2008 _Dec_summary sheet 2007_2008 _Dec_2008 Summary Sheet _JCC vs Actual_000608" xfId="1859" xr:uid="{00000000-0005-0000-0000-000067070000}"/>
    <cellStyle name="_2008 RS sales plan (08 &amp; 08.5)_Oct.10_summary sheet 2007_2008 _Dec_summary sheet 2007_2008 _Dec_2008 Summary Sheet _JCC vs Actual_080608" xfId="1860" xr:uid="{00000000-0005-0000-0000-000068070000}"/>
    <cellStyle name="_2008 RS sales plan (08 &amp; 08.5)_Oct.10_summary sheet 2007_2008 _Dec_summary sheet 2007_2008 _Dec_2008 Summary Sheet _JCC vs Actual_after FO" xfId="1861" xr:uid="{00000000-0005-0000-0000-000069070000}"/>
    <cellStyle name="_2008 RS sales plan (08 &amp; 08.5)_Oct.10_summary sheet 2007_2008 _Dec_summary sheet 2007_2008 _Dec_2008 Summary Sheet _JCC vs Actual_FO" xfId="1862" xr:uid="{00000000-0005-0000-0000-00006A070000}"/>
    <cellStyle name="_2008 RS sales plan (08 &amp; 08.5)_Oct.10_summary sheet 2007_2008 _Dec_summary sheet 2007_2008 _Dec_2008 Summary sheet_080410_1st FO(in the meeting)_revised" xfId="1863" xr:uid="{00000000-0005-0000-0000-00006B070000}"/>
    <cellStyle name="_2008 RS sales plan (08 &amp; 08.5)_Oct.10_summary sheet 2007_2008 _Dec_summary sheet 2007_2008 _Dec_2008 Summary sheet_Actual base" xfId="1864" xr:uid="{00000000-0005-0000-0000-00006C070000}"/>
    <cellStyle name="_2008 RS sales plan (08 &amp; 08.5)_Oct.10_summary sheet 2007_2008 _Dec_summary sheet 2007_2008 _Dec_2nd FO_Dec.28" xfId="1865" xr:uid="{00000000-0005-0000-0000-00006D070000}"/>
    <cellStyle name="_2008 RS sales plan (08 &amp; 08.5)_Oct.10_summary sheet 2007_2008 _Dec_summary sheet 2007_2008 _Dec_For 1st FO_Jan'08" xfId="1866" xr:uid="{00000000-0005-0000-0000-00006E070000}"/>
    <cellStyle name="_2008 RS sales plan (08 &amp; 08.5)_Oct.10_summary sheet 2007_2008 _Dec_summary sheet 2007_2008 _Dec_Inventory for Budget_2008-2009 Updated" xfId="1867" xr:uid="{00000000-0005-0000-0000-00006F070000}"/>
    <cellStyle name="_2008 RS sales plan (08 &amp; 08.5)_Oct.10_summary sheet 2007_2008 _Dec_summary sheet 2007_2008 _Dec_Inventory for Budget_2008-2009 Updated_2008 Inventory Ratio_TF_actual" xfId="1868" xr:uid="{00000000-0005-0000-0000-000070070000}"/>
    <cellStyle name="_2008 RS sales plan (08 &amp; 08.5)_Oct.10_summary sheet 2007_2008 _Dec_summary sheet 2007_2008 _Dec_Model Mix 2008-2009 for budget_Dec.17" xfId="1869" xr:uid="{00000000-0005-0000-0000-000071070000}"/>
    <cellStyle name="_2008 RS sales plan (08 &amp; 08.5)_Oct.10_summary sheet 2007_2008 _Dec_summary sheet 2007_2008 _Dec_Model Mix 2008-2009 for budget_Dec.17_2008 Inventory Ratio_TF_actual" xfId="1870" xr:uid="{00000000-0005-0000-0000-000072070000}"/>
    <cellStyle name="_2008 RS sales plan (08 &amp; 08.5)_Oct.10_summary sheet 2007_2008 _Dec_summary sheet 2007_2008 _Dec_Retail Sale Forcast. Jan-2008 _Jan4" xfId="1871" xr:uid="{00000000-0005-0000-0000-000073070000}"/>
    <cellStyle name="_2008 RS sales plan (08 &amp; 08.5)_Oct.10_summary sheet 2007_2008 _Dec_summary sheet 2007_2008 _Dec_Retail Sale Forcast. Jan-2008 _Jan4_2008 Inventory Ratio_TF_actual" xfId="1872" xr:uid="{00000000-0005-0000-0000-000074070000}"/>
    <cellStyle name="_2008 RS sales plan (08 &amp; 08.5)_Oct.10_summary sheet 2007_2008 _Dec_summary sheet 2007_2008 _Dec_summary sheet 2007_2008 _Dec_2" xfId="1873" xr:uid="{00000000-0005-0000-0000-000075070000}"/>
    <cellStyle name="_2008 RS sales plan (08 &amp; 08.5)_Oct.10_summary sheet 2007_2008 _Dec_summary sheet 2007_2008 _Dec_summary sheet 2007_2008 _Dec_2_2008 Inventory Ratio_TF_actual" xfId="1874" xr:uid="{00000000-0005-0000-0000-000076070000}"/>
    <cellStyle name="_2008 RS sales plan (08 &amp; 08.5)_Oct.10_summary sheet 2007_2008 _Dec_summary sheet 2007_2008 _Dec_summary sheet 2007_2008 _Dec14_revised1" xfId="1875" xr:uid="{00000000-0005-0000-0000-000077070000}"/>
    <cellStyle name="_2008 RS sales plan (08 &amp; 08.5)_Oct.10_summary sheet 2007_2008 _Dec_summary sheet 2007_2008 _Dec_summary sheet 2007_2008 _Dec14_revised1_2008 Inventory Ratio_TF_actual" xfId="1876" xr:uid="{00000000-0005-0000-0000-000078070000}"/>
    <cellStyle name="_2008 RS sales plan (08 &amp; 08.5)_Oct.10_summary sheet 2007_2008 _Dec_summary sheet 2007_2008 _Dec_summary sheet 2007_2008 _Dec14_revised2" xfId="1877" xr:uid="{00000000-0005-0000-0000-000079070000}"/>
    <cellStyle name="_2008 RS sales plan (08 &amp; 08.5)_Oct.10_summary sheet 2007_2008 _Dec_summary sheet 2007_2008 _Dec_summary sheet 2007_2008 _Dec14_revised2_2008 Inventory Ratio_TF_actual" xfId="1878" xr:uid="{00000000-0005-0000-0000-00007A070000}"/>
    <cellStyle name="_2008 RS sales plan (08 &amp; 08.5)_Oct.10_summary sheet 2007_2008 _Dec_summary sheet 2007_2008 _Dec_Summary sheet_for FO_JCC Base" xfId="1879" xr:uid="{00000000-0005-0000-0000-00007B070000}"/>
    <cellStyle name="_2008 RS sales plan (08 &amp; 08.5)_Oct.10_summary sheet 2007_2008 _Dec_summary sheet 2007_2008 _Dec_TYT vs ISZ_Mar11’08" xfId="1880" xr:uid="{00000000-0005-0000-0000-00007C070000}"/>
    <cellStyle name="_2008 RS sales plan (08 &amp; 08.5)_Oct.10_summary sheet 2007_2008 _Dec14_revised1" xfId="1881" xr:uid="{00000000-0005-0000-0000-00007D070000}"/>
    <cellStyle name="_2008 RS sales plan (08 &amp; 08.5)_Oct.10_summary sheet 2007_2008 _Dec14_revised1_2008 Inventory Ratio_TF_actual" xfId="1882" xr:uid="{00000000-0005-0000-0000-00007E070000}"/>
    <cellStyle name="_2008 RS sales plan (08 &amp; 08.5)_Oct.10_summary sheet 2007_2008 _Dec14_revised2" xfId="1883" xr:uid="{00000000-0005-0000-0000-00007F070000}"/>
    <cellStyle name="_2008 RS sales plan (08 &amp; 08.5)_Oct.10_summary sheet 2007_2008 _Dec14_revised2_2008 Inventory Ratio_TF_actual" xfId="1884" xr:uid="{00000000-0005-0000-0000-000080070000}"/>
    <cellStyle name="_2008 RS sales plan (08 &amp; 08.5)_Oct.10_Summary sheet_for FO_JCC Base" xfId="1885" xr:uid="{00000000-0005-0000-0000-000081070000}"/>
    <cellStyle name="_2008 RS sales plan (08 &amp; 08.5)_Oct.10_TYT vs ISZ_Mar11’08" xfId="1886" xr:uid="{00000000-0005-0000-0000-000082070000}"/>
    <cellStyle name="_2008 RS sales plan (Oct.8)_revised1" xfId="1887" xr:uid="{00000000-0005-0000-0000-000083070000}"/>
    <cellStyle name="_2008 RS sales plan (Oct.8)_revised1_~6321223" xfId="1888" xr:uid="{00000000-0005-0000-0000-000084070000}"/>
    <cellStyle name="_2008 RS sales plan (Oct.8)_revised1_080215_For 1st FO" xfId="1889" xr:uid="{00000000-0005-0000-0000-000085070000}"/>
    <cellStyle name="_2008 RS sales plan (Oct.8)_revised1_080215_For 1st FO_Final3" xfId="1890" xr:uid="{00000000-0005-0000-0000-000086070000}"/>
    <cellStyle name="_2008 RS sales plan (Oct.8)_revised1_080215_For 1st FO_updated" xfId="1891" xr:uid="{00000000-0005-0000-0000-000087070000}"/>
    <cellStyle name="_2008 RS sales plan (Oct.8)_revised1_080703 2008 Summary Sheet _JCC vs Actual" xfId="1892" xr:uid="{00000000-0005-0000-0000-000088070000}"/>
    <cellStyle name="_2008 RS sales plan (Oct.8)_revised1_080703 2008 Summary Sheet _JCC vs Actual rev" xfId="1893" xr:uid="{00000000-0005-0000-0000-000089070000}"/>
    <cellStyle name="_2008 RS sales plan (Oct.8)_revised1_080710 2009 Summary Sheet" xfId="1894" xr:uid="{00000000-0005-0000-0000-00008A070000}"/>
    <cellStyle name="_2008 RS sales plan (Oct.8)_revised1_080710 The Final Summary Sheet" xfId="1895" xr:uid="{00000000-0005-0000-0000-00008B070000}"/>
    <cellStyle name="_2008 RS sales plan (Oct.8)_revised1_2007 RS_Model Mix_Dec'07xls_Actual" xfId="1896" xr:uid="{00000000-0005-0000-0000-00008C070000}"/>
    <cellStyle name="_2008 RS sales plan (Oct.8)_revised1_2007 RS_Model Mix_Dec'07xls_Actual_2008 Inventory Ratio_TF_actual" xfId="1897" xr:uid="{00000000-0005-0000-0000-00008D070000}"/>
    <cellStyle name="_2008 RS sales plan (Oct.8)_revised1_2007-2008 RS_Model Mix_DNet" xfId="1898" xr:uid="{00000000-0005-0000-0000-00008E070000}"/>
    <cellStyle name="_2008 RS sales plan (Oct.8)_revised1_2008 Summary Sheet _JCC vs Actual" xfId="1899" xr:uid="{00000000-0005-0000-0000-00008F070000}"/>
    <cellStyle name="_2008 RS sales plan (Oct.8)_revised1_2008 Summary Sheet _JCC vs Actual_000608" xfId="1900" xr:uid="{00000000-0005-0000-0000-000090070000}"/>
    <cellStyle name="_2008 RS sales plan (Oct.8)_revised1_2008 Summary Sheet _JCC vs Actual_080608" xfId="1901" xr:uid="{00000000-0005-0000-0000-000091070000}"/>
    <cellStyle name="_2008 RS sales plan (Oct.8)_revised1_2008 Summary Sheet _JCC vs Actual_after FO" xfId="1902" xr:uid="{00000000-0005-0000-0000-000092070000}"/>
    <cellStyle name="_2008 RS sales plan (Oct.8)_revised1_2008 Summary Sheet _JCC vs Actual_FO" xfId="1903" xr:uid="{00000000-0005-0000-0000-000093070000}"/>
    <cellStyle name="_2008 RS sales plan (Oct.8)_revised1_2008 Summary sheet_080410_1st FO(in the meeting)_revised" xfId="1904" xr:uid="{00000000-0005-0000-0000-000094070000}"/>
    <cellStyle name="_2008 RS sales plan (Oct.8)_revised1_2008 Summary sheet_Actual base" xfId="1905" xr:uid="{00000000-0005-0000-0000-000095070000}"/>
    <cellStyle name="_2008 RS sales plan (Oct.8)_revised1_2nd FO_Dec.28" xfId="1906" xr:uid="{00000000-0005-0000-0000-000096070000}"/>
    <cellStyle name="_2008 RS sales plan (Oct.8)_revised1_For 1st FO_Jan'08" xfId="1907" xr:uid="{00000000-0005-0000-0000-000097070000}"/>
    <cellStyle name="_2008 RS sales plan (Oct.8)_revised1_Inventory for Budget_2008-2009 Updated" xfId="1908" xr:uid="{00000000-0005-0000-0000-000098070000}"/>
    <cellStyle name="_2008 RS sales plan (Oct.8)_revised1_Inventory for Budget_2008-2009 Updated_2008 Inventory Ratio_TF_actual" xfId="1909" xr:uid="{00000000-0005-0000-0000-000099070000}"/>
    <cellStyle name="_2008 RS sales plan (Oct.8)_revised1_Model Mix 2008-2009 for budget_Dec.17" xfId="1910" xr:uid="{00000000-0005-0000-0000-00009A070000}"/>
    <cellStyle name="_2008 RS sales plan (Oct.8)_revised1_Model Mix 2008-2009 for budget_Dec.17_2008 Inventory Ratio_TF_actual" xfId="1911" xr:uid="{00000000-0005-0000-0000-00009B070000}"/>
    <cellStyle name="_2008 RS sales plan (Oct.8)_revised1_Retail Sale Forcast. Jan-2008 _Jan4" xfId="1912" xr:uid="{00000000-0005-0000-0000-00009C070000}"/>
    <cellStyle name="_2008 RS sales plan (Oct.8)_revised1_Retail Sale Forcast. Jan-2008 _Jan4_2008 Inventory Ratio_TF_actual" xfId="1913" xr:uid="{00000000-0005-0000-0000-00009D070000}"/>
    <cellStyle name="_2008 RS sales plan (Oct.8)_revised1_summary sheet 2007_2008 (for actual order)" xfId="1914" xr:uid="{00000000-0005-0000-0000-00009E070000}"/>
    <cellStyle name="_2008 RS sales plan (Oct.8)_revised1_summary sheet 2007_2008 (for actual order)_2008 Inventory Ratio_TF_actual" xfId="1915" xr:uid="{00000000-0005-0000-0000-00009F070000}"/>
    <cellStyle name="_2008 RS sales plan (Oct.8)_revised1_summary sheet 2007_2008 (for actual order)_summary sheet 2007_2008 _Dec" xfId="1916" xr:uid="{00000000-0005-0000-0000-0000A0070000}"/>
    <cellStyle name="_2008 RS sales plan (Oct.8)_revised1_summary sheet 2007_2008 (for actual order)_summary sheet 2007_2008 _Dec_~6321223" xfId="1917" xr:uid="{00000000-0005-0000-0000-0000A1070000}"/>
    <cellStyle name="_2008 RS sales plan (Oct.8)_revised1_summary sheet 2007_2008 (for actual order)_summary sheet 2007_2008 _Dec_080215_For 1st FO" xfId="1918" xr:uid="{00000000-0005-0000-0000-0000A2070000}"/>
    <cellStyle name="_2008 RS sales plan (Oct.8)_revised1_summary sheet 2007_2008 (for actual order)_summary sheet 2007_2008 _Dec_080215_For 1st FO_Final3" xfId="1919" xr:uid="{00000000-0005-0000-0000-0000A3070000}"/>
    <cellStyle name="_2008 RS sales plan (Oct.8)_revised1_summary sheet 2007_2008 (for actual order)_summary sheet 2007_2008 _Dec_080215_For 1st FO_updated" xfId="1920" xr:uid="{00000000-0005-0000-0000-0000A4070000}"/>
    <cellStyle name="_2008 RS sales plan (Oct.8)_revised1_summary sheet 2007_2008 (for actual order)_summary sheet 2007_2008 _Dec_080703 2008 Summary Sheet _JCC vs Actual" xfId="1921" xr:uid="{00000000-0005-0000-0000-0000A5070000}"/>
    <cellStyle name="_2008 RS sales plan (Oct.8)_revised1_summary sheet 2007_2008 (for actual order)_summary sheet 2007_2008 _Dec_080703 2008 Summary Sheet _JCC vs Actual rev" xfId="1922" xr:uid="{00000000-0005-0000-0000-0000A6070000}"/>
    <cellStyle name="_2008 RS sales plan (Oct.8)_revised1_summary sheet 2007_2008 (for actual order)_summary sheet 2007_2008 _Dec_080710 2009 Summary Sheet" xfId="1923" xr:uid="{00000000-0005-0000-0000-0000A7070000}"/>
    <cellStyle name="_2008 RS sales plan (Oct.8)_revised1_summary sheet 2007_2008 (for actual order)_summary sheet 2007_2008 _Dec_080710 The Final Summary Sheet" xfId="1924" xr:uid="{00000000-0005-0000-0000-0000A8070000}"/>
    <cellStyle name="_2008 RS sales plan (Oct.8)_revised1_summary sheet 2007_2008 (for actual order)_summary sheet 2007_2008 _Dec_2007 RS_Model Mix_Dec'07xls_Actual" xfId="1925" xr:uid="{00000000-0005-0000-0000-0000A9070000}"/>
    <cellStyle name="_2008 RS sales plan (Oct.8)_revised1_summary sheet 2007_2008 (for actual order)_summary sheet 2007_2008 _Dec_2007 RS_Model Mix_Dec'07xls_Actual_2008 Inventory Ratio_TF_actual" xfId="1926" xr:uid="{00000000-0005-0000-0000-0000AA070000}"/>
    <cellStyle name="_2008 RS sales plan (Oct.8)_revised1_summary sheet 2007_2008 (for actual order)_summary sheet 2007_2008 _Dec_2007-2008 RS_Model Mix_DNet" xfId="1927" xr:uid="{00000000-0005-0000-0000-0000AB070000}"/>
    <cellStyle name="_2008 RS sales plan (Oct.8)_revised1_summary sheet 2007_2008 (for actual order)_summary sheet 2007_2008 _Dec_2008 Summary Sheet _JCC vs Actual" xfId="1928" xr:uid="{00000000-0005-0000-0000-0000AC070000}"/>
    <cellStyle name="_2008 RS sales plan (Oct.8)_revised1_summary sheet 2007_2008 (for actual order)_summary sheet 2007_2008 _Dec_2008 Summary Sheet _JCC vs Actual_000608" xfId="1929" xr:uid="{00000000-0005-0000-0000-0000AD070000}"/>
    <cellStyle name="_2008 RS sales plan (Oct.8)_revised1_summary sheet 2007_2008 (for actual order)_summary sheet 2007_2008 _Dec_2008 Summary Sheet _JCC vs Actual_080608" xfId="1930" xr:uid="{00000000-0005-0000-0000-0000AE070000}"/>
    <cellStyle name="_2008 RS sales plan (Oct.8)_revised1_summary sheet 2007_2008 (for actual order)_summary sheet 2007_2008 _Dec_2008 Summary Sheet _JCC vs Actual_after FO" xfId="1931" xr:uid="{00000000-0005-0000-0000-0000AF070000}"/>
    <cellStyle name="_2008 RS sales plan (Oct.8)_revised1_summary sheet 2007_2008 (for actual order)_summary sheet 2007_2008 _Dec_2008 Summary Sheet _JCC vs Actual_FO" xfId="1932" xr:uid="{00000000-0005-0000-0000-0000B0070000}"/>
    <cellStyle name="_2008 RS sales plan (Oct.8)_revised1_summary sheet 2007_2008 (for actual order)_summary sheet 2007_2008 _Dec_2008 Summary sheet_080410_1st FO(in the meeting)_revised" xfId="1933" xr:uid="{00000000-0005-0000-0000-0000B1070000}"/>
    <cellStyle name="_2008 RS sales plan (Oct.8)_revised1_summary sheet 2007_2008 (for actual order)_summary sheet 2007_2008 _Dec_2008 Summary sheet_Actual base" xfId="1934" xr:uid="{00000000-0005-0000-0000-0000B2070000}"/>
    <cellStyle name="_2008 RS sales plan (Oct.8)_revised1_summary sheet 2007_2008 (for actual order)_summary sheet 2007_2008 _Dec_2nd FO_Dec.28" xfId="1935" xr:uid="{00000000-0005-0000-0000-0000B3070000}"/>
    <cellStyle name="_2008 RS sales plan (Oct.8)_revised1_summary sheet 2007_2008 (for actual order)_summary sheet 2007_2008 _Dec_For 1st FO_Jan'08" xfId="1936" xr:uid="{00000000-0005-0000-0000-0000B4070000}"/>
    <cellStyle name="_2008 RS sales plan (Oct.8)_revised1_summary sheet 2007_2008 (for actual order)_summary sheet 2007_2008 _Dec_Inventory for Budget_2008-2009 Updated" xfId="1937" xr:uid="{00000000-0005-0000-0000-0000B5070000}"/>
    <cellStyle name="_2008 RS sales plan (Oct.8)_revised1_summary sheet 2007_2008 (for actual order)_summary sheet 2007_2008 _Dec_Inventory for Budget_2008-2009 Updated_2008 Inventory Ratio_TF_actual" xfId="1938" xr:uid="{00000000-0005-0000-0000-0000B6070000}"/>
    <cellStyle name="_2008 RS sales plan (Oct.8)_revised1_summary sheet 2007_2008 (for actual order)_summary sheet 2007_2008 _Dec_Model Mix 2008-2009 for budget_Dec.17" xfId="1939" xr:uid="{00000000-0005-0000-0000-0000B7070000}"/>
    <cellStyle name="_2008 RS sales plan (Oct.8)_revised1_summary sheet 2007_2008 (for actual order)_summary sheet 2007_2008 _Dec_Model Mix 2008-2009 for budget_Dec.17_2008 Inventory Ratio_TF_actual" xfId="1940" xr:uid="{00000000-0005-0000-0000-0000B8070000}"/>
    <cellStyle name="_2008 RS sales plan (Oct.8)_revised1_summary sheet 2007_2008 (for actual order)_summary sheet 2007_2008 _Dec_Retail Sale Forcast. Jan-2008 _Jan4" xfId="1941" xr:uid="{00000000-0005-0000-0000-0000B9070000}"/>
    <cellStyle name="_2008 RS sales plan (Oct.8)_revised1_summary sheet 2007_2008 (for actual order)_summary sheet 2007_2008 _Dec_Retail Sale Forcast. Jan-2008 _Jan4_2008 Inventory Ratio_TF_actual" xfId="1942" xr:uid="{00000000-0005-0000-0000-0000BA070000}"/>
    <cellStyle name="_2008 RS sales plan (Oct.8)_revised1_summary sheet 2007_2008 (for actual order)_summary sheet 2007_2008 _Dec_summary sheet 2007_2008 _Dec_2" xfId="1943" xr:uid="{00000000-0005-0000-0000-0000BB070000}"/>
    <cellStyle name="_2008 RS sales plan (Oct.8)_revised1_summary sheet 2007_2008 (for actual order)_summary sheet 2007_2008 _Dec_summary sheet 2007_2008 _Dec_2_2008 Inventory Ratio_TF_actual" xfId="1944" xr:uid="{00000000-0005-0000-0000-0000BC070000}"/>
    <cellStyle name="_2008 RS sales plan (Oct.8)_revised1_summary sheet 2007_2008 (for actual order)_summary sheet 2007_2008 _Dec_summary sheet 2007_2008 _Dec14_revised1" xfId="1945" xr:uid="{00000000-0005-0000-0000-0000BD070000}"/>
    <cellStyle name="_2008 RS sales plan (Oct.8)_revised1_summary sheet 2007_2008 (for actual order)_summary sheet 2007_2008 _Dec_summary sheet 2007_2008 _Dec14_revised1_2008 Inventory Ratio_TF_actual" xfId="1946" xr:uid="{00000000-0005-0000-0000-0000BE070000}"/>
    <cellStyle name="_2008 RS sales plan (Oct.8)_revised1_summary sheet 2007_2008 (for actual order)_summary sheet 2007_2008 _Dec_summary sheet 2007_2008 _Dec14_revised2" xfId="1947" xr:uid="{00000000-0005-0000-0000-0000BF070000}"/>
    <cellStyle name="_2008 RS sales plan (Oct.8)_revised1_summary sheet 2007_2008 (for actual order)_summary sheet 2007_2008 _Dec_summary sheet 2007_2008 _Dec14_revised2_2008 Inventory Ratio_TF_actual" xfId="1948" xr:uid="{00000000-0005-0000-0000-0000C0070000}"/>
    <cellStyle name="_2008 RS sales plan (Oct.8)_revised1_summary sheet 2007_2008 (for actual order)_summary sheet 2007_2008 _Dec_Summary sheet_for FO_JCC Base" xfId="1949" xr:uid="{00000000-0005-0000-0000-0000C1070000}"/>
    <cellStyle name="_2008 RS sales plan (Oct.8)_revised1_summary sheet 2007_2008 (for actual order)_summary sheet 2007_2008 _Dec_TYT vs ISZ_Mar11’08" xfId="1950" xr:uid="{00000000-0005-0000-0000-0000C2070000}"/>
    <cellStyle name="_2008 RS sales plan (Oct.8)_revised1_summary sheet 2007_2008 _Dec" xfId="1951" xr:uid="{00000000-0005-0000-0000-0000C3070000}"/>
    <cellStyle name="_2008 RS sales plan (Oct.8)_revised1_summary sheet 2007_2008 _Dec_2" xfId="1952" xr:uid="{00000000-0005-0000-0000-0000C4070000}"/>
    <cellStyle name="_2008 RS sales plan (Oct.8)_revised1_summary sheet 2007_2008 _Dec_2_2008 Inventory Ratio_TF_actual" xfId="1953" xr:uid="{00000000-0005-0000-0000-0000C5070000}"/>
    <cellStyle name="_2008 RS sales plan (Oct.8)_revised1_summary sheet 2007_2008 _Dec_2008 Inventory Ratio_TF_actual" xfId="1954" xr:uid="{00000000-0005-0000-0000-0000C6070000}"/>
    <cellStyle name="_2008 RS sales plan (Oct.8)_revised1_summary sheet 2007_2008 _Dec_summary sheet 2007_2008 _Dec" xfId="1955" xr:uid="{00000000-0005-0000-0000-0000C7070000}"/>
    <cellStyle name="_2008 RS sales plan (Oct.8)_revised1_summary sheet 2007_2008 _Dec_summary sheet 2007_2008 _Dec_~6321223" xfId="1956" xr:uid="{00000000-0005-0000-0000-0000C8070000}"/>
    <cellStyle name="_2008 RS sales plan (Oct.8)_revised1_summary sheet 2007_2008 _Dec_summary sheet 2007_2008 _Dec_080215_For 1st FO" xfId="1957" xr:uid="{00000000-0005-0000-0000-0000C9070000}"/>
    <cellStyle name="_2008 RS sales plan (Oct.8)_revised1_summary sheet 2007_2008 _Dec_summary sheet 2007_2008 _Dec_080215_For 1st FO_Final3" xfId="1958" xr:uid="{00000000-0005-0000-0000-0000CA070000}"/>
    <cellStyle name="_2008 RS sales plan (Oct.8)_revised1_summary sheet 2007_2008 _Dec_summary sheet 2007_2008 _Dec_080215_For 1st FO_updated" xfId="1959" xr:uid="{00000000-0005-0000-0000-0000CB070000}"/>
    <cellStyle name="_2008 RS sales plan (Oct.8)_revised1_summary sheet 2007_2008 _Dec_summary sheet 2007_2008 _Dec_080703 2008 Summary Sheet _JCC vs Actual" xfId="1960" xr:uid="{00000000-0005-0000-0000-0000CC070000}"/>
    <cellStyle name="_2008 RS sales plan (Oct.8)_revised1_summary sheet 2007_2008 _Dec_summary sheet 2007_2008 _Dec_080703 2008 Summary Sheet _JCC vs Actual rev" xfId="1961" xr:uid="{00000000-0005-0000-0000-0000CD070000}"/>
    <cellStyle name="_2008 RS sales plan (Oct.8)_revised1_summary sheet 2007_2008 _Dec_summary sheet 2007_2008 _Dec_080710 2009 Summary Sheet" xfId="1962" xr:uid="{00000000-0005-0000-0000-0000CE070000}"/>
    <cellStyle name="_2008 RS sales plan (Oct.8)_revised1_summary sheet 2007_2008 _Dec_summary sheet 2007_2008 _Dec_080710 The Final Summary Sheet" xfId="1963" xr:uid="{00000000-0005-0000-0000-0000CF070000}"/>
    <cellStyle name="_2008 RS sales plan (Oct.8)_revised1_summary sheet 2007_2008 _Dec_summary sheet 2007_2008 _Dec_2007 RS_Model Mix_Dec'07xls_Actual" xfId="1964" xr:uid="{00000000-0005-0000-0000-0000D0070000}"/>
    <cellStyle name="_2008 RS sales plan (Oct.8)_revised1_summary sheet 2007_2008 _Dec_summary sheet 2007_2008 _Dec_2007 RS_Model Mix_Dec'07xls_Actual_2008 Inventory Ratio_TF_actual" xfId="1965" xr:uid="{00000000-0005-0000-0000-0000D1070000}"/>
    <cellStyle name="_2008 RS sales plan (Oct.8)_revised1_summary sheet 2007_2008 _Dec_summary sheet 2007_2008 _Dec_2007-2008 RS_Model Mix_DNet" xfId="1966" xr:uid="{00000000-0005-0000-0000-0000D2070000}"/>
    <cellStyle name="_2008 RS sales plan (Oct.8)_revised1_summary sheet 2007_2008 _Dec_summary sheet 2007_2008 _Dec_2008 Summary Sheet _JCC vs Actual" xfId="1967" xr:uid="{00000000-0005-0000-0000-0000D3070000}"/>
    <cellStyle name="_2008 RS sales plan (Oct.8)_revised1_summary sheet 2007_2008 _Dec_summary sheet 2007_2008 _Dec_2008 Summary Sheet _JCC vs Actual_000608" xfId="1968" xr:uid="{00000000-0005-0000-0000-0000D4070000}"/>
    <cellStyle name="_2008 RS sales plan (Oct.8)_revised1_summary sheet 2007_2008 _Dec_summary sheet 2007_2008 _Dec_2008 Summary Sheet _JCC vs Actual_080608" xfId="1969" xr:uid="{00000000-0005-0000-0000-0000D5070000}"/>
    <cellStyle name="_2008 RS sales plan (Oct.8)_revised1_summary sheet 2007_2008 _Dec_summary sheet 2007_2008 _Dec_2008 Summary Sheet _JCC vs Actual_after FO" xfId="1970" xr:uid="{00000000-0005-0000-0000-0000D6070000}"/>
    <cellStyle name="_2008 RS sales plan (Oct.8)_revised1_summary sheet 2007_2008 _Dec_summary sheet 2007_2008 _Dec_2008 Summary Sheet _JCC vs Actual_FO" xfId="1971" xr:uid="{00000000-0005-0000-0000-0000D7070000}"/>
    <cellStyle name="_2008 RS sales plan (Oct.8)_revised1_summary sheet 2007_2008 _Dec_summary sheet 2007_2008 _Dec_2008 Summary sheet_080410_1st FO(in the meeting)_revised" xfId="1972" xr:uid="{00000000-0005-0000-0000-0000D8070000}"/>
    <cellStyle name="_2008 RS sales plan (Oct.8)_revised1_summary sheet 2007_2008 _Dec_summary sheet 2007_2008 _Dec_2008 Summary sheet_Actual base" xfId="1973" xr:uid="{00000000-0005-0000-0000-0000D9070000}"/>
    <cellStyle name="_2008 RS sales plan (Oct.8)_revised1_summary sheet 2007_2008 _Dec_summary sheet 2007_2008 _Dec_2nd FO_Dec.28" xfId="1974" xr:uid="{00000000-0005-0000-0000-0000DA070000}"/>
    <cellStyle name="_2008 RS sales plan (Oct.8)_revised1_summary sheet 2007_2008 _Dec_summary sheet 2007_2008 _Dec_For 1st FO_Jan'08" xfId="1975" xr:uid="{00000000-0005-0000-0000-0000DB070000}"/>
    <cellStyle name="_2008 RS sales plan (Oct.8)_revised1_summary sheet 2007_2008 _Dec_summary sheet 2007_2008 _Dec_Inventory for Budget_2008-2009 Updated" xfId="1976" xr:uid="{00000000-0005-0000-0000-0000DC070000}"/>
    <cellStyle name="_2008 RS sales plan (Oct.8)_revised1_summary sheet 2007_2008 _Dec_summary sheet 2007_2008 _Dec_Inventory for Budget_2008-2009 Updated_2008 Inventory Ratio_TF_actual" xfId="1977" xr:uid="{00000000-0005-0000-0000-0000DD070000}"/>
    <cellStyle name="_2008 RS sales plan (Oct.8)_revised1_summary sheet 2007_2008 _Dec_summary sheet 2007_2008 _Dec_Model Mix 2008-2009 for budget_Dec.17" xfId="1978" xr:uid="{00000000-0005-0000-0000-0000DE070000}"/>
    <cellStyle name="_2008 RS sales plan (Oct.8)_revised1_summary sheet 2007_2008 _Dec_summary sheet 2007_2008 _Dec_Model Mix 2008-2009 for budget_Dec.17_2008 Inventory Ratio_TF_actual" xfId="1979" xr:uid="{00000000-0005-0000-0000-0000DF070000}"/>
    <cellStyle name="_2008 RS sales plan (Oct.8)_revised1_summary sheet 2007_2008 _Dec_summary sheet 2007_2008 _Dec_Retail Sale Forcast. Jan-2008 _Jan4" xfId="1980" xr:uid="{00000000-0005-0000-0000-0000E0070000}"/>
    <cellStyle name="_2008 RS sales plan (Oct.8)_revised1_summary sheet 2007_2008 _Dec_summary sheet 2007_2008 _Dec_Retail Sale Forcast. Jan-2008 _Jan4_2008 Inventory Ratio_TF_actual" xfId="1981" xr:uid="{00000000-0005-0000-0000-0000E1070000}"/>
    <cellStyle name="_2008 RS sales plan (Oct.8)_revised1_summary sheet 2007_2008 _Dec_summary sheet 2007_2008 _Dec_summary sheet 2007_2008 _Dec_2" xfId="1982" xr:uid="{00000000-0005-0000-0000-0000E2070000}"/>
    <cellStyle name="_2008 RS sales plan (Oct.8)_revised1_summary sheet 2007_2008 _Dec_summary sheet 2007_2008 _Dec_summary sheet 2007_2008 _Dec_2_2008 Inventory Ratio_TF_actual" xfId="1983" xr:uid="{00000000-0005-0000-0000-0000E3070000}"/>
    <cellStyle name="_2008 RS sales plan (Oct.8)_revised1_summary sheet 2007_2008 _Dec_summary sheet 2007_2008 _Dec_summary sheet 2007_2008 _Dec14_revised1" xfId="1984" xr:uid="{00000000-0005-0000-0000-0000E4070000}"/>
    <cellStyle name="_2008 RS sales plan (Oct.8)_revised1_summary sheet 2007_2008 _Dec_summary sheet 2007_2008 _Dec_summary sheet 2007_2008 _Dec14_revised1_2008 Inventory Ratio_TF_actual" xfId="1985" xr:uid="{00000000-0005-0000-0000-0000E5070000}"/>
    <cellStyle name="_2008 RS sales plan (Oct.8)_revised1_summary sheet 2007_2008 _Dec_summary sheet 2007_2008 _Dec_summary sheet 2007_2008 _Dec14_revised2" xfId="1986" xr:uid="{00000000-0005-0000-0000-0000E6070000}"/>
    <cellStyle name="_2008 RS sales plan (Oct.8)_revised1_summary sheet 2007_2008 _Dec_summary sheet 2007_2008 _Dec_summary sheet 2007_2008 _Dec14_revised2_2008 Inventory Ratio_TF_actual" xfId="1987" xr:uid="{00000000-0005-0000-0000-0000E7070000}"/>
    <cellStyle name="_2008 RS sales plan (Oct.8)_revised1_summary sheet 2007_2008 _Dec_summary sheet 2007_2008 _Dec_Summary sheet_for FO_JCC Base" xfId="1988" xr:uid="{00000000-0005-0000-0000-0000E8070000}"/>
    <cellStyle name="_2008 RS sales plan (Oct.8)_revised1_summary sheet 2007_2008 _Dec_summary sheet 2007_2008 _Dec_TYT vs ISZ_Mar11’08" xfId="1989" xr:uid="{00000000-0005-0000-0000-0000E9070000}"/>
    <cellStyle name="_2008 RS sales plan (Oct.8)_revised1_summary sheet 2007_2008 _Dec14_revised1" xfId="1990" xr:uid="{00000000-0005-0000-0000-0000EA070000}"/>
    <cellStyle name="_2008 RS sales plan (Oct.8)_revised1_summary sheet 2007_2008 _Dec14_revised1_2008 Inventory Ratio_TF_actual" xfId="1991" xr:uid="{00000000-0005-0000-0000-0000EB070000}"/>
    <cellStyle name="_2008 RS sales plan (Oct.8)_revised1_summary sheet 2007_2008 _Dec14_revised2" xfId="1992" xr:uid="{00000000-0005-0000-0000-0000EC070000}"/>
    <cellStyle name="_2008 RS sales plan (Oct.8)_revised1_summary sheet 2007_2008 _Dec14_revised2_2008 Inventory Ratio_TF_actual" xfId="1993" xr:uid="{00000000-0005-0000-0000-0000ED070000}"/>
    <cellStyle name="_2008 RS sales plan (Oct.8)_revised1_Summary sheet_for FO_JCC Base" xfId="1994" xr:uid="{00000000-0005-0000-0000-0000EE070000}"/>
    <cellStyle name="_2008 RS sales plan (Oct.8)_revised1_TYT vs ISZ_Mar11’08" xfId="1995" xr:uid="{00000000-0005-0000-0000-0000EF070000}"/>
    <cellStyle name="_2008 RS sales plan (Sep 13)" xfId="1996" xr:uid="{00000000-0005-0000-0000-0000F0070000}"/>
    <cellStyle name="_2008 RS sales plan (Sep 13)_~6321223" xfId="1997" xr:uid="{00000000-0005-0000-0000-0000F1070000}"/>
    <cellStyle name="_2008 RS sales plan (Sep 13)_080215_For 1st FO" xfId="1998" xr:uid="{00000000-0005-0000-0000-0000F2070000}"/>
    <cellStyle name="_2008 RS sales plan (Sep 13)_080215_For 1st FO_Final3" xfId="1999" xr:uid="{00000000-0005-0000-0000-0000F3070000}"/>
    <cellStyle name="_2008 RS sales plan (Sep 13)_080215_For 1st FO_updated" xfId="2000" xr:uid="{00000000-0005-0000-0000-0000F4070000}"/>
    <cellStyle name="_2008 RS sales plan (Sep 13)_080703 2008 Summary Sheet _JCC vs Actual" xfId="2001" xr:uid="{00000000-0005-0000-0000-0000F5070000}"/>
    <cellStyle name="_2008 RS sales plan (Sep 13)_080703 2008 Summary Sheet _JCC vs Actual rev" xfId="2002" xr:uid="{00000000-0005-0000-0000-0000F6070000}"/>
    <cellStyle name="_2008 RS sales plan (Sep 13)_080710 2009 Summary Sheet" xfId="2003" xr:uid="{00000000-0005-0000-0000-0000F7070000}"/>
    <cellStyle name="_2008 RS sales plan (Sep 13)_080710 The Final Summary Sheet" xfId="2004" xr:uid="{00000000-0005-0000-0000-0000F8070000}"/>
    <cellStyle name="_2008 RS sales plan (Sep 13)_2007 RS_Model Mix_Dec'07xls_Actual" xfId="2005" xr:uid="{00000000-0005-0000-0000-0000F9070000}"/>
    <cellStyle name="_2008 RS sales plan (Sep 13)_2007 RS_Model Mix_Dec'07xls_Actual_2008 Inventory Ratio_TF_actual" xfId="2006" xr:uid="{00000000-0005-0000-0000-0000FA070000}"/>
    <cellStyle name="_2008 RS sales plan (Sep 13)_2007-2008 RS_Model Mix_DNet" xfId="2007" xr:uid="{00000000-0005-0000-0000-0000FB070000}"/>
    <cellStyle name="_2008 RS sales plan (Sep 13)_2008 model mix" xfId="2008" xr:uid="{00000000-0005-0000-0000-0000FC070000}"/>
    <cellStyle name="_2008 RS sales plan (Sep 13)_2008 model mix_~6321223" xfId="2009" xr:uid="{00000000-0005-0000-0000-0000FD070000}"/>
    <cellStyle name="_2008 RS sales plan (Sep 13)_2008 model mix_080215_For 1st FO" xfId="2010" xr:uid="{00000000-0005-0000-0000-0000FE070000}"/>
    <cellStyle name="_2008 RS sales plan (Sep 13)_2008 model mix_080215_For 1st FO_Final3" xfId="2011" xr:uid="{00000000-0005-0000-0000-0000FF070000}"/>
    <cellStyle name="_2008 RS sales plan (Sep 13)_2008 model mix_080215_For 1st FO_updated" xfId="2012" xr:uid="{00000000-0005-0000-0000-000000080000}"/>
    <cellStyle name="_2008 RS sales plan (Sep 13)_2008 model mix_080703 2008 Summary Sheet _JCC vs Actual" xfId="2013" xr:uid="{00000000-0005-0000-0000-000001080000}"/>
    <cellStyle name="_2008 RS sales plan (Sep 13)_2008 model mix_080703 2008 Summary Sheet _JCC vs Actual rev" xfId="2014" xr:uid="{00000000-0005-0000-0000-000002080000}"/>
    <cellStyle name="_2008 RS sales plan (Sep 13)_2008 model mix_080710 2009 Summary Sheet" xfId="2015" xr:uid="{00000000-0005-0000-0000-000003080000}"/>
    <cellStyle name="_2008 RS sales plan (Sep 13)_2008 model mix_080710 The Final Summary Sheet" xfId="2016" xr:uid="{00000000-0005-0000-0000-000004080000}"/>
    <cellStyle name="_2008 RS sales plan (Sep 13)_2008 model mix_2007 RS_Model Mix_Dec'07xls_Actual" xfId="2017" xr:uid="{00000000-0005-0000-0000-000005080000}"/>
    <cellStyle name="_2008 RS sales plan (Sep 13)_2008 model mix_2007 RS_Model Mix_Dec'07xls_Actual_2008 Inventory Ratio_TF_actual" xfId="2018" xr:uid="{00000000-0005-0000-0000-000006080000}"/>
    <cellStyle name="_2008 RS sales plan (Sep 13)_2008 model mix_2007-2008 RS_Model Mix_DNet" xfId="2019" xr:uid="{00000000-0005-0000-0000-000007080000}"/>
    <cellStyle name="_2008 RS sales plan (Sep 13)_2008 model mix_2008 Summary Sheet _JCC vs Actual" xfId="2020" xr:uid="{00000000-0005-0000-0000-000008080000}"/>
    <cellStyle name="_2008 RS sales plan (Sep 13)_2008 model mix_2008 Summary Sheet _JCC vs Actual_000608" xfId="2021" xr:uid="{00000000-0005-0000-0000-000009080000}"/>
    <cellStyle name="_2008 RS sales plan (Sep 13)_2008 model mix_2008 Summary Sheet _JCC vs Actual_080608" xfId="2022" xr:uid="{00000000-0005-0000-0000-00000A080000}"/>
    <cellStyle name="_2008 RS sales plan (Sep 13)_2008 model mix_2008 Summary Sheet _JCC vs Actual_after FO" xfId="2023" xr:uid="{00000000-0005-0000-0000-00000B080000}"/>
    <cellStyle name="_2008 RS sales plan (Sep 13)_2008 model mix_2008 Summary Sheet _JCC vs Actual_FO" xfId="2024" xr:uid="{00000000-0005-0000-0000-00000C080000}"/>
    <cellStyle name="_2008 RS sales plan (Sep 13)_2008 model mix_2008 Summary sheet_080410_1st FO(in the meeting)_revised" xfId="2025" xr:uid="{00000000-0005-0000-0000-00000D080000}"/>
    <cellStyle name="_2008 RS sales plan (Sep 13)_2008 model mix_2008 Summary sheet_Actual base" xfId="2026" xr:uid="{00000000-0005-0000-0000-00000E080000}"/>
    <cellStyle name="_2008 RS sales plan (Sep 13)_2008 model mix_2nd FO_Dec.28" xfId="2027" xr:uid="{00000000-0005-0000-0000-00000F080000}"/>
    <cellStyle name="_2008 RS sales plan (Sep 13)_2008 model mix_For 1st FO_Jan'08" xfId="2028" xr:uid="{00000000-0005-0000-0000-000010080000}"/>
    <cellStyle name="_2008 RS sales plan (Sep 13)_2008 model mix_Inventory for Budget_2008-2009 Updated" xfId="2029" xr:uid="{00000000-0005-0000-0000-000011080000}"/>
    <cellStyle name="_2008 RS sales plan (Sep 13)_2008 model mix_Inventory for Budget_2008-2009 Updated_2008 Inventory Ratio_TF_actual" xfId="2030" xr:uid="{00000000-0005-0000-0000-000012080000}"/>
    <cellStyle name="_2008 RS sales plan (Sep 13)_2008 model mix_Model Mix 2008-2009 for budget_Dec.17" xfId="2031" xr:uid="{00000000-0005-0000-0000-000013080000}"/>
    <cellStyle name="_2008 RS sales plan (Sep 13)_2008 model mix_Model Mix 2008-2009 for budget_Dec.17_2008 Inventory Ratio_TF_actual" xfId="2032" xr:uid="{00000000-0005-0000-0000-000014080000}"/>
    <cellStyle name="_2008 RS sales plan (Sep 13)_2008 model mix_Retail Sale Forcast. Jan-2008 _Jan4" xfId="2033" xr:uid="{00000000-0005-0000-0000-000015080000}"/>
    <cellStyle name="_2008 RS sales plan (Sep 13)_2008 model mix_Retail Sale Forcast. Jan-2008 _Jan4_2008 Inventory Ratio_TF_actual" xfId="2034" xr:uid="{00000000-0005-0000-0000-000016080000}"/>
    <cellStyle name="_2008 RS sales plan (Sep 13)_2008 model mix_summary sheet 2007_2008 (for actual order)" xfId="2035" xr:uid="{00000000-0005-0000-0000-000017080000}"/>
    <cellStyle name="_2008 RS sales plan (Sep 13)_2008 model mix_summary sheet 2007_2008 (for actual order)_2008 Inventory Ratio_TF_actual" xfId="2036" xr:uid="{00000000-0005-0000-0000-000018080000}"/>
    <cellStyle name="_2008 RS sales plan (Sep 13)_2008 model mix_summary sheet 2007_2008 (for actual order)_summary sheet 2007_2008 _Dec" xfId="2037" xr:uid="{00000000-0005-0000-0000-000019080000}"/>
    <cellStyle name="_2008 RS sales plan (Sep 13)_2008 model mix_summary sheet 2007_2008 (for actual order)_summary sheet 2007_2008 _Dec_~6321223" xfId="2038" xr:uid="{00000000-0005-0000-0000-00001A080000}"/>
    <cellStyle name="_2008 RS sales plan (Sep 13)_2008 model mix_summary sheet 2007_2008 (for actual order)_summary sheet 2007_2008 _Dec_080215_For 1st FO" xfId="2039" xr:uid="{00000000-0005-0000-0000-00001B080000}"/>
    <cellStyle name="_2008 RS sales plan (Sep 13)_2008 model mix_summary sheet 2007_2008 (for actual order)_summary sheet 2007_2008 _Dec_080215_For 1st FO_Final3" xfId="2040" xr:uid="{00000000-0005-0000-0000-00001C080000}"/>
    <cellStyle name="_2008 RS sales plan (Sep 13)_2008 model mix_summary sheet 2007_2008 (for actual order)_summary sheet 2007_2008 _Dec_080215_For 1st FO_updated" xfId="2041" xr:uid="{00000000-0005-0000-0000-00001D080000}"/>
    <cellStyle name="_2008 RS sales plan (Sep 13)_2008 model mix_summary sheet 2007_2008 (for actual order)_summary sheet 2007_2008 _Dec_080703 2008 Summary Sheet _JCC vs Actual" xfId="2042" xr:uid="{00000000-0005-0000-0000-00001E080000}"/>
    <cellStyle name="_2008 RS sales plan (Sep 13)_2008 model mix_summary sheet 2007_2008 (for actual order)_summary sheet 2007_2008 _Dec_080703 2008 Summary Sheet _JCC vs Actual rev" xfId="2043" xr:uid="{00000000-0005-0000-0000-00001F080000}"/>
    <cellStyle name="_2008 RS sales plan (Sep 13)_2008 model mix_summary sheet 2007_2008 (for actual order)_summary sheet 2007_2008 _Dec_080710 2009 Summary Sheet" xfId="2044" xr:uid="{00000000-0005-0000-0000-000020080000}"/>
    <cellStyle name="_2008 RS sales plan (Sep 13)_2008 model mix_summary sheet 2007_2008 (for actual order)_summary sheet 2007_2008 _Dec_080710 The Final Summary Sheet" xfId="2045" xr:uid="{00000000-0005-0000-0000-000021080000}"/>
    <cellStyle name="_2008 RS sales plan (Sep 13)_2008 model mix_summary sheet 2007_2008 (for actual order)_summary sheet 2007_2008 _Dec_2007 RS_Model Mix_Dec'07xls_Actual" xfId="2046" xr:uid="{00000000-0005-0000-0000-000022080000}"/>
    <cellStyle name="_2008 RS sales plan (Sep 13)_2008 model mix_summary sheet 2007_2008 (for actual order)_summary sheet 2007_2008 _Dec_2007 RS_Model Mix_Dec'07xls_Actual_2008 Inventory Ratio_TF_actual" xfId="2047" xr:uid="{00000000-0005-0000-0000-000023080000}"/>
    <cellStyle name="_2008 RS sales plan (Sep 13)_2008 model mix_summary sheet 2007_2008 (for actual order)_summary sheet 2007_2008 _Dec_2007-2008 RS_Model Mix_DNet" xfId="2048" xr:uid="{00000000-0005-0000-0000-000024080000}"/>
    <cellStyle name="_2008 RS sales plan (Sep 13)_2008 model mix_summary sheet 2007_2008 (for actual order)_summary sheet 2007_2008 _Dec_2008 Summary Sheet _JCC vs Actual" xfId="2049" xr:uid="{00000000-0005-0000-0000-000025080000}"/>
    <cellStyle name="_2008 RS sales plan (Sep 13)_2008 model mix_summary sheet 2007_2008 (for actual order)_summary sheet 2007_2008 _Dec_2008 Summary Sheet _JCC vs Actual_000608" xfId="2050" xr:uid="{00000000-0005-0000-0000-000026080000}"/>
    <cellStyle name="_2008 RS sales plan (Sep 13)_2008 model mix_summary sheet 2007_2008 (for actual order)_summary sheet 2007_2008 _Dec_2008 Summary Sheet _JCC vs Actual_080608" xfId="2051" xr:uid="{00000000-0005-0000-0000-000027080000}"/>
    <cellStyle name="_2008 RS sales plan (Sep 13)_2008 model mix_summary sheet 2007_2008 (for actual order)_summary sheet 2007_2008 _Dec_2008 Summary Sheet _JCC vs Actual_after FO" xfId="2052" xr:uid="{00000000-0005-0000-0000-000028080000}"/>
    <cellStyle name="_2008 RS sales plan (Sep 13)_2008 model mix_summary sheet 2007_2008 (for actual order)_summary sheet 2007_2008 _Dec_2008 Summary Sheet _JCC vs Actual_FO" xfId="2053" xr:uid="{00000000-0005-0000-0000-000029080000}"/>
    <cellStyle name="_2008 RS sales plan (Sep 13)_2008 model mix_summary sheet 2007_2008 (for actual order)_summary sheet 2007_2008 _Dec_2008 Summary sheet_080410_1st FO(in the meeting)_revised" xfId="2054" xr:uid="{00000000-0005-0000-0000-00002A080000}"/>
    <cellStyle name="_2008 RS sales plan (Sep 13)_2008 model mix_summary sheet 2007_2008 (for actual order)_summary sheet 2007_2008 _Dec_2008 Summary sheet_Actual base" xfId="2055" xr:uid="{00000000-0005-0000-0000-00002B080000}"/>
    <cellStyle name="_2008 RS sales plan (Sep 13)_2008 model mix_summary sheet 2007_2008 (for actual order)_summary sheet 2007_2008 _Dec_2nd FO_Dec.28" xfId="2056" xr:uid="{00000000-0005-0000-0000-00002C080000}"/>
    <cellStyle name="_2008 RS sales plan (Sep 13)_2008 model mix_summary sheet 2007_2008 (for actual order)_summary sheet 2007_2008 _Dec_For 1st FO_Jan'08" xfId="2057" xr:uid="{00000000-0005-0000-0000-00002D080000}"/>
    <cellStyle name="_2008 RS sales plan (Sep 13)_2008 model mix_summary sheet 2007_2008 (for actual order)_summary sheet 2007_2008 _Dec_Inventory for Budget_2008-2009 Updated" xfId="2058" xr:uid="{00000000-0005-0000-0000-00002E080000}"/>
    <cellStyle name="_2008 RS sales plan (Sep 13)_2008 model mix_summary sheet 2007_2008 (for actual order)_summary sheet 2007_2008 _Dec_Inventory for Budget_2008-2009 Updated_2008 Inventory Ratio_TF_actual" xfId="2059" xr:uid="{00000000-0005-0000-0000-00002F080000}"/>
    <cellStyle name="_2008 RS sales plan (Sep 13)_2008 model mix_summary sheet 2007_2008 (for actual order)_summary sheet 2007_2008 _Dec_Model Mix 2008-2009 for budget_Dec.17" xfId="2060" xr:uid="{00000000-0005-0000-0000-000030080000}"/>
    <cellStyle name="_2008 RS sales plan (Sep 13)_2008 model mix_summary sheet 2007_2008 (for actual order)_summary sheet 2007_2008 _Dec_Model Mix 2008-2009 for budget_Dec.17_2008 Inventory Ratio_TF_actual" xfId="2061" xr:uid="{00000000-0005-0000-0000-000031080000}"/>
    <cellStyle name="_2008 RS sales plan (Sep 13)_2008 model mix_summary sheet 2007_2008 (for actual order)_summary sheet 2007_2008 _Dec_Retail Sale Forcast. Jan-2008 _Jan4" xfId="2062" xr:uid="{00000000-0005-0000-0000-000032080000}"/>
    <cellStyle name="_2008 RS sales plan (Sep 13)_2008 model mix_summary sheet 2007_2008 (for actual order)_summary sheet 2007_2008 _Dec_Retail Sale Forcast. Jan-2008 _Jan4_2008 Inventory Ratio_TF_actual" xfId="2063" xr:uid="{00000000-0005-0000-0000-000033080000}"/>
    <cellStyle name="_2008 RS sales plan (Sep 13)_2008 model mix_summary sheet 2007_2008 (for actual order)_summary sheet 2007_2008 _Dec_summary sheet 2007_2008 _Dec_2" xfId="2064" xr:uid="{00000000-0005-0000-0000-000034080000}"/>
    <cellStyle name="_2008 RS sales plan (Sep 13)_2008 model mix_summary sheet 2007_2008 (for actual order)_summary sheet 2007_2008 _Dec_summary sheet 2007_2008 _Dec_2_2008 Inventory Ratio_TF_actual" xfId="2065" xr:uid="{00000000-0005-0000-0000-000035080000}"/>
    <cellStyle name="_2008 RS sales plan (Sep 13)_2008 model mix_summary sheet 2007_2008 (for actual order)_summary sheet 2007_2008 _Dec_summary sheet 2007_2008 _Dec14_revised1" xfId="2066" xr:uid="{00000000-0005-0000-0000-000036080000}"/>
    <cellStyle name="_2008 RS sales plan (Sep 13)_2008 model mix_summary sheet 2007_2008 (for actual order)_summary sheet 2007_2008 _Dec_summary sheet 2007_2008 _Dec14_revised1_2008 Inventory Ratio_TF_actual" xfId="2067" xr:uid="{00000000-0005-0000-0000-000037080000}"/>
    <cellStyle name="_2008 RS sales plan (Sep 13)_2008 model mix_summary sheet 2007_2008 (for actual order)_summary sheet 2007_2008 _Dec_summary sheet 2007_2008 _Dec14_revised2" xfId="2068" xr:uid="{00000000-0005-0000-0000-000038080000}"/>
    <cellStyle name="_2008 RS sales plan (Sep 13)_2008 model mix_summary sheet 2007_2008 (for actual order)_summary sheet 2007_2008 _Dec_summary sheet 2007_2008 _Dec14_revised2_2008 Inventory Ratio_TF_actual" xfId="2069" xr:uid="{00000000-0005-0000-0000-000039080000}"/>
    <cellStyle name="_2008 RS sales plan (Sep 13)_2008 model mix_summary sheet 2007_2008 (for actual order)_summary sheet 2007_2008 _Dec_Summary sheet_for FO_JCC Base" xfId="2070" xr:uid="{00000000-0005-0000-0000-00003A080000}"/>
    <cellStyle name="_2008 RS sales plan (Sep 13)_2008 model mix_summary sheet 2007_2008 (for actual order)_summary sheet 2007_2008 _Dec_TYT vs ISZ_Mar11’08" xfId="2071" xr:uid="{00000000-0005-0000-0000-00003B080000}"/>
    <cellStyle name="_2008 RS sales plan (Sep 13)_2008 model mix_summary sheet 2007_2008 _Dec" xfId="2072" xr:uid="{00000000-0005-0000-0000-00003C080000}"/>
    <cellStyle name="_2008 RS sales plan (Sep 13)_2008 model mix_summary sheet 2007_2008 _Dec_2" xfId="2073" xr:uid="{00000000-0005-0000-0000-00003D080000}"/>
    <cellStyle name="_2008 RS sales plan (Sep 13)_2008 model mix_summary sheet 2007_2008 _Dec_2_2008 Inventory Ratio_TF_actual" xfId="2074" xr:uid="{00000000-0005-0000-0000-00003E080000}"/>
    <cellStyle name="_2008 RS sales plan (Sep 13)_2008 model mix_summary sheet 2007_2008 _Dec_2008 Inventory Ratio_TF_actual" xfId="2075" xr:uid="{00000000-0005-0000-0000-00003F080000}"/>
    <cellStyle name="_2008 RS sales plan (Sep 13)_2008 model mix_summary sheet 2007_2008 _Dec_summary sheet 2007_2008 _Dec" xfId="2076" xr:uid="{00000000-0005-0000-0000-000040080000}"/>
    <cellStyle name="_2008 RS sales plan (Sep 13)_2008 model mix_summary sheet 2007_2008 _Dec_summary sheet 2007_2008 _Dec_~6321223" xfId="2077" xr:uid="{00000000-0005-0000-0000-000041080000}"/>
    <cellStyle name="_2008 RS sales plan (Sep 13)_2008 model mix_summary sheet 2007_2008 _Dec_summary sheet 2007_2008 _Dec_080215_For 1st FO" xfId="2078" xr:uid="{00000000-0005-0000-0000-000042080000}"/>
    <cellStyle name="_2008 RS sales plan (Sep 13)_2008 model mix_summary sheet 2007_2008 _Dec_summary sheet 2007_2008 _Dec_080215_For 1st FO_Final3" xfId="2079" xr:uid="{00000000-0005-0000-0000-000043080000}"/>
    <cellStyle name="_2008 RS sales plan (Sep 13)_2008 model mix_summary sheet 2007_2008 _Dec_summary sheet 2007_2008 _Dec_080215_For 1st FO_updated" xfId="2080" xr:uid="{00000000-0005-0000-0000-000044080000}"/>
    <cellStyle name="_2008 RS sales plan (Sep 13)_2008 model mix_summary sheet 2007_2008 _Dec_summary sheet 2007_2008 _Dec_080703 2008 Summary Sheet _JCC vs Actual" xfId="2081" xr:uid="{00000000-0005-0000-0000-000045080000}"/>
    <cellStyle name="_2008 RS sales plan (Sep 13)_2008 model mix_summary sheet 2007_2008 _Dec_summary sheet 2007_2008 _Dec_080703 2008 Summary Sheet _JCC vs Actual rev" xfId="2082" xr:uid="{00000000-0005-0000-0000-000046080000}"/>
    <cellStyle name="_2008 RS sales plan (Sep 13)_2008 model mix_summary sheet 2007_2008 _Dec_summary sheet 2007_2008 _Dec_080710 2009 Summary Sheet" xfId="2083" xr:uid="{00000000-0005-0000-0000-000047080000}"/>
    <cellStyle name="_2008 RS sales plan (Sep 13)_2008 model mix_summary sheet 2007_2008 _Dec_summary sheet 2007_2008 _Dec_080710 The Final Summary Sheet" xfId="2084" xr:uid="{00000000-0005-0000-0000-000048080000}"/>
    <cellStyle name="_2008 RS sales plan (Sep 13)_2008 model mix_summary sheet 2007_2008 _Dec_summary sheet 2007_2008 _Dec_2007 RS_Model Mix_Dec'07xls_Actual" xfId="2085" xr:uid="{00000000-0005-0000-0000-000049080000}"/>
    <cellStyle name="_2008 RS sales plan (Sep 13)_2008 model mix_summary sheet 2007_2008 _Dec_summary sheet 2007_2008 _Dec_2007 RS_Model Mix_Dec'07xls_Actual_2008 Inventory Ratio_TF_actual" xfId="2086" xr:uid="{00000000-0005-0000-0000-00004A080000}"/>
    <cellStyle name="_2008 RS sales plan (Sep 13)_2008 model mix_summary sheet 2007_2008 _Dec_summary sheet 2007_2008 _Dec_2007-2008 RS_Model Mix_DNet" xfId="2087" xr:uid="{00000000-0005-0000-0000-00004B080000}"/>
    <cellStyle name="_2008 RS sales plan (Sep 13)_2008 model mix_summary sheet 2007_2008 _Dec_summary sheet 2007_2008 _Dec_2008 Summary Sheet _JCC vs Actual" xfId="2088" xr:uid="{00000000-0005-0000-0000-00004C080000}"/>
    <cellStyle name="_2008 RS sales plan (Sep 13)_2008 model mix_summary sheet 2007_2008 _Dec_summary sheet 2007_2008 _Dec_2008 Summary Sheet _JCC vs Actual_000608" xfId="2089" xr:uid="{00000000-0005-0000-0000-00004D080000}"/>
    <cellStyle name="_2008 RS sales plan (Sep 13)_2008 model mix_summary sheet 2007_2008 _Dec_summary sheet 2007_2008 _Dec_2008 Summary Sheet _JCC vs Actual_080608" xfId="2090" xr:uid="{00000000-0005-0000-0000-00004E080000}"/>
    <cellStyle name="_2008 RS sales plan (Sep 13)_2008 model mix_summary sheet 2007_2008 _Dec_summary sheet 2007_2008 _Dec_2008 Summary Sheet _JCC vs Actual_after FO" xfId="2091" xr:uid="{00000000-0005-0000-0000-00004F080000}"/>
    <cellStyle name="_2008 RS sales plan (Sep 13)_2008 model mix_summary sheet 2007_2008 _Dec_summary sheet 2007_2008 _Dec_2008 Summary Sheet _JCC vs Actual_FO" xfId="2092" xr:uid="{00000000-0005-0000-0000-000050080000}"/>
    <cellStyle name="_2008 RS sales plan (Sep 13)_2008 model mix_summary sheet 2007_2008 _Dec_summary sheet 2007_2008 _Dec_2008 Summary sheet_080410_1st FO(in the meeting)_revised" xfId="2093" xr:uid="{00000000-0005-0000-0000-000051080000}"/>
    <cellStyle name="_2008 RS sales plan (Sep 13)_2008 model mix_summary sheet 2007_2008 _Dec_summary sheet 2007_2008 _Dec_2008 Summary sheet_Actual base" xfId="2094" xr:uid="{00000000-0005-0000-0000-000052080000}"/>
    <cellStyle name="_2008 RS sales plan (Sep 13)_2008 model mix_summary sheet 2007_2008 _Dec_summary sheet 2007_2008 _Dec_2nd FO_Dec.28" xfId="2095" xr:uid="{00000000-0005-0000-0000-000053080000}"/>
    <cellStyle name="_2008 RS sales plan (Sep 13)_2008 model mix_summary sheet 2007_2008 _Dec_summary sheet 2007_2008 _Dec_For 1st FO_Jan'08" xfId="2096" xr:uid="{00000000-0005-0000-0000-000054080000}"/>
    <cellStyle name="_2008 RS sales plan (Sep 13)_2008 model mix_summary sheet 2007_2008 _Dec_summary sheet 2007_2008 _Dec_Inventory for Budget_2008-2009 Updated" xfId="2097" xr:uid="{00000000-0005-0000-0000-000055080000}"/>
    <cellStyle name="_2008 RS sales plan (Sep 13)_2008 model mix_summary sheet 2007_2008 _Dec_summary sheet 2007_2008 _Dec_Inventory for Budget_2008-2009 Updated_2008 Inventory Ratio_TF_actual" xfId="2098" xr:uid="{00000000-0005-0000-0000-000056080000}"/>
    <cellStyle name="_2008 RS sales plan (Sep 13)_2008 model mix_summary sheet 2007_2008 _Dec_summary sheet 2007_2008 _Dec_Model Mix 2008-2009 for budget_Dec.17" xfId="2099" xr:uid="{00000000-0005-0000-0000-000057080000}"/>
    <cellStyle name="_2008 RS sales plan (Sep 13)_2008 model mix_summary sheet 2007_2008 _Dec_summary sheet 2007_2008 _Dec_Model Mix 2008-2009 for budget_Dec.17_2008 Inventory Ratio_TF_actual" xfId="2100" xr:uid="{00000000-0005-0000-0000-000058080000}"/>
    <cellStyle name="_2008 RS sales plan (Sep 13)_2008 model mix_summary sheet 2007_2008 _Dec_summary sheet 2007_2008 _Dec_Retail Sale Forcast. Jan-2008 _Jan4" xfId="2101" xr:uid="{00000000-0005-0000-0000-000059080000}"/>
    <cellStyle name="_2008 RS sales plan (Sep 13)_2008 model mix_summary sheet 2007_2008 _Dec_summary sheet 2007_2008 _Dec_Retail Sale Forcast. Jan-2008 _Jan4_2008 Inventory Ratio_TF_actual" xfId="2102" xr:uid="{00000000-0005-0000-0000-00005A080000}"/>
    <cellStyle name="_2008 RS sales plan (Sep 13)_2008 model mix_summary sheet 2007_2008 _Dec_summary sheet 2007_2008 _Dec_summary sheet 2007_2008 _Dec_2" xfId="2103" xr:uid="{00000000-0005-0000-0000-00005B080000}"/>
    <cellStyle name="_2008 RS sales plan (Sep 13)_2008 model mix_summary sheet 2007_2008 _Dec_summary sheet 2007_2008 _Dec_summary sheet 2007_2008 _Dec_2_2008 Inventory Ratio_TF_actual" xfId="2104" xr:uid="{00000000-0005-0000-0000-00005C080000}"/>
    <cellStyle name="_2008 RS sales plan (Sep 13)_2008 model mix_summary sheet 2007_2008 _Dec_summary sheet 2007_2008 _Dec_summary sheet 2007_2008 _Dec14_revised1" xfId="2105" xr:uid="{00000000-0005-0000-0000-00005D080000}"/>
    <cellStyle name="_2008 RS sales plan (Sep 13)_2008 model mix_summary sheet 2007_2008 _Dec_summary sheet 2007_2008 _Dec_summary sheet 2007_2008 _Dec14_revised1_2008 Inventory Ratio_TF_actual" xfId="2106" xr:uid="{00000000-0005-0000-0000-00005E080000}"/>
    <cellStyle name="_2008 RS sales plan (Sep 13)_2008 model mix_summary sheet 2007_2008 _Dec_summary sheet 2007_2008 _Dec_summary sheet 2007_2008 _Dec14_revised2" xfId="2107" xr:uid="{00000000-0005-0000-0000-00005F080000}"/>
    <cellStyle name="_2008 RS sales plan (Sep 13)_2008 model mix_summary sheet 2007_2008 _Dec_summary sheet 2007_2008 _Dec_summary sheet 2007_2008 _Dec14_revised2_2008 Inventory Ratio_TF_actual" xfId="2108" xr:uid="{00000000-0005-0000-0000-000060080000}"/>
    <cellStyle name="_2008 RS sales plan (Sep 13)_2008 model mix_summary sheet 2007_2008 _Dec_summary sheet 2007_2008 _Dec_Summary sheet_for FO_JCC Base" xfId="2109" xr:uid="{00000000-0005-0000-0000-000061080000}"/>
    <cellStyle name="_2008 RS sales plan (Sep 13)_2008 model mix_summary sheet 2007_2008 _Dec_summary sheet 2007_2008 _Dec_TYT vs ISZ_Mar11’08" xfId="2110" xr:uid="{00000000-0005-0000-0000-000062080000}"/>
    <cellStyle name="_2008 RS sales plan (Sep 13)_2008 model mix_summary sheet 2007_2008 _Dec14_revised1" xfId="2111" xr:uid="{00000000-0005-0000-0000-000063080000}"/>
    <cellStyle name="_2008 RS sales plan (Sep 13)_2008 model mix_summary sheet 2007_2008 _Dec14_revised1_2008 Inventory Ratio_TF_actual" xfId="2112" xr:uid="{00000000-0005-0000-0000-000064080000}"/>
    <cellStyle name="_2008 RS sales plan (Sep 13)_2008 model mix_summary sheet 2007_2008 _Dec14_revised2" xfId="2113" xr:uid="{00000000-0005-0000-0000-000065080000}"/>
    <cellStyle name="_2008 RS sales plan (Sep 13)_2008 model mix_summary sheet 2007_2008 _Dec14_revised2_2008 Inventory Ratio_TF_actual" xfId="2114" xr:uid="{00000000-0005-0000-0000-000066080000}"/>
    <cellStyle name="_2008 RS sales plan (Sep 13)_2008 model mix_Summary sheet_for FO_JCC Base" xfId="2115" xr:uid="{00000000-0005-0000-0000-000067080000}"/>
    <cellStyle name="_2008 RS sales plan (Sep 13)_2008 model mix_TYT vs ISZ_Mar11’08" xfId="2116" xr:uid="{00000000-0005-0000-0000-000068080000}"/>
    <cellStyle name="_2008 RS sales plan (Sep 13)_2008 Summary Sheet _JCC vs Actual" xfId="2117" xr:uid="{00000000-0005-0000-0000-000069080000}"/>
    <cellStyle name="_2008 RS sales plan (Sep 13)_2008 Summary Sheet _JCC vs Actual_000608" xfId="2118" xr:uid="{00000000-0005-0000-0000-00006A080000}"/>
    <cellStyle name="_2008 RS sales plan (Sep 13)_2008 Summary Sheet _JCC vs Actual_080608" xfId="2119" xr:uid="{00000000-0005-0000-0000-00006B080000}"/>
    <cellStyle name="_2008 RS sales plan (Sep 13)_2008 Summary Sheet _JCC vs Actual_after FO" xfId="2120" xr:uid="{00000000-0005-0000-0000-00006C080000}"/>
    <cellStyle name="_2008 RS sales plan (Sep 13)_2008 Summary Sheet _JCC vs Actual_FO" xfId="2121" xr:uid="{00000000-0005-0000-0000-00006D080000}"/>
    <cellStyle name="_2008 RS sales plan (Sep 13)_2008 Summary sheet_080410_1st FO(in the meeting)_revised" xfId="2122" xr:uid="{00000000-0005-0000-0000-00006E080000}"/>
    <cellStyle name="_2008 RS sales plan (Sep 13)_2008 Summary sheet_Actual base" xfId="2123" xr:uid="{00000000-0005-0000-0000-00006F080000}"/>
    <cellStyle name="_2008 RS sales plan (Sep 13)_2nd FO_Dec.28" xfId="2124" xr:uid="{00000000-0005-0000-0000-000070080000}"/>
    <cellStyle name="_2008 RS sales plan (Sep 13)_For 1st FO_Jan'08" xfId="2125" xr:uid="{00000000-0005-0000-0000-000071080000}"/>
    <cellStyle name="_2008 RS sales plan (Sep 13)_Inventory for Budget_2008-2009 Updated" xfId="2126" xr:uid="{00000000-0005-0000-0000-000072080000}"/>
    <cellStyle name="_2008 RS sales plan (Sep 13)_Inventory for Budget_2008-2009 Updated_2008 Inventory Ratio_TF_actual" xfId="2127" xr:uid="{00000000-0005-0000-0000-000073080000}"/>
    <cellStyle name="_2008 RS sales plan (Sep 13)_Model Mix 2008-2009 for budget_Dec.17" xfId="2128" xr:uid="{00000000-0005-0000-0000-000074080000}"/>
    <cellStyle name="_2008 RS sales plan (Sep 13)_Model Mix 2008-2009 for budget_Dec.17_2008 Inventory Ratio_TF_actual" xfId="2129" xr:uid="{00000000-0005-0000-0000-000075080000}"/>
    <cellStyle name="_2008 RS sales plan (Sep 13)_Retail Sale Forcast. Jan-2008 _Jan4" xfId="2130" xr:uid="{00000000-0005-0000-0000-000076080000}"/>
    <cellStyle name="_2008 RS sales plan (Sep 13)_Retail Sale Forcast. Jan-2008 _Jan4_2008 Inventory Ratio_TF_actual" xfId="2131" xr:uid="{00000000-0005-0000-0000-000077080000}"/>
    <cellStyle name="_2008 RS sales plan (Sep 13)_summary sheet 2007_2008 (for actual order)" xfId="2132" xr:uid="{00000000-0005-0000-0000-000078080000}"/>
    <cellStyle name="_2008 RS sales plan (Sep 13)_summary sheet 2007_2008 (for actual order)_2008 Inventory Ratio_TF_actual" xfId="2133" xr:uid="{00000000-0005-0000-0000-000079080000}"/>
    <cellStyle name="_2008 RS sales plan (Sep 13)_summary sheet 2007_2008 (for actual order)_summary sheet 2007_2008 _Dec" xfId="2134" xr:uid="{00000000-0005-0000-0000-00007A080000}"/>
    <cellStyle name="_2008 RS sales plan (Sep 13)_summary sheet 2007_2008 (for actual order)_summary sheet 2007_2008 _Dec_~6321223" xfId="2135" xr:uid="{00000000-0005-0000-0000-00007B080000}"/>
    <cellStyle name="_2008 RS sales plan (Sep 13)_summary sheet 2007_2008 (for actual order)_summary sheet 2007_2008 _Dec_080215_For 1st FO" xfId="2136" xr:uid="{00000000-0005-0000-0000-00007C080000}"/>
    <cellStyle name="_2008 RS sales plan (Sep 13)_summary sheet 2007_2008 (for actual order)_summary sheet 2007_2008 _Dec_080215_For 1st FO_Final3" xfId="2137" xr:uid="{00000000-0005-0000-0000-00007D080000}"/>
    <cellStyle name="_2008 RS sales plan (Sep 13)_summary sheet 2007_2008 (for actual order)_summary sheet 2007_2008 _Dec_080215_For 1st FO_updated" xfId="2138" xr:uid="{00000000-0005-0000-0000-00007E080000}"/>
    <cellStyle name="_2008 RS sales plan (Sep 13)_summary sheet 2007_2008 (for actual order)_summary sheet 2007_2008 _Dec_080703 2008 Summary Sheet _JCC vs Actual" xfId="2139" xr:uid="{00000000-0005-0000-0000-00007F080000}"/>
    <cellStyle name="_2008 RS sales plan (Sep 13)_summary sheet 2007_2008 (for actual order)_summary sheet 2007_2008 _Dec_080703 2008 Summary Sheet _JCC vs Actual rev" xfId="2140" xr:uid="{00000000-0005-0000-0000-000080080000}"/>
    <cellStyle name="_2008 RS sales plan (Sep 13)_summary sheet 2007_2008 (for actual order)_summary sheet 2007_2008 _Dec_080710 2009 Summary Sheet" xfId="2141" xr:uid="{00000000-0005-0000-0000-000081080000}"/>
    <cellStyle name="_2008 RS sales plan (Sep 13)_summary sheet 2007_2008 (for actual order)_summary sheet 2007_2008 _Dec_080710 The Final Summary Sheet" xfId="2142" xr:uid="{00000000-0005-0000-0000-000082080000}"/>
    <cellStyle name="_2008 RS sales plan (Sep 13)_summary sheet 2007_2008 (for actual order)_summary sheet 2007_2008 _Dec_2007 RS_Model Mix_Dec'07xls_Actual" xfId="2143" xr:uid="{00000000-0005-0000-0000-000083080000}"/>
    <cellStyle name="_2008 RS sales plan (Sep 13)_summary sheet 2007_2008 (for actual order)_summary sheet 2007_2008 _Dec_2007 RS_Model Mix_Dec'07xls_Actual_2008 Inventory Ratio_TF_actual" xfId="2144" xr:uid="{00000000-0005-0000-0000-000084080000}"/>
    <cellStyle name="_2008 RS sales plan (Sep 13)_summary sheet 2007_2008 (for actual order)_summary sheet 2007_2008 _Dec_2007-2008 RS_Model Mix_DNet" xfId="2145" xr:uid="{00000000-0005-0000-0000-000085080000}"/>
    <cellStyle name="_2008 RS sales plan (Sep 13)_summary sheet 2007_2008 (for actual order)_summary sheet 2007_2008 _Dec_2008 Summary Sheet _JCC vs Actual" xfId="2146" xr:uid="{00000000-0005-0000-0000-000086080000}"/>
    <cellStyle name="_2008 RS sales plan (Sep 13)_summary sheet 2007_2008 (for actual order)_summary sheet 2007_2008 _Dec_2008 Summary Sheet _JCC vs Actual_000608" xfId="2147" xr:uid="{00000000-0005-0000-0000-000087080000}"/>
    <cellStyle name="_2008 RS sales plan (Sep 13)_summary sheet 2007_2008 (for actual order)_summary sheet 2007_2008 _Dec_2008 Summary Sheet _JCC vs Actual_080608" xfId="2148" xr:uid="{00000000-0005-0000-0000-000088080000}"/>
    <cellStyle name="_2008 RS sales plan (Sep 13)_summary sheet 2007_2008 (for actual order)_summary sheet 2007_2008 _Dec_2008 Summary Sheet _JCC vs Actual_after FO" xfId="2149" xr:uid="{00000000-0005-0000-0000-000089080000}"/>
    <cellStyle name="_2008 RS sales plan (Sep 13)_summary sheet 2007_2008 (for actual order)_summary sheet 2007_2008 _Dec_2008 Summary Sheet _JCC vs Actual_FO" xfId="2150" xr:uid="{00000000-0005-0000-0000-00008A080000}"/>
    <cellStyle name="_2008 RS sales plan (Sep 13)_summary sheet 2007_2008 (for actual order)_summary sheet 2007_2008 _Dec_2008 Summary sheet_080410_1st FO(in the meeting)_revised" xfId="2151" xr:uid="{00000000-0005-0000-0000-00008B080000}"/>
    <cellStyle name="_2008 RS sales plan (Sep 13)_summary sheet 2007_2008 (for actual order)_summary sheet 2007_2008 _Dec_2008 Summary sheet_Actual base" xfId="2152" xr:uid="{00000000-0005-0000-0000-00008C080000}"/>
    <cellStyle name="_2008 RS sales plan (Sep 13)_summary sheet 2007_2008 (for actual order)_summary sheet 2007_2008 _Dec_2nd FO_Dec.28" xfId="2153" xr:uid="{00000000-0005-0000-0000-00008D080000}"/>
    <cellStyle name="_2008 RS sales plan (Sep 13)_summary sheet 2007_2008 (for actual order)_summary sheet 2007_2008 _Dec_For 1st FO_Jan'08" xfId="2154" xr:uid="{00000000-0005-0000-0000-00008E080000}"/>
    <cellStyle name="_2008 RS sales plan (Sep 13)_summary sheet 2007_2008 (for actual order)_summary sheet 2007_2008 _Dec_Inventory for Budget_2008-2009 Updated" xfId="2155" xr:uid="{00000000-0005-0000-0000-00008F080000}"/>
    <cellStyle name="_2008 RS sales plan (Sep 13)_summary sheet 2007_2008 (for actual order)_summary sheet 2007_2008 _Dec_Inventory for Budget_2008-2009 Updated_2008 Inventory Ratio_TF_actual" xfId="2156" xr:uid="{00000000-0005-0000-0000-000090080000}"/>
    <cellStyle name="_2008 RS sales plan (Sep 13)_summary sheet 2007_2008 (for actual order)_summary sheet 2007_2008 _Dec_Model Mix 2008-2009 for budget_Dec.17" xfId="2157" xr:uid="{00000000-0005-0000-0000-000091080000}"/>
    <cellStyle name="_2008 RS sales plan (Sep 13)_summary sheet 2007_2008 (for actual order)_summary sheet 2007_2008 _Dec_Model Mix 2008-2009 for budget_Dec.17_2008 Inventory Ratio_TF_actual" xfId="2158" xr:uid="{00000000-0005-0000-0000-000092080000}"/>
    <cellStyle name="_2008 RS sales plan (Sep 13)_summary sheet 2007_2008 (for actual order)_summary sheet 2007_2008 _Dec_Retail Sale Forcast. Jan-2008 _Jan4" xfId="2159" xr:uid="{00000000-0005-0000-0000-000093080000}"/>
    <cellStyle name="_2008 RS sales plan (Sep 13)_summary sheet 2007_2008 (for actual order)_summary sheet 2007_2008 _Dec_Retail Sale Forcast. Jan-2008 _Jan4_2008 Inventory Ratio_TF_actual" xfId="2160" xr:uid="{00000000-0005-0000-0000-000094080000}"/>
    <cellStyle name="_2008 RS sales plan (Sep 13)_summary sheet 2007_2008 (for actual order)_summary sheet 2007_2008 _Dec_summary sheet 2007_2008 _Dec_2" xfId="2161" xr:uid="{00000000-0005-0000-0000-000095080000}"/>
    <cellStyle name="_2008 RS sales plan (Sep 13)_summary sheet 2007_2008 (for actual order)_summary sheet 2007_2008 _Dec_summary sheet 2007_2008 _Dec_2_2008 Inventory Ratio_TF_actual" xfId="2162" xr:uid="{00000000-0005-0000-0000-000096080000}"/>
    <cellStyle name="_2008 RS sales plan (Sep 13)_summary sheet 2007_2008 (for actual order)_summary sheet 2007_2008 _Dec_summary sheet 2007_2008 _Dec14_revised1" xfId="2163" xr:uid="{00000000-0005-0000-0000-000097080000}"/>
    <cellStyle name="_2008 RS sales plan (Sep 13)_summary sheet 2007_2008 (for actual order)_summary sheet 2007_2008 _Dec_summary sheet 2007_2008 _Dec14_revised1_2008 Inventory Ratio_TF_actual" xfId="2164" xr:uid="{00000000-0005-0000-0000-000098080000}"/>
    <cellStyle name="_2008 RS sales plan (Sep 13)_summary sheet 2007_2008 (for actual order)_summary sheet 2007_2008 _Dec_summary sheet 2007_2008 _Dec14_revised2" xfId="2165" xr:uid="{00000000-0005-0000-0000-000099080000}"/>
    <cellStyle name="_2008 RS sales plan (Sep 13)_summary sheet 2007_2008 (for actual order)_summary sheet 2007_2008 _Dec_summary sheet 2007_2008 _Dec14_revised2_2008 Inventory Ratio_TF_actual" xfId="2166" xr:uid="{00000000-0005-0000-0000-00009A080000}"/>
    <cellStyle name="_2008 RS sales plan (Sep 13)_summary sheet 2007_2008 (for actual order)_summary sheet 2007_2008 _Dec_Summary sheet_for FO_JCC Base" xfId="2167" xr:uid="{00000000-0005-0000-0000-00009B080000}"/>
    <cellStyle name="_2008 RS sales plan (Sep 13)_summary sheet 2007_2008 (for actual order)_summary sheet 2007_2008 _Dec_TYT vs ISZ_Mar11’08" xfId="2168" xr:uid="{00000000-0005-0000-0000-00009C080000}"/>
    <cellStyle name="_2008 RS sales plan (Sep 13)_summary sheet 2007_2008 _Dec" xfId="2169" xr:uid="{00000000-0005-0000-0000-00009D080000}"/>
    <cellStyle name="_2008 RS sales plan (Sep 13)_summary sheet 2007_2008 _Dec_2" xfId="2170" xr:uid="{00000000-0005-0000-0000-00009E080000}"/>
    <cellStyle name="_2008 RS sales plan (Sep 13)_summary sheet 2007_2008 _Dec_2_2008 Inventory Ratio_TF_actual" xfId="2171" xr:uid="{00000000-0005-0000-0000-00009F080000}"/>
    <cellStyle name="_2008 RS sales plan (Sep 13)_summary sheet 2007_2008 _Dec_2008 Inventory Ratio_TF_actual" xfId="2172" xr:uid="{00000000-0005-0000-0000-0000A0080000}"/>
    <cellStyle name="_2008 RS sales plan (Sep 13)_summary sheet 2007_2008 _Dec_summary sheet 2007_2008 _Dec" xfId="2173" xr:uid="{00000000-0005-0000-0000-0000A1080000}"/>
    <cellStyle name="_2008 RS sales plan (Sep 13)_summary sheet 2007_2008 _Dec_summary sheet 2007_2008 _Dec_~6321223" xfId="2174" xr:uid="{00000000-0005-0000-0000-0000A2080000}"/>
    <cellStyle name="_2008 RS sales plan (Sep 13)_summary sheet 2007_2008 _Dec_summary sheet 2007_2008 _Dec_080215_For 1st FO" xfId="2175" xr:uid="{00000000-0005-0000-0000-0000A3080000}"/>
    <cellStyle name="_2008 RS sales plan (Sep 13)_summary sheet 2007_2008 _Dec_summary sheet 2007_2008 _Dec_080215_For 1st FO_Final3" xfId="2176" xr:uid="{00000000-0005-0000-0000-0000A4080000}"/>
    <cellStyle name="_2008 RS sales plan (Sep 13)_summary sheet 2007_2008 _Dec_summary sheet 2007_2008 _Dec_080215_For 1st FO_updated" xfId="2177" xr:uid="{00000000-0005-0000-0000-0000A5080000}"/>
    <cellStyle name="_2008 RS sales plan (Sep 13)_summary sheet 2007_2008 _Dec_summary sheet 2007_2008 _Dec_080703 2008 Summary Sheet _JCC vs Actual" xfId="2178" xr:uid="{00000000-0005-0000-0000-0000A6080000}"/>
    <cellStyle name="_2008 RS sales plan (Sep 13)_summary sheet 2007_2008 _Dec_summary sheet 2007_2008 _Dec_080703 2008 Summary Sheet _JCC vs Actual rev" xfId="2179" xr:uid="{00000000-0005-0000-0000-0000A7080000}"/>
    <cellStyle name="_2008 RS sales plan (Sep 13)_summary sheet 2007_2008 _Dec_summary sheet 2007_2008 _Dec_080710 2009 Summary Sheet" xfId="2180" xr:uid="{00000000-0005-0000-0000-0000A8080000}"/>
    <cellStyle name="_2008 RS sales plan (Sep 13)_summary sheet 2007_2008 _Dec_summary sheet 2007_2008 _Dec_080710 The Final Summary Sheet" xfId="2181" xr:uid="{00000000-0005-0000-0000-0000A9080000}"/>
    <cellStyle name="_2008 RS sales plan (Sep 13)_summary sheet 2007_2008 _Dec_summary sheet 2007_2008 _Dec_2007 RS_Model Mix_Dec'07xls_Actual" xfId="2182" xr:uid="{00000000-0005-0000-0000-0000AA080000}"/>
    <cellStyle name="_2008 RS sales plan (Sep 13)_summary sheet 2007_2008 _Dec_summary sheet 2007_2008 _Dec_2007 RS_Model Mix_Dec'07xls_Actual_2008 Inventory Ratio_TF_actual" xfId="2183" xr:uid="{00000000-0005-0000-0000-0000AB080000}"/>
    <cellStyle name="_2008 RS sales plan (Sep 13)_summary sheet 2007_2008 _Dec_summary sheet 2007_2008 _Dec_2007-2008 RS_Model Mix_DNet" xfId="2184" xr:uid="{00000000-0005-0000-0000-0000AC080000}"/>
    <cellStyle name="_2008 RS sales plan (Sep 13)_summary sheet 2007_2008 _Dec_summary sheet 2007_2008 _Dec_2008 Summary Sheet _JCC vs Actual" xfId="2185" xr:uid="{00000000-0005-0000-0000-0000AD080000}"/>
    <cellStyle name="_2008 RS sales plan (Sep 13)_summary sheet 2007_2008 _Dec_summary sheet 2007_2008 _Dec_2008 Summary Sheet _JCC vs Actual_000608" xfId="2186" xr:uid="{00000000-0005-0000-0000-0000AE080000}"/>
    <cellStyle name="_2008 RS sales plan (Sep 13)_summary sheet 2007_2008 _Dec_summary sheet 2007_2008 _Dec_2008 Summary Sheet _JCC vs Actual_080608" xfId="2187" xr:uid="{00000000-0005-0000-0000-0000AF080000}"/>
    <cellStyle name="_2008 RS sales plan (Sep 13)_summary sheet 2007_2008 _Dec_summary sheet 2007_2008 _Dec_2008 Summary Sheet _JCC vs Actual_after FO" xfId="2188" xr:uid="{00000000-0005-0000-0000-0000B0080000}"/>
    <cellStyle name="_2008 RS sales plan (Sep 13)_summary sheet 2007_2008 _Dec_summary sheet 2007_2008 _Dec_2008 Summary Sheet _JCC vs Actual_FO" xfId="2189" xr:uid="{00000000-0005-0000-0000-0000B1080000}"/>
    <cellStyle name="_2008 RS sales plan (Sep 13)_summary sheet 2007_2008 _Dec_summary sheet 2007_2008 _Dec_2008 Summary sheet_080410_1st FO(in the meeting)_revised" xfId="2190" xr:uid="{00000000-0005-0000-0000-0000B2080000}"/>
    <cellStyle name="_2008 RS sales plan (Sep 13)_summary sheet 2007_2008 _Dec_summary sheet 2007_2008 _Dec_2008 Summary sheet_Actual base" xfId="2191" xr:uid="{00000000-0005-0000-0000-0000B3080000}"/>
    <cellStyle name="_2008 RS sales plan (Sep 13)_summary sheet 2007_2008 _Dec_summary sheet 2007_2008 _Dec_2nd FO_Dec.28" xfId="2192" xr:uid="{00000000-0005-0000-0000-0000B4080000}"/>
    <cellStyle name="_2008 RS sales plan (Sep 13)_summary sheet 2007_2008 _Dec_summary sheet 2007_2008 _Dec_For 1st FO_Jan'08" xfId="2193" xr:uid="{00000000-0005-0000-0000-0000B5080000}"/>
    <cellStyle name="_2008 RS sales plan (Sep 13)_summary sheet 2007_2008 _Dec_summary sheet 2007_2008 _Dec_Inventory for Budget_2008-2009 Updated" xfId="2194" xr:uid="{00000000-0005-0000-0000-0000B6080000}"/>
    <cellStyle name="_2008 RS sales plan (Sep 13)_summary sheet 2007_2008 _Dec_summary sheet 2007_2008 _Dec_Inventory for Budget_2008-2009 Updated_2008 Inventory Ratio_TF_actual" xfId="2195" xr:uid="{00000000-0005-0000-0000-0000B7080000}"/>
    <cellStyle name="_2008 RS sales plan (Sep 13)_summary sheet 2007_2008 _Dec_summary sheet 2007_2008 _Dec_Model Mix 2008-2009 for budget_Dec.17" xfId="2196" xr:uid="{00000000-0005-0000-0000-0000B8080000}"/>
    <cellStyle name="_2008 RS sales plan (Sep 13)_summary sheet 2007_2008 _Dec_summary sheet 2007_2008 _Dec_Model Mix 2008-2009 for budget_Dec.17_2008 Inventory Ratio_TF_actual" xfId="2197" xr:uid="{00000000-0005-0000-0000-0000B9080000}"/>
    <cellStyle name="_2008 RS sales plan (Sep 13)_summary sheet 2007_2008 _Dec_summary sheet 2007_2008 _Dec_Retail Sale Forcast. Jan-2008 _Jan4" xfId="2198" xr:uid="{00000000-0005-0000-0000-0000BA080000}"/>
    <cellStyle name="_2008 RS sales plan (Sep 13)_summary sheet 2007_2008 _Dec_summary sheet 2007_2008 _Dec_Retail Sale Forcast. Jan-2008 _Jan4_2008 Inventory Ratio_TF_actual" xfId="2199" xr:uid="{00000000-0005-0000-0000-0000BB080000}"/>
    <cellStyle name="_2008 RS sales plan (Sep 13)_summary sheet 2007_2008 _Dec_summary sheet 2007_2008 _Dec_summary sheet 2007_2008 _Dec_2" xfId="2200" xr:uid="{00000000-0005-0000-0000-0000BC080000}"/>
    <cellStyle name="_2008 RS sales plan (Sep 13)_summary sheet 2007_2008 _Dec_summary sheet 2007_2008 _Dec_summary sheet 2007_2008 _Dec_2_2008 Inventory Ratio_TF_actual" xfId="2201" xr:uid="{00000000-0005-0000-0000-0000BD080000}"/>
    <cellStyle name="_2008 RS sales plan (Sep 13)_summary sheet 2007_2008 _Dec_summary sheet 2007_2008 _Dec_summary sheet 2007_2008 _Dec14_revised1" xfId="2202" xr:uid="{00000000-0005-0000-0000-0000BE080000}"/>
    <cellStyle name="_2008 RS sales plan (Sep 13)_summary sheet 2007_2008 _Dec_summary sheet 2007_2008 _Dec_summary sheet 2007_2008 _Dec14_revised1_2008 Inventory Ratio_TF_actual" xfId="2203" xr:uid="{00000000-0005-0000-0000-0000BF080000}"/>
    <cellStyle name="_2008 RS sales plan (Sep 13)_summary sheet 2007_2008 _Dec_summary sheet 2007_2008 _Dec_summary sheet 2007_2008 _Dec14_revised2" xfId="2204" xr:uid="{00000000-0005-0000-0000-0000C0080000}"/>
    <cellStyle name="_2008 RS sales plan (Sep 13)_summary sheet 2007_2008 _Dec_summary sheet 2007_2008 _Dec_summary sheet 2007_2008 _Dec14_revised2_2008 Inventory Ratio_TF_actual" xfId="2205" xr:uid="{00000000-0005-0000-0000-0000C1080000}"/>
    <cellStyle name="_2008 RS sales plan (Sep 13)_summary sheet 2007_2008 _Dec_summary sheet 2007_2008 _Dec_Summary sheet_for FO_JCC Base" xfId="2206" xr:uid="{00000000-0005-0000-0000-0000C2080000}"/>
    <cellStyle name="_2008 RS sales plan (Sep 13)_summary sheet 2007_2008 _Dec_summary sheet 2007_2008 _Dec_TYT vs ISZ_Mar11’08" xfId="2207" xr:uid="{00000000-0005-0000-0000-0000C3080000}"/>
    <cellStyle name="_2008 RS sales plan (Sep 13)_summary sheet 2007_2008 _Dec14_revised1" xfId="2208" xr:uid="{00000000-0005-0000-0000-0000C4080000}"/>
    <cellStyle name="_2008 RS sales plan (Sep 13)_summary sheet 2007_2008 _Dec14_revised1_2008 Inventory Ratio_TF_actual" xfId="2209" xr:uid="{00000000-0005-0000-0000-0000C5080000}"/>
    <cellStyle name="_2008 RS sales plan (Sep 13)_summary sheet 2007_2008 _Dec14_revised2" xfId="2210" xr:uid="{00000000-0005-0000-0000-0000C6080000}"/>
    <cellStyle name="_2008 RS sales plan (Sep 13)_summary sheet 2007_2008 _Dec14_revised2_2008 Inventory Ratio_TF_actual" xfId="2211" xr:uid="{00000000-0005-0000-0000-0000C7080000}"/>
    <cellStyle name="_2008 RS sales plan (Sep 13)_Summary sheet_for FO_JCC Base" xfId="2212" xr:uid="{00000000-0005-0000-0000-0000C8080000}"/>
    <cellStyle name="_2008 RS sales plan (Sep 13)_TYT vs ISZ_Mar11’08" xfId="2213" xr:uid="{00000000-0005-0000-0000-0000C9080000}"/>
    <cellStyle name="_2008 Summary Sheet _JCC vs Actual" xfId="2214" xr:uid="{00000000-0005-0000-0000-0000CA080000}"/>
    <cellStyle name="_2008 Summary Sheet _JCC vs Actual_000608" xfId="2215" xr:uid="{00000000-0005-0000-0000-0000CB080000}"/>
    <cellStyle name="_2008 Summary Sheet _JCC vs Actual_080608" xfId="2216" xr:uid="{00000000-0005-0000-0000-0000CC080000}"/>
    <cellStyle name="_2008 Summary Sheet _JCC vs Actual_after FO" xfId="2217" xr:uid="{00000000-0005-0000-0000-0000CD080000}"/>
    <cellStyle name="_2008 Summary Sheet _JCC vs Actual_FO" xfId="2218" xr:uid="{00000000-0005-0000-0000-0000CE080000}"/>
    <cellStyle name="_2008 Summary sheet_080410_1st FO(in the meeting)_revised" xfId="2219" xr:uid="{00000000-0005-0000-0000-0000CF080000}"/>
    <cellStyle name="_2008 Summary sheet_Actual base" xfId="2220" xr:uid="{00000000-0005-0000-0000-0000D0080000}"/>
    <cellStyle name="_2nd FO_Dec.28" xfId="2221" xr:uid="{00000000-0005-0000-0000-0000D1080000}"/>
    <cellStyle name="_Book1" xfId="2222" xr:uid="{00000000-0005-0000-0000-0000D2080000}"/>
    <cellStyle name="_Book2" xfId="2223" xr:uid="{00000000-0005-0000-0000-0000D3080000}"/>
    <cellStyle name="_Book2_2012 Capacity up Plan-2" xfId="2224" xr:uid="{00000000-0005-0000-0000-0000D4080000}"/>
    <cellStyle name="_Book2_2012 Capacity up Plan-2_15Dec_よし" xfId="2225" xr:uid="{00000000-0005-0000-0000-0000D5080000}"/>
    <cellStyle name="_Change operation 10 TF" xfId="2226" xr:uid="{00000000-0005-0000-0000-0000D6080000}"/>
    <cellStyle name="_Change point 10MY_20090629" xfId="2227" xr:uid="{00000000-0005-0000-0000-0000D7080000}"/>
    <cellStyle name="_Change point 10MY_20090629_2012 Capacity up Plan-2" xfId="2228" xr:uid="{00000000-0005-0000-0000-0000D8080000}"/>
    <cellStyle name="_Change point 10MY_20090629_2012 Capacity up Plan-2_15Dec_よし" xfId="2229" xr:uid="{00000000-0005-0000-0000-0000D9080000}"/>
    <cellStyle name="_Change Point_Lay Out Final 10MY" xfId="2230" xr:uid="{00000000-0005-0000-0000-0000DA080000}"/>
    <cellStyle name="_Change Point_Lay Out Final 10MY_2012 Capacity up Plan-2" xfId="2231" xr:uid="{00000000-0005-0000-0000-0000DB080000}"/>
    <cellStyle name="_Change Point_Lay Out Final 10MY_2012 Capacity up Plan-2_15Dec_よし" xfId="2232" xr:uid="{00000000-0005-0000-0000-0000DC080000}"/>
    <cellStyle name="_Change point-1" xfId="2233" xr:uid="{00000000-0005-0000-0000-0000DD080000}"/>
    <cellStyle name="_Change point-1_2012 Capacity up Plan-2" xfId="2234" xr:uid="{00000000-0005-0000-0000-0000DE080000}"/>
    <cellStyle name="_Change point-1_2012 Capacity up Plan-2_15Dec_よし" xfId="2235" xr:uid="{00000000-0005-0000-0000-0000DF080000}"/>
    <cellStyle name="_Change point-2" xfId="2236" xr:uid="{00000000-0005-0000-0000-0000E0080000}"/>
    <cellStyle name="_Change point-2_2012 Capacity up Plan-2" xfId="2237" xr:uid="{00000000-0005-0000-0000-0000E1080000}"/>
    <cellStyle name="_Change point-2_2012 Capacity up Plan-2_15Dec_よし" xfId="2238" xr:uid="{00000000-0005-0000-0000-0000E2080000}"/>
    <cellStyle name="_Chassis 22 Model (20090129)" xfId="2239" xr:uid="{00000000-0005-0000-0000-0000E3080000}"/>
    <cellStyle name="_Chassis 22 Model (20090129)_Change point 10MY_20090629" xfId="2240" xr:uid="{00000000-0005-0000-0000-0000E4080000}"/>
    <cellStyle name="_Chassis 22 Model (20090129)_Change point-1" xfId="2241" xr:uid="{00000000-0005-0000-0000-0000E5080000}"/>
    <cellStyle name="_Chassis 22 Model (20090129)_Change point-1_2012 Capacity up Plan-2" xfId="2242" xr:uid="{00000000-0005-0000-0000-0000E6080000}"/>
    <cellStyle name="_Chassis 22 Model (20090129)_Change point-1_2012 Capacity up Plan-2_15Dec_よし" xfId="2243" xr:uid="{00000000-0005-0000-0000-0000E7080000}"/>
    <cellStyle name="_Chassis 22 Model (20090129)_Change point-2" xfId="2244" xr:uid="{00000000-0005-0000-0000-0000E8080000}"/>
    <cellStyle name="_Chassis 22 Model (20090129)_Change point-2_2012 Capacity up Plan-2" xfId="2245" xr:uid="{00000000-0005-0000-0000-0000E9080000}"/>
    <cellStyle name="_Chassis 22 Model (20090129)_Change point-2_2012 Capacity up Plan-2_15Dec_よし" xfId="2246" xr:uid="{00000000-0005-0000-0000-0000EA080000}"/>
    <cellStyle name="_Chassis Oranization_20090908" xfId="2247" xr:uid="{00000000-0005-0000-0000-0000EB080000}"/>
    <cellStyle name="_Conclusion_20100311" xfId="2248" xr:uid="{00000000-0005-0000-0000-0000EC080000}"/>
    <cellStyle name="_Conclusion_20100311_2012 Capacity up Plan-2" xfId="2249" xr:uid="{00000000-0005-0000-0000-0000ED080000}"/>
    <cellStyle name="_Conclusion_20100311_2012 Capacity up Plan-2_15Dec_よし" xfId="2250" xr:uid="{00000000-0005-0000-0000-0000EE080000}"/>
    <cellStyle name="_COST_SIDE STEP AND RR BUMPER 20091202" xfId="2251" xr:uid="{00000000-0005-0000-0000-0000EF080000}"/>
    <cellStyle name="_Demand forecast 2008 (Sep11)-rev1" xfId="2252" xr:uid="{00000000-0005-0000-0000-0000F0080000}"/>
    <cellStyle name="_Demand forecast 2008 (Sep11)-rev1_~2428181" xfId="2253" xr:uid="{00000000-0005-0000-0000-0000F1080000}"/>
    <cellStyle name="_Demand forecast 2008 (Sep11)-rev1_~2428181_~6321223" xfId="2254" xr:uid="{00000000-0005-0000-0000-0000F2080000}"/>
    <cellStyle name="_Demand forecast 2008 (Sep11)-rev1_~2428181_080215_For 1st FO" xfId="2255" xr:uid="{00000000-0005-0000-0000-0000F3080000}"/>
    <cellStyle name="_Demand forecast 2008 (Sep11)-rev1_~2428181_080215_For 1st FO_Final3" xfId="2256" xr:uid="{00000000-0005-0000-0000-0000F4080000}"/>
    <cellStyle name="_Demand forecast 2008 (Sep11)-rev1_~2428181_080215_For 1st FO_updated" xfId="2257" xr:uid="{00000000-0005-0000-0000-0000F5080000}"/>
    <cellStyle name="_Demand forecast 2008 (Sep11)-rev1_~2428181_080703 2008 Summary Sheet _JCC vs Actual" xfId="2258" xr:uid="{00000000-0005-0000-0000-0000F6080000}"/>
    <cellStyle name="_Demand forecast 2008 (Sep11)-rev1_~2428181_080703 2008 Summary Sheet _JCC vs Actual rev" xfId="2259" xr:uid="{00000000-0005-0000-0000-0000F7080000}"/>
    <cellStyle name="_Demand forecast 2008 (Sep11)-rev1_~2428181_080710 2009 Summary Sheet" xfId="2260" xr:uid="{00000000-0005-0000-0000-0000F8080000}"/>
    <cellStyle name="_Demand forecast 2008 (Sep11)-rev1_~2428181_080710 The Final Summary Sheet" xfId="2261" xr:uid="{00000000-0005-0000-0000-0000F9080000}"/>
    <cellStyle name="_Demand forecast 2008 (Sep11)-rev1_~2428181_2007 RS_Model Mix_Dec'07xls_Actual" xfId="2262" xr:uid="{00000000-0005-0000-0000-0000FA080000}"/>
    <cellStyle name="_Demand forecast 2008 (Sep11)-rev1_~2428181_2007 RS_Model Mix_Dec'07xls_Actual_2008 Inventory Ratio_TF_actual" xfId="2263" xr:uid="{00000000-0005-0000-0000-0000FB080000}"/>
    <cellStyle name="_Demand forecast 2008 (Sep11)-rev1_~2428181_2007-2008 RS_Model Mix_DNet" xfId="2264" xr:uid="{00000000-0005-0000-0000-0000FC080000}"/>
    <cellStyle name="_Demand forecast 2008 (Sep11)-rev1_~2428181_2008 Summary Sheet _JCC vs Actual" xfId="2265" xr:uid="{00000000-0005-0000-0000-0000FD080000}"/>
    <cellStyle name="_Demand forecast 2008 (Sep11)-rev1_~2428181_2008 Summary Sheet _JCC vs Actual_000608" xfId="2266" xr:uid="{00000000-0005-0000-0000-0000FE080000}"/>
    <cellStyle name="_Demand forecast 2008 (Sep11)-rev1_~2428181_2008 Summary Sheet _JCC vs Actual_080608" xfId="2267" xr:uid="{00000000-0005-0000-0000-0000FF080000}"/>
    <cellStyle name="_Demand forecast 2008 (Sep11)-rev1_~2428181_2008 Summary Sheet _JCC vs Actual_after FO" xfId="2268" xr:uid="{00000000-0005-0000-0000-000000090000}"/>
    <cellStyle name="_Demand forecast 2008 (Sep11)-rev1_~2428181_2008 Summary Sheet _JCC vs Actual_FO" xfId="2269" xr:uid="{00000000-0005-0000-0000-000001090000}"/>
    <cellStyle name="_Demand forecast 2008 (Sep11)-rev1_~2428181_2008 Summary sheet_080410_1st FO(in the meeting)_revised" xfId="2270" xr:uid="{00000000-0005-0000-0000-000002090000}"/>
    <cellStyle name="_Demand forecast 2008 (Sep11)-rev1_~2428181_2008 Summary sheet_Actual base" xfId="2271" xr:uid="{00000000-0005-0000-0000-000003090000}"/>
    <cellStyle name="_Demand forecast 2008 (Sep11)-rev1_~2428181_2nd FO_Dec.28" xfId="2272" xr:uid="{00000000-0005-0000-0000-000004090000}"/>
    <cellStyle name="_Demand forecast 2008 (Sep11)-rev1_~2428181_For 1st FO_Jan'08" xfId="2273" xr:uid="{00000000-0005-0000-0000-000005090000}"/>
    <cellStyle name="_Demand forecast 2008 (Sep11)-rev1_~2428181_Inventory for Budget_2008-2009 Updated" xfId="2274" xr:uid="{00000000-0005-0000-0000-000006090000}"/>
    <cellStyle name="_Demand forecast 2008 (Sep11)-rev1_~2428181_Inventory for Budget_2008-2009 Updated_2008 Inventory Ratio_TF_actual" xfId="2275" xr:uid="{00000000-0005-0000-0000-000007090000}"/>
    <cellStyle name="_Demand forecast 2008 (Sep11)-rev1_~2428181_Model Mix 2008-2009 for budget_Dec.17" xfId="2276" xr:uid="{00000000-0005-0000-0000-000008090000}"/>
    <cellStyle name="_Demand forecast 2008 (Sep11)-rev1_~2428181_Model Mix 2008-2009 for budget_Dec.17_2008 Inventory Ratio_TF_actual" xfId="2277" xr:uid="{00000000-0005-0000-0000-000009090000}"/>
    <cellStyle name="_Demand forecast 2008 (Sep11)-rev1_~2428181_Retail Sale Forcast. Jan-2008 _Jan4" xfId="2278" xr:uid="{00000000-0005-0000-0000-00000A090000}"/>
    <cellStyle name="_Demand forecast 2008 (Sep11)-rev1_~2428181_Retail Sale Forcast. Jan-2008 _Jan4_2008 Inventory Ratio_TF_actual" xfId="2279" xr:uid="{00000000-0005-0000-0000-00000B090000}"/>
    <cellStyle name="_Demand forecast 2008 (Sep11)-rev1_~2428181_summary sheet 2007_2008 (for actual order)" xfId="2280" xr:uid="{00000000-0005-0000-0000-00000C090000}"/>
    <cellStyle name="_Demand forecast 2008 (Sep11)-rev1_~2428181_summary sheet 2007_2008 (for actual order)_2008 Inventory Ratio_TF_actual" xfId="2281" xr:uid="{00000000-0005-0000-0000-00000D090000}"/>
    <cellStyle name="_Demand forecast 2008 (Sep11)-rev1_~2428181_summary sheet 2007_2008 (for actual order)_summary sheet 2007_2008 _Dec" xfId="2282" xr:uid="{00000000-0005-0000-0000-00000E090000}"/>
    <cellStyle name="_Demand forecast 2008 (Sep11)-rev1_~2428181_summary sheet 2007_2008 (for actual order)_summary sheet 2007_2008 _Dec_~6321223" xfId="2283" xr:uid="{00000000-0005-0000-0000-00000F090000}"/>
    <cellStyle name="_Demand forecast 2008 (Sep11)-rev1_~2428181_summary sheet 2007_2008 (for actual order)_summary sheet 2007_2008 _Dec_080215_For 1st FO" xfId="2284" xr:uid="{00000000-0005-0000-0000-000010090000}"/>
    <cellStyle name="_Demand forecast 2008 (Sep11)-rev1_~2428181_summary sheet 2007_2008 (for actual order)_summary sheet 2007_2008 _Dec_080215_For 1st FO_Final3" xfId="2285" xr:uid="{00000000-0005-0000-0000-000011090000}"/>
    <cellStyle name="_Demand forecast 2008 (Sep11)-rev1_~2428181_summary sheet 2007_2008 (for actual order)_summary sheet 2007_2008 _Dec_080215_For 1st FO_updated" xfId="2286" xr:uid="{00000000-0005-0000-0000-000012090000}"/>
    <cellStyle name="_Demand forecast 2008 (Sep11)-rev1_~2428181_summary sheet 2007_2008 (for actual order)_summary sheet 2007_2008 _Dec_080703 2008 Summary Sheet _JCC vs Actual" xfId="2287" xr:uid="{00000000-0005-0000-0000-000013090000}"/>
    <cellStyle name="_Demand forecast 2008 (Sep11)-rev1_~2428181_summary sheet 2007_2008 (for actual order)_summary sheet 2007_2008 _Dec_080703 2008 Summary Sheet _JCC vs Actual rev" xfId="2288" xr:uid="{00000000-0005-0000-0000-000014090000}"/>
    <cellStyle name="_Demand forecast 2008 (Sep11)-rev1_~2428181_summary sheet 2007_2008 (for actual order)_summary sheet 2007_2008 _Dec_080710 2009 Summary Sheet" xfId="2289" xr:uid="{00000000-0005-0000-0000-000015090000}"/>
    <cellStyle name="_Demand forecast 2008 (Sep11)-rev1_~2428181_summary sheet 2007_2008 (for actual order)_summary sheet 2007_2008 _Dec_080710 The Final Summary Sheet" xfId="2290" xr:uid="{00000000-0005-0000-0000-000016090000}"/>
    <cellStyle name="_Demand forecast 2008 (Sep11)-rev1_~2428181_summary sheet 2007_2008 (for actual order)_summary sheet 2007_2008 _Dec_2007 RS_Model Mix_Dec'07xls_Actual" xfId="2291" xr:uid="{00000000-0005-0000-0000-000017090000}"/>
    <cellStyle name="_Demand forecast 2008 (Sep11)-rev1_~2428181_summary sheet 2007_2008 (for actual order)_summary sheet 2007_2008 _Dec_2007 RS_Model Mix_Dec'07xls_Actual_2008 Inventory Ratio_TF_actual" xfId="2292" xr:uid="{00000000-0005-0000-0000-000018090000}"/>
    <cellStyle name="_Demand forecast 2008 (Sep11)-rev1_~2428181_summary sheet 2007_2008 (for actual order)_summary sheet 2007_2008 _Dec_2007-2008 RS_Model Mix_DNet" xfId="2293" xr:uid="{00000000-0005-0000-0000-000019090000}"/>
    <cellStyle name="_Demand forecast 2008 (Sep11)-rev1_~2428181_summary sheet 2007_2008 (for actual order)_summary sheet 2007_2008 _Dec_2008 Summary Sheet _JCC vs Actual" xfId="2294" xr:uid="{00000000-0005-0000-0000-00001A090000}"/>
    <cellStyle name="_Demand forecast 2008 (Sep11)-rev1_~2428181_summary sheet 2007_2008 (for actual order)_summary sheet 2007_2008 _Dec_2008 Summary Sheet _JCC vs Actual_000608" xfId="2295" xr:uid="{00000000-0005-0000-0000-00001B090000}"/>
    <cellStyle name="_Demand forecast 2008 (Sep11)-rev1_~2428181_summary sheet 2007_2008 (for actual order)_summary sheet 2007_2008 _Dec_2008 Summary Sheet _JCC vs Actual_080608" xfId="2296" xr:uid="{00000000-0005-0000-0000-00001C090000}"/>
    <cellStyle name="_Demand forecast 2008 (Sep11)-rev1_~2428181_summary sheet 2007_2008 (for actual order)_summary sheet 2007_2008 _Dec_2008 Summary Sheet _JCC vs Actual_after FO" xfId="2297" xr:uid="{00000000-0005-0000-0000-00001D090000}"/>
    <cellStyle name="_Demand forecast 2008 (Sep11)-rev1_~2428181_summary sheet 2007_2008 (for actual order)_summary sheet 2007_2008 _Dec_2008 Summary Sheet _JCC vs Actual_FO" xfId="2298" xr:uid="{00000000-0005-0000-0000-00001E090000}"/>
    <cellStyle name="_Demand forecast 2008 (Sep11)-rev1_~2428181_summary sheet 2007_2008 (for actual order)_summary sheet 2007_2008 _Dec_2008 Summary sheet_080410_1st FO(in the meeting)_revised" xfId="2299" xr:uid="{00000000-0005-0000-0000-00001F090000}"/>
    <cellStyle name="_Demand forecast 2008 (Sep11)-rev1_~2428181_summary sheet 2007_2008 (for actual order)_summary sheet 2007_2008 _Dec_2008 Summary sheet_Actual base" xfId="2300" xr:uid="{00000000-0005-0000-0000-000020090000}"/>
    <cellStyle name="_Demand forecast 2008 (Sep11)-rev1_~2428181_summary sheet 2007_2008 (for actual order)_summary sheet 2007_2008 _Dec_2nd FO_Dec.28" xfId="2301" xr:uid="{00000000-0005-0000-0000-000021090000}"/>
    <cellStyle name="_Demand forecast 2008 (Sep11)-rev1_~2428181_summary sheet 2007_2008 (for actual order)_summary sheet 2007_2008 _Dec_For 1st FO_Jan'08" xfId="2302" xr:uid="{00000000-0005-0000-0000-000022090000}"/>
    <cellStyle name="_Demand forecast 2008 (Sep11)-rev1_~2428181_summary sheet 2007_2008 (for actual order)_summary sheet 2007_2008 _Dec_Inventory for Budget_2008-2009 Updated" xfId="2303" xr:uid="{00000000-0005-0000-0000-000023090000}"/>
    <cellStyle name="_Demand forecast 2008 (Sep11)-rev1_~2428181_summary sheet 2007_2008 (for actual order)_summary sheet 2007_2008 _Dec_Inventory for Budget_2008-2009 Updated_2008 Inventory Ratio_TF_actual" xfId="2304" xr:uid="{00000000-0005-0000-0000-000024090000}"/>
    <cellStyle name="_Demand forecast 2008 (Sep11)-rev1_~2428181_summary sheet 2007_2008 (for actual order)_summary sheet 2007_2008 _Dec_Model Mix 2008-2009 for budget_Dec.17" xfId="2305" xr:uid="{00000000-0005-0000-0000-000025090000}"/>
    <cellStyle name="_Demand forecast 2008 (Sep11)-rev1_~2428181_summary sheet 2007_2008 (for actual order)_summary sheet 2007_2008 _Dec_Model Mix 2008-2009 for budget_Dec.17_2008 Inventory Ratio_TF_actual" xfId="2306" xr:uid="{00000000-0005-0000-0000-000026090000}"/>
    <cellStyle name="_Demand forecast 2008 (Sep11)-rev1_~2428181_summary sheet 2007_2008 (for actual order)_summary sheet 2007_2008 _Dec_Retail Sale Forcast. Jan-2008 _Jan4" xfId="2307" xr:uid="{00000000-0005-0000-0000-000027090000}"/>
    <cellStyle name="_Demand forecast 2008 (Sep11)-rev1_~2428181_summary sheet 2007_2008 (for actual order)_summary sheet 2007_2008 _Dec_Retail Sale Forcast. Jan-2008 _Jan4_2008 Inventory Ratio_TF_actual" xfId="2308" xr:uid="{00000000-0005-0000-0000-000028090000}"/>
    <cellStyle name="_Demand forecast 2008 (Sep11)-rev1_~2428181_summary sheet 2007_2008 (for actual order)_summary sheet 2007_2008 _Dec_summary sheet 2007_2008 _Dec_2" xfId="2309" xr:uid="{00000000-0005-0000-0000-000029090000}"/>
    <cellStyle name="_Demand forecast 2008 (Sep11)-rev1_~2428181_summary sheet 2007_2008 (for actual order)_summary sheet 2007_2008 _Dec_summary sheet 2007_2008 _Dec_2_2008 Inventory Ratio_TF_actual" xfId="2310" xr:uid="{00000000-0005-0000-0000-00002A090000}"/>
    <cellStyle name="_Demand forecast 2008 (Sep11)-rev1_~2428181_summary sheet 2007_2008 (for actual order)_summary sheet 2007_2008 _Dec_summary sheet 2007_2008 _Dec14_revised1" xfId="2311" xr:uid="{00000000-0005-0000-0000-00002B090000}"/>
    <cellStyle name="_Demand forecast 2008 (Sep11)-rev1_~2428181_summary sheet 2007_2008 (for actual order)_summary sheet 2007_2008 _Dec_summary sheet 2007_2008 _Dec14_revised1_2008 Inventory Ratio_TF_actual" xfId="2312" xr:uid="{00000000-0005-0000-0000-00002C090000}"/>
    <cellStyle name="_Demand forecast 2008 (Sep11)-rev1_~2428181_summary sheet 2007_2008 (for actual order)_summary sheet 2007_2008 _Dec_summary sheet 2007_2008 _Dec14_revised2" xfId="2313" xr:uid="{00000000-0005-0000-0000-00002D090000}"/>
    <cellStyle name="_Demand forecast 2008 (Sep11)-rev1_~2428181_summary sheet 2007_2008 (for actual order)_summary sheet 2007_2008 _Dec_summary sheet 2007_2008 _Dec14_revised2_2008 Inventory Ratio_TF_actual" xfId="2314" xr:uid="{00000000-0005-0000-0000-00002E090000}"/>
    <cellStyle name="_Demand forecast 2008 (Sep11)-rev1_~2428181_summary sheet 2007_2008 (for actual order)_summary sheet 2007_2008 _Dec_Summary sheet_for FO_JCC Base" xfId="2315" xr:uid="{00000000-0005-0000-0000-00002F090000}"/>
    <cellStyle name="_Demand forecast 2008 (Sep11)-rev1_~2428181_summary sheet 2007_2008 (for actual order)_summary sheet 2007_2008 _Dec_TYT vs ISZ_Mar11’08" xfId="2316" xr:uid="{00000000-0005-0000-0000-000030090000}"/>
    <cellStyle name="_Demand forecast 2008 (Sep11)-rev1_~2428181_summary sheet 2007_2008 _Dec" xfId="2317" xr:uid="{00000000-0005-0000-0000-000031090000}"/>
    <cellStyle name="_Demand forecast 2008 (Sep11)-rev1_~2428181_summary sheet 2007_2008 _Dec_2" xfId="2318" xr:uid="{00000000-0005-0000-0000-000032090000}"/>
    <cellStyle name="_Demand forecast 2008 (Sep11)-rev1_~2428181_summary sheet 2007_2008 _Dec_2_2008 Inventory Ratio_TF_actual" xfId="2319" xr:uid="{00000000-0005-0000-0000-000033090000}"/>
    <cellStyle name="_Demand forecast 2008 (Sep11)-rev1_~2428181_summary sheet 2007_2008 _Dec_2008 Inventory Ratio_TF_actual" xfId="2320" xr:uid="{00000000-0005-0000-0000-000034090000}"/>
    <cellStyle name="_Demand forecast 2008 (Sep11)-rev1_~2428181_summary sheet 2007_2008 _Dec_summary sheet 2007_2008 _Dec" xfId="2321" xr:uid="{00000000-0005-0000-0000-000035090000}"/>
    <cellStyle name="_Demand forecast 2008 (Sep11)-rev1_~2428181_summary sheet 2007_2008 _Dec_summary sheet 2007_2008 _Dec_~6321223" xfId="2322" xr:uid="{00000000-0005-0000-0000-000036090000}"/>
    <cellStyle name="_Demand forecast 2008 (Sep11)-rev1_~2428181_summary sheet 2007_2008 _Dec_summary sheet 2007_2008 _Dec_080215_For 1st FO" xfId="2323" xr:uid="{00000000-0005-0000-0000-000037090000}"/>
    <cellStyle name="_Demand forecast 2008 (Sep11)-rev1_~2428181_summary sheet 2007_2008 _Dec_summary sheet 2007_2008 _Dec_080215_For 1st FO_Final3" xfId="2324" xr:uid="{00000000-0005-0000-0000-000038090000}"/>
    <cellStyle name="_Demand forecast 2008 (Sep11)-rev1_~2428181_summary sheet 2007_2008 _Dec_summary sheet 2007_2008 _Dec_080215_For 1st FO_updated" xfId="2325" xr:uid="{00000000-0005-0000-0000-000039090000}"/>
    <cellStyle name="_Demand forecast 2008 (Sep11)-rev1_~2428181_summary sheet 2007_2008 _Dec_summary sheet 2007_2008 _Dec_080703 2008 Summary Sheet _JCC vs Actual" xfId="2326" xr:uid="{00000000-0005-0000-0000-00003A090000}"/>
    <cellStyle name="_Demand forecast 2008 (Sep11)-rev1_~2428181_summary sheet 2007_2008 _Dec_summary sheet 2007_2008 _Dec_080703 2008 Summary Sheet _JCC vs Actual rev" xfId="2327" xr:uid="{00000000-0005-0000-0000-00003B090000}"/>
    <cellStyle name="_Demand forecast 2008 (Sep11)-rev1_~2428181_summary sheet 2007_2008 _Dec_summary sheet 2007_2008 _Dec_080710 2009 Summary Sheet" xfId="2328" xr:uid="{00000000-0005-0000-0000-00003C090000}"/>
    <cellStyle name="_Demand forecast 2008 (Sep11)-rev1_~2428181_summary sheet 2007_2008 _Dec_summary sheet 2007_2008 _Dec_080710 The Final Summary Sheet" xfId="2329" xr:uid="{00000000-0005-0000-0000-00003D090000}"/>
    <cellStyle name="_Demand forecast 2008 (Sep11)-rev1_~2428181_summary sheet 2007_2008 _Dec_summary sheet 2007_2008 _Dec_2007 RS_Model Mix_Dec'07xls_Actual" xfId="2330" xr:uid="{00000000-0005-0000-0000-00003E090000}"/>
    <cellStyle name="_Demand forecast 2008 (Sep11)-rev1_~2428181_summary sheet 2007_2008 _Dec_summary sheet 2007_2008 _Dec_2007 RS_Model Mix_Dec'07xls_Actual_2008 Inventory Ratio_TF_actual" xfId="2331" xr:uid="{00000000-0005-0000-0000-00003F090000}"/>
    <cellStyle name="_Demand forecast 2008 (Sep11)-rev1_~2428181_summary sheet 2007_2008 _Dec_summary sheet 2007_2008 _Dec_2007-2008 RS_Model Mix_DNet" xfId="2332" xr:uid="{00000000-0005-0000-0000-000040090000}"/>
    <cellStyle name="_Demand forecast 2008 (Sep11)-rev1_~2428181_summary sheet 2007_2008 _Dec_summary sheet 2007_2008 _Dec_2008 Summary Sheet _JCC vs Actual" xfId="2333" xr:uid="{00000000-0005-0000-0000-000041090000}"/>
    <cellStyle name="_Demand forecast 2008 (Sep11)-rev1_~2428181_summary sheet 2007_2008 _Dec_summary sheet 2007_2008 _Dec_2008 Summary Sheet _JCC vs Actual_000608" xfId="2334" xr:uid="{00000000-0005-0000-0000-000042090000}"/>
    <cellStyle name="_Demand forecast 2008 (Sep11)-rev1_~2428181_summary sheet 2007_2008 _Dec_summary sheet 2007_2008 _Dec_2008 Summary Sheet _JCC vs Actual_080608" xfId="2335" xr:uid="{00000000-0005-0000-0000-000043090000}"/>
    <cellStyle name="_Demand forecast 2008 (Sep11)-rev1_~2428181_summary sheet 2007_2008 _Dec_summary sheet 2007_2008 _Dec_2008 Summary Sheet _JCC vs Actual_after FO" xfId="2336" xr:uid="{00000000-0005-0000-0000-000044090000}"/>
    <cellStyle name="_Demand forecast 2008 (Sep11)-rev1_~2428181_summary sheet 2007_2008 _Dec_summary sheet 2007_2008 _Dec_2008 Summary Sheet _JCC vs Actual_FO" xfId="2337" xr:uid="{00000000-0005-0000-0000-000045090000}"/>
    <cellStyle name="_Demand forecast 2008 (Sep11)-rev1_~2428181_summary sheet 2007_2008 _Dec_summary sheet 2007_2008 _Dec_2008 Summary sheet_080410_1st FO(in the meeting)_revised" xfId="2338" xr:uid="{00000000-0005-0000-0000-000046090000}"/>
    <cellStyle name="_Demand forecast 2008 (Sep11)-rev1_~2428181_summary sheet 2007_2008 _Dec_summary sheet 2007_2008 _Dec_2008 Summary sheet_Actual base" xfId="2339" xr:uid="{00000000-0005-0000-0000-000047090000}"/>
    <cellStyle name="_Demand forecast 2008 (Sep11)-rev1_~2428181_summary sheet 2007_2008 _Dec_summary sheet 2007_2008 _Dec_2nd FO_Dec.28" xfId="2340" xr:uid="{00000000-0005-0000-0000-000048090000}"/>
    <cellStyle name="_Demand forecast 2008 (Sep11)-rev1_~2428181_summary sheet 2007_2008 _Dec_summary sheet 2007_2008 _Dec_For 1st FO_Jan'08" xfId="2341" xr:uid="{00000000-0005-0000-0000-000049090000}"/>
    <cellStyle name="_Demand forecast 2008 (Sep11)-rev1_~2428181_summary sheet 2007_2008 _Dec_summary sheet 2007_2008 _Dec_Inventory for Budget_2008-2009 Updated" xfId="2342" xr:uid="{00000000-0005-0000-0000-00004A090000}"/>
    <cellStyle name="_Demand forecast 2008 (Sep11)-rev1_~2428181_summary sheet 2007_2008 _Dec_summary sheet 2007_2008 _Dec_Inventory for Budget_2008-2009 Updated_2008 Inventory Ratio_TF_actual" xfId="2343" xr:uid="{00000000-0005-0000-0000-00004B090000}"/>
    <cellStyle name="_Demand forecast 2008 (Sep11)-rev1_~2428181_summary sheet 2007_2008 _Dec_summary sheet 2007_2008 _Dec_Model Mix 2008-2009 for budget_Dec.17" xfId="2344" xr:uid="{00000000-0005-0000-0000-00004C090000}"/>
    <cellStyle name="_Demand forecast 2008 (Sep11)-rev1_~2428181_summary sheet 2007_2008 _Dec_summary sheet 2007_2008 _Dec_Model Mix 2008-2009 for budget_Dec.17_2008 Inventory Ratio_TF_actual" xfId="2345" xr:uid="{00000000-0005-0000-0000-00004D090000}"/>
    <cellStyle name="_Demand forecast 2008 (Sep11)-rev1_~2428181_summary sheet 2007_2008 _Dec_summary sheet 2007_2008 _Dec_Retail Sale Forcast. Jan-2008 _Jan4" xfId="2346" xr:uid="{00000000-0005-0000-0000-00004E090000}"/>
    <cellStyle name="_Demand forecast 2008 (Sep11)-rev1_~2428181_summary sheet 2007_2008 _Dec_summary sheet 2007_2008 _Dec_Retail Sale Forcast. Jan-2008 _Jan4_2008 Inventory Ratio_TF_actual" xfId="2347" xr:uid="{00000000-0005-0000-0000-00004F090000}"/>
    <cellStyle name="_Demand forecast 2008 (Sep11)-rev1_~2428181_summary sheet 2007_2008 _Dec_summary sheet 2007_2008 _Dec_summary sheet 2007_2008 _Dec_2" xfId="2348" xr:uid="{00000000-0005-0000-0000-000050090000}"/>
    <cellStyle name="_Demand forecast 2008 (Sep11)-rev1_~2428181_summary sheet 2007_2008 _Dec_summary sheet 2007_2008 _Dec_summary sheet 2007_2008 _Dec_2_2008 Inventory Ratio_TF_actual" xfId="2349" xr:uid="{00000000-0005-0000-0000-000051090000}"/>
    <cellStyle name="_Demand forecast 2008 (Sep11)-rev1_~2428181_summary sheet 2007_2008 _Dec_summary sheet 2007_2008 _Dec_summary sheet 2007_2008 _Dec14_revised1" xfId="2350" xr:uid="{00000000-0005-0000-0000-000052090000}"/>
    <cellStyle name="_Demand forecast 2008 (Sep11)-rev1_~2428181_summary sheet 2007_2008 _Dec_summary sheet 2007_2008 _Dec_summary sheet 2007_2008 _Dec14_revised1_2008 Inventory Ratio_TF_actual" xfId="2351" xr:uid="{00000000-0005-0000-0000-000053090000}"/>
    <cellStyle name="_Demand forecast 2008 (Sep11)-rev1_~2428181_summary sheet 2007_2008 _Dec_summary sheet 2007_2008 _Dec_summary sheet 2007_2008 _Dec14_revised2" xfId="2352" xr:uid="{00000000-0005-0000-0000-000054090000}"/>
    <cellStyle name="_Demand forecast 2008 (Sep11)-rev1_~2428181_summary sheet 2007_2008 _Dec_summary sheet 2007_2008 _Dec_summary sheet 2007_2008 _Dec14_revised2_2008 Inventory Ratio_TF_actual" xfId="2353" xr:uid="{00000000-0005-0000-0000-000055090000}"/>
    <cellStyle name="_Demand forecast 2008 (Sep11)-rev1_~2428181_summary sheet 2007_2008 _Dec_summary sheet 2007_2008 _Dec_Summary sheet_for FO_JCC Base" xfId="2354" xr:uid="{00000000-0005-0000-0000-000056090000}"/>
    <cellStyle name="_Demand forecast 2008 (Sep11)-rev1_~2428181_summary sheet 2007_2008 _Dec_summary sheet 2007_2008 _Dec_TYT vs ISZ_Mar11’08" xfId="2355" xr:uid="{00000000-0005-0000-0000-000057090000}"/>
    <cellStyle name="_Demand forecast 2008 (Sep11)-rev1_~2428181_summary sheet 2007_2008 _Dec14_revised1" xfId="2356" xr:uid="{00000000-0005-0000-0000-000058090000}"/>
    <cellStyle name="_Demand forecast 2008 (Sep11)-rev1_~2428181_summary sheet 2007_2008 _Dec14_revised1_2008 Inventory Ratio_TF_actual" xfId="2357" xr:uid="{00000000-0005-0000-0000-000059090000}"/>
    <cellStyle name="_Demand forecast 2008 (Sep11)-rev1_~2428181_summary sheet 2007_2008 _Dec14_revised2" xfId="2358" xr:uid="{00000000-0005-0000-0000-00005A090000}"/>
    <cellStyle name="_Demand forecast 2008 (Sep11)-rev1_~2428181_summary sheet 2007_2008 _Dec14_revised2_2008 Inventory Ratio_TF_actual" xfId="2359" xr:uid="{00000000-0005-0000-0000-00005B090000}"/>
    <cellStyle name="_Demand forecast 2008 (Sep11)-rev1_~2428181_Summary sheet_for FO_JCC Base" xfId="2360" xr:uid="{00000000-0005-0000-0000-00005C090000}"/>
    <cellStyle name="_Demand forecast 2008 (Sep11)-rev1_~2428181_TYT vs ISZ_Mar11’08" xfId="2361" xr:uid="{00000000-0005-0000-0000-00005D090000}"/>
    <cellStyle name="_Demand forecast 2008 (Sep11)-rev1_~6321223" xfId="2362" xr:uid="{00000000-0005-0000-0000-00005E090000}"/>
    <cellStyle name="_Demand forecast 2008 (Sep11)-rev1_080215_For 1st FO" xfId="2363" xr:uid="{00000000-0005-0000-0000-00005F090000}"/>
    <cellStyle name="_Demand forecast 2008 (Sep11)-rev1_080215_For 1st FO_Final3" xfId="2364" xr:uid="{00000000-0005-0000-0000-000060090000}"/>
    <cellStyle name="_Demand forecast 2008 (Sep11)-rev1_080215_For 1st FO_updated" xfId="2365" xr:uid="{00000000-0005-0000-0000-000061090000}"/>
    <cellStyle name="_Demand forecast 2008 (Sep11)-rev1_080703 2008 Summary Sheet _JCC vs Actual" xfId="2366" xr:uid="{00000000-0005-0000-0000-000062090000}"/>
    <cellStyle name="_Demand forecast 2008 (Sep11)-rev1_080703 2008 Summary Sheet _JCC vs Actual rev" xfId="2367" xr:uid="{00000000-0005-0000-0000-000063090000}"/>
    <cellStyle name="_Demand forecast 2008 (Sep11)-rev1_080710 2009 Summary Sheet" xfId="2368" xr:uid="{00000000-0005-0000-0000-000064090000}"/>
    <cellStyle name="_Demand forecast 2008 (Sep11)-rev1_080710 The Final Summary Sheet" xfId="2369" xr:uid="{00000000-0005-0000-0000-000065090000}"/>
    <cellStyle name="_Demand forecast 2008 (Sep11)-rev1_2007 RS_Model Mix_Dec'07xls_Actual" xfId="2370" xr:uid="{00000000-0005-0000-0000-000066090000}"/>
    <cellStyle name="_Demand forecast 2008 (Sep11)-rev1_2007 RS_Model Mix_Dec'07xls_Actual_2008 Inventory Ratio_TF_actual" xfId="2371" xr:uid="{00000000-0005-0000-0000-000067090000}"/>
    <cellStyle name="_Demand forecast 2008 (Sep11)-rev1_2007-2008 RS_Model Mix_DNet" xfId="2372" xr:uid="{00000000-0005-0000-0000-000068090000}"/>
    <cellStyle name="_Demand forecast 2008 (Sep11)-rev1_2008 model mix" xfId="2373" xr:uid="{00000000-0005-0000-0000-000069090000}"/>
    <cellStyle name="_Demand forecast 2008 (Sep11)-rev1_2008 model mix_~6321223" xfId="2374" xr:uid="{00000000-0005-0000-0000-00006A090000}"/>
    <cellStyle name="_Demand forecast 2008 (Sep11)-rev1_2008 model mix_080215_For 1st FO" xfId="2375" xr:uid="{00000000-0005-0000-0000-00006B090000}"/>
    <cellStyle name="_Demand forecast 2008 (Sep11)-rev1_2008 model mix_080215_For 1st FO_Final3" xfId="2376" xr:uid="{00000000-0005-0000-0000-00006C090000}"/>
    <cellStyle name="_Demand forecast 2008 (Sep11)-rev1_2008 model mix_080215_For 1st FO_updated" xfId="2377" xr:uid="{00000000-0005-0000-0000-00006D090000}"/>
    <cellStyle name="_Demand forecast 2008 (Sep11)-rev1_2008 model mix_080703 2008 Summary Sheet _JCC vs Actual" xfId="2378" xr:uid="{00000000-0005-0000-0000-00006E090000}"/>
    <cellStyle name="_Demand forecast 2008 (Sep11)-rev1_2008 model mix_080703 2008 Summary Sheet _JCC vs Actual rev" xfId="2379" xr:uid="{00000000-0005-0000-0000-00006F090000}"/>
    <cellStyle name="_Demand forecast 2008 (Sep11)-rev1_2008 model mix_080710 2009 Summary Sheet" xfId="2380" xr:uid="{00000000-0005-0000-0000-000070090000}"/>
    <cellStyle name="_Demand forecast 2008 (Sep11)-rev1_2008 model mix_080710 The Final Summary Sheet" xfId="2381" xr:uid="{00000000-0005-0000-0000-000071090000}"/>
    <cellStyle name="_Demand forecast 2008 (Sep11)-rev1_2008 model mix_2007 RS_Model Mix_Dec'07xls_Actual" xfId="2382" xr:uid="{00000000-0005-0000-0000-000072090000}"/>
    <cellStyle name="_Demand forecast 2008 (Sep11)-rev1_2008 model mix_2007 RS_Model Mix_Dec'07xls_Actual_2008 Inventory Ratio_TF_actual" xfId="2383" xr:uid="{00000000-0005-0000-0000-000073090000}"/>
    <cellStyle name="_Demand forecast 2008 (Sep11)-rev1_2008 model mix_2007-2008 RS_Model Mix_DNet" xfId="2384" xr:uid="{00000000-0005-0000-0000-000074090000}"/>
    <cellStyle name="_Demand forecast 2008 (Sep11)-rev1_2008 model mix_2008 Summary Sheet _JCC vs Actual" xfId="2385" xr:uid="{00000000-0005-0000-0000-000075090000}"/>
    <cellStyle name="_Demand forecast 2008 (Sep11)-rev1_2008 model mix_2008 Summary Sheet _JCC vs Actual_000608" xfId="2386" xr:uid="{00000000-0005-0000-0000-000076090000}"/>
    <cellStyle name="_Demand forecast 2008 (Sep11)-rev1_2008 model mix_2008 Summary Sheet _JCC vs Actual_080608" xfId="2387" xr:uid="{00000000-0005-0000-0000-000077090000}"/>
    <cellStyle name="_Demand forecast 2008 (Sep11)-rev1_2008 model mix_2008 Summary Sheet _JCC vs Actual_after FO" xfId="2388" xr:uid="{00000000-0005-0000-0000-000078090000}"/>
    <cellStyle name="_Demand forecast 2008 (Sep11)-rev1_2008 model mix_2008 Summary Sheet _JCC vs Actual_FO" xfId="2389" xr:uid="{00000000-0005-0000-0000-000079090000}"/>
    <cellStyle name="_Demand forecast 2008 (Sep11)-rev1_2008 model mix_2008 Summary sheet_080410_1st FO(in the meeting)_revised" xfId="2390" xr:uid="{00000000-0005-0000-0000-00007A090000}"/>
    <cellStyle name="_Demand forecast 2008 (Sep11)-rev1_2008 model mix_2008 Summary sheet_Actual base" xfId="2391" xr:uid="{00000000-0005-0000-0000-00007B090000}"/>
    <cellStyle name="_Demand forecast 2008 (Sep11)-rev1_2008 model mix_2nd FO_Dec.28" xfId="2392" xr:uid="{00000000-0005-0000-0000-00007C090000}"/>
    <cellStyle name="_Demand forecast 2008 (Sep11)-rev1_2008 model mix_For 1st FO_Jan'08" xfId="2393" xr:uid="{00000000-0005-0000-0000-00007D090000}"/>
    <cellStyle name="_Demand forecast 2008 (Sep11)-rev1_2008 model mix_Inventory for Budget_2008-2009 Updated" xfId="2394" xr:uid="{00000000-0005-0000-0000-00007E090000}"/>
    <cellStyle name="_Demand forecast 2008 (Sep11)-rev1_2008 model mix_Inventory for Budget_2008-2009 Updated_2008 Inventory Ratio_TF_actual" xfId="2395" xr:uid="{00000000-0005-0000-0000-00007F090000}"/>
    <cellStyle name="_Demand forecast 2008 (Sep11)-rev1_2008 model mix_Model Mix 2008-2009 for budget_Dec.17" xfId="2396" xr:uid="{00000000-0005-0000-0000-000080090000}"/>
    <cellStyle name="_Demand forecast 2008 (Sep11)-rev1_2008 model mix_Model Mix 2008-2009 for budget_Dec.17_2008 Inventory Ratio_TF_actual" xfId="2397" xr:uid="{00000000-0005-0000-0000-000081090000}"/>
    <cellStyle name="_Demand forecast 2008 (Sep11)-rev1_2008 model mix_Retail Sale Forcast. Jan-2008 _Jan4" xfId="2398" xr:uid="{00000000-0005-0000-0000-000082090000}"/>
    <cellStyle name="_Demand forecast 2008 (Sep11)-rev1_2008 model mix_Retail Sale Forcast. Jan-2008 _Jan4_2008 Inventory Ratio_TF_actual" xfId="2399" xr:uid="{00000000-0005-0000-0000-000083090000}"/>
    <cellStyle name="_Demand forecast 2008 (Sep11)-rev1_2008 model mix_summary sheet 2007_2008 (for actual order)" xfId="2400" xr:uid="{00000000-0005-0000-0000-000084090000}"/>
    <cellStyle name="_Demand forecast 2008 (Sep11)-rev1_2008 model mix_summary sheet 2007_2008 (for actual order)_2008 Inventory Ratio_TF_actual" xfId="2401" xr:uid="{00000000-0005-0000-0000-000085090000}"/>
    <cellStyle name="_Demand forecast 2008 (Sep11)-rev1_2008 model mix_summary sheet 2007_2008 (for actual order)_summary sheet 2007_2008 _Dec" xfId="2402" xr:uid="{00000000-0005-0000-0000-000086090000}"/>
    <cellStyle name="_Demand forecast 2008 (Sep11)-rev1_2008 model mix_summary sheet 2007_2008 (for actual order)_summary sheet 2007_2008 _Dec_~6321223" xfId="2403" xr:uid="{00000000-0005-0000-0000-000087090000}"/>
    <cellStyle name="_Demand forecast 2008 (Sep11)-rev1_2008 model mix_summary sheet 2007_2008 (for actual order)_summary sheet 2007_2008 _Dec_080215_For 1st FO" xfId="2404" xr:uid="{00000000-0005-0000-0000-000088090000}"/>
    <cellStyle name="_Demand forecast 2008 (Sep11)-rev1_2008 model mix_summary sheet 2007_2008 (for actual order)_summary sheet 2007_2008 _Dec_080215_For 1st FO_Final3" xfId="2405" xr:uid="{00000000-0005-0000-0000-000089090000}"/>
    <cellStyle name="_Demand forecast 2008 (Sep11)-rev1_2008 model mix_summary sheet 2007_2008 (for actual order)_summary sheet 2007_2008 _Dec_080215_For 1st FO_updated" xfId="2406" xr:uid="{00000000-0005-0000-0000-00008A090000}"/>
    <cellStyle name="_Demand forecast 2008 (Sep11)-rev1_2008 model mix_summary sheet 2007_2008 (for actual order)_summary sheet 2007_2008 _Dec_080703 2008 Summary Sheet _JCC vs Actual" xfId="2407" xr:uid="{00000000-0005-0000-0000-00008B090000}"/>
    <cellStyle name="_Demand forecast 2008 (Sep11)-rev1_2008 model mix_summary sheet 2007_2008 (for actual order)_summary sheet 2007_2008 _Dec_080703 2008 Summary Sheet _JCC vs Actual rev" xfId="2408" xr:uid="{00000000-0005-0000-0000-00008C090000}"/>
    <cellStyle name="_Demand forecast 2008 (Sep11)-rev1_2008 model mix_summary sheet 2007_2008 (for actual order)_summary sheet 2007_2008 _Dec_080710 2009 Summary Sheet" xfId="2409" xr:uid="{00000000-0005-0000-0000-00008D090000}"/>
    <cellStyle name="_Demand forecast 2008 (Sep11)-rev1_2008 model mix_summary sheet 2007_2008 (for actual order)_summary sheet 2007_2008 _Dec_080710 The Final Summary Sheet" xfId="2410" xr:uid="{00000000-0005-0000-0000-00008E090000}"/>
    <cellStyle name="_Demand forecast 2008 (Sep11)-rev1_2008 model mix_summary sheet 2007_2008 (for actual order)_summary sheet 2007_2008 _Dec_2007 RS_Model Mix_Dec'07xls_Actual" xfId="2411" xr:uid="{00000000-0005-0000-0000-00008F090000}"/>
    <cellStyle name="_Demand forecast 2008 (Sep11)-rev1_2008 model mix_summary sheet 2007_2008 (for actual order)_summary sheet 2007_2008 _Dec_2007 RS_Model Mix_Dec'07xls_Actual_2008 Inventory Ratio_TF_actual" xfId="2412" xr:uid="{00000000-0005-0000-0000-000090090000}"/>
    <cellStyle name="_Demand forecast 2008 (Sep11)-rev1_2008 model mix_summary sheet 2007_2008 (for actual order)_summary sheet 2007_2008 _Dec_2007-2008 RS_Model Mix_DNet" xfId="2413" xr:uid="{00000000-0005-0000-0000-000091090000}"/>
    <cellStyle name="_Demand forecast 2008 (Sep11)-rev1_2008 model mix_summary sheet 2007_2008 (for actual order)_summary sheet 2007_2008 _Dec_2008 Summary Sheet _JCC vs Actual" xfId="2414" xr:uid="{00000000-0005-0000-0000-000092090000}"/>
    <cellStyle name="_Demand forecast 2008 (Sep11)-rev1_2008 model mix_summary sheet 2007_2008 (for actual order)_summary sheet 2007_2008 _Dec_2008 Summary Sheet _JCC vs Actual_000608" xfId="2415" xr:uid="{00000000-0005-0000-0000-000093090000}"/>
    <cellStyle name="_Demand forecast 2008 (Sep11)-rev1_2008 model mix_summary sheet 2007_2008 (for actual order)_summary sheet 2007_2008 _Dec_2008 Summary Sheet _JCC vs Actual_080608" xfId="2416" xr:uid="{00000000-0005-0000-0000-000094090000}"/>
    <cellStyle name="_Demand forecast 2008 (Sep11)-rev1_2008 model mix_summary sheet 2007_2008 (for actual order)_summary sheet 2007_2008 _Dec_2008 Summary Sheet _JCC vs Actual_after FO" xfId="2417" xr:uid="{00000000-0005-0000-0000-000095090000}"/>
    <cellStyle name="_Demand forecast 2008 (Sep11)-rev1_2008 model mix_summary sheet 2007_2008 (for actual order)_summary sheet 2007_2008 _Dec_2008 Summary Sheet _JCC vs Actual_FO" xfId="2418" xr:uid="{00000000-0005-0000-0000-000096090000}"/>
    <cellStyle name="_Demand forecast 2008 (Sep11)-rev1_2008 model mix_summary sheet 2007_2008 (for actual order)_summary sheet 2007_2008 _Dec_2008 Summary sheet_080410_1st FO(in the meeting)_revised" xfId="2419" xr:uid="{00000000-0005-0000-0000-000097090000}"/>
    <cellStyle name="_Demand forecast 2008 (Sep11)-rev1_2008 model mix_summary sheet 2007_2008 (for actual order)_summary sheet 2007_2008 _Dec_2008 Summary sheet_Actual base" xfId="2420" xr:uid="{00000000-0005-0000-0000-000098090000}"/>
    <cellStyle name="_Demand forecast 2008 (Sep11)-rev1_2008 model mix_summary sheet 2007_2008 (for actual order)_summary sheet 2007_2008 _Dec_2nd FO_Dec.28" xfId="2421" xr:uid="{00000000-0005-0000-0000-000099090000}"/>
    <cellStyle name="_Demand forecast 2008 (Sep11)-rev1_2008 model mix_summary sheet 2007_2008 (for actual order)_summary sheet 2007_2008 _Dec_For 1st FO_Jan'08" xfId="2422" xr:uid="{00000000-0005-0000-0000-00009A090000}"/>
    <cellStyle name="_Demand forecast 2008 (Sep11)-rev1_2008 model mix_summary sheet 2007_2008 (for actual order)_summary sheet 2007_2008 _Dec_Inventory for Budget_2008-2009 Updated" xfId="2423" xr:uid="{00000000-0005-0000-0000-00009B090000}"/>
    <cellStyle name="_Demand forecast 2008 (Sep11)-rev1_2008 model mix_summary sheet 2007_2008 (for actual order)_summary sheet 2007_2008 _Dec_Inventory for Budget_2008-2009 Updated_2008 Inventory Ratio_TF_actual" xfId="2424" xr:uid="{00000000-0005-0000-0000-00009C090000}"/>
    <cellStyle name="_Demand forecast 2008 (Sep11)-rev1_2008 model mix_summary sheet 2007_2008 (for actual order)_summary sheet 2007_2008 _Dec_Model Mix 2008-2009 for budget_Dec.17" xfId="2425" xr:uid="{00000000-0005-0000-0000-00009D090000}"/>
    <cellStyle name="_Demand forecast 2008 (Sep11)-rev1_2008 model mix_summary sheet 2007_2008 (for actual order)_summary sheet 2007_2008 _Dec_Model Mix 2008-2009 for budget_Dec.17_2008 Inventory Ratio_TF_actual" xfId="2426" xr:uid="{00000000-0005-0000-0000-00009E090000}"/>
    <cellStyle name="_Demand forecast 2008 (Sep11)-rev1_2008 model mix_summary sheet 2007_2008 (for actual order)_summary sheet 2007_2008 _Dec_Retail Sale Forcast. Jan-2008 _Jan4" xfId="2427" xr:uid="{00000000-0005-0000-0000-00009F090000}"/>
    <cellStyle name="_Demand forecast 2008 (Sep11)-rev1_2008 model mix_summary sheet 2007_2008 (for actual order)_summary sheet 2007_2008 _Dec_Retail Sale Forcast. Jan-2008 _Jan4_2008 Inventory Ratio_TF_actual" xfId="2428" xr:uid="{00000000-0005-0000-0000-0000A0090000}"/>
    <cellStyle name="_Demand forecast 2008 (Sep11)-rev1_2008 model mix_summary sheet 2007_2008 (for actual order)_summary sheet 2007_2008 _Dec_summary sheet 2007_2008 _Dec_2" xfId="2429" xr:uid="{00000000-0005-0000-0000-0000A1090000}"/>
    <cellStyle name="_Demand forecast 2008 (Sep11)-rev1_2008 model mix_summary sheet 2007_2008 (for actual order)_summary sheet 2007_2008 _Dec_summary sheet 2007_2008 _Dec_2_2008 Inventory Ratio_TF_actual" xfId="2430" xr:uid="{00000000-0005-0000-0000-0000A2090000}"/>
    <cellStyle name="_Demand forecast 2008 (Sep11)-rev1_2008 model mix_summary sheet 2007_2008 (for actual order)_summary sheet 2007_2008 _Dec_summary sheet 2007_2008 _Dec14_revised1" xfId="2431" xr:uid="{00000000-0005-0000-0000-0000A3090000}"/>
    <cellStyle name="_Demand forecast 2008 (Sep11)-rev1_2008 model mix_summary sheet 2007_2008 (for actual order)_summary sheet 2007_2008 _Dec_summary sheet 2007_2008 _Dec14_revised1_2008 Inventory Ratio_TF_actual" xfId="2432" xr:uid="{00000000-0005-0000-0000-0000A4090000}"/>
    <cellStyle name="_Demand forecast 2008 (Sep11)-rev1_2008 model mix_summary sheet 2007_2008 (for actual order)_summary sheet 2007_2008 _Dec_summary sheet 2007_2008 _Dec14_revised2" xfId="2433" xr:uid="{00000000-0005-0000-0000-0000A5090000}"/>
    <cellStyle name="_Demand forecast 2008 (Sep11)-rev1_2008 model mix_summary sheet 2007_2008 (for actual order)_summary sheet 2007_2008 _Dec_summary sheet 2007_2008 _Dec14_revised2_2008 Inventory Ratio_TF_actual" xfId="2434" xr:uid="{00000000-0005-0000-0000-0000A6090000}"/>
    <cellStyle name="_Demand forecast 2008 (Sep11)-rev1_2008 model mix_summary sheet 2007_2008 (for actual order)_summary sheet 2007_2008 _Dec_Summary sheet_for FO_JCC Base" xfId="2435" xr:uid="{00000000-0005-0000-0000-0000A7090000}"/>
    <cellStyle name="_Demand forecast 2008 (Sep11)-rev1_2008 model mix_summary sheet 2007_2008 (for actual order)_summary sheet 2007_2008 _Dec_TYT vs ISZ_Mar11’08" xfId="2436" xr:uid="{00000000-0005-0000-0000-0000A8090000}"/>
    <cellStyle name="_Demand forecast 2008 (Sep11)-rev1_2008 model mix_summary sheet 2007_2008 _Dec" xfId="2437" xr:uid="{00000000-0005-0000-0000-0000A9090000}"/>
    <cellStyle name="_Demand forecast 2008 (Sep11)-rev1_2008 model mix_summary sheet 2007_2008 _Dec_2" xfId="2438" xr:uid="{00000000-0005-0000-0000-0000AA090000}"/>
    <cellStyle name="_Demand forecast 2008 (Sep11)-rev1_2008 model mix_summary sheet 2007_2008 _Dec_2_2008 Inventory Ratio_TF_actual" xfId="2439" xr:uid="{00000000-0005-0000-0000-0000AB090000}"/>
    <cellStyle name="_Demand forecast 2008 (Sep11)-rev1_2008 model mix_summary sheet 2007_2008 _Dec_2008 Inventory Ratio_TF_actual" xfId="2440" xr:uid="{00000000-0005-0000-0000-0000AC090000}"/>
    <cellStyle name="_Demand forecast 2008 (Sep11)-rev1_2008 model mix_summary sheet 2007_2008 _Dec_summary sheet 2007_2008 _Dec" xfId="2441" xr:uid="{00000000-0005-0000-0000-0000AD090000}"/>
    <cellStyle name="_Demand forecast 2008 (Sep11)-rev1_2008 model mix_summary sheet 2007_2008 _Dec_summary sheet 2007_2008 _Dec_~6321223" xfId="2442" xr:uid="{00000000-0005-0000-0000-0000AE090000}"/>
    <cellStyle name="_Demand forecast 2008 (Sep11)-rev1_2008 model mix_summary sheet 2007_2008 _Dec_summary sheet 2007_2008 _Dec_080215_For 1st FO" xfId="2443" xr:uid="{00000000-0005-0000-0000-0000AF090000}"/>
    <cellStyle name="_Demand forecast 2008 (Sep11)-rev1_2008 model mix_summary sheet 2007_2008 _Dec_summary sheet 2007_2008 _Dec_080215_For 1st FO_Final3" xfId="2444" xr:uid="{00000000-0005-0000-0000-0000B0090000}"/>
    <cellStyle name="_Demand forecast 2008 (Sep11)-rev1_2008 model mix_summary sheet 2007_2008 _Dec_summary sheet 2007_2008 _Dec_080215_For 1st FO_updated" xfId="2445" xr:uid="{00000000-0005-0000-0000-0000B1090000}"/>
    <cellStyle name="_Demand forecast 2008 (Sep11)-rev1_2008 model mix_summary sheet 2007_2008 _Dec_summary sheet 2007_2008 _Dec_080703 2008 Summary Sheet _JCC vs Actual" xfId="2446" xr:uid="{00000000-0005-0000-0000-0000B2090000}"/>
    <cellStyle name="_Demand forecast 2008 (Sep11)-rev1_2008 model mix_summary sheet 2007_2008 _Dec_summary sheet 2007_2008 _Dec_080703 2008 Summary Sheet _JCC vs Actual rev" xfId="2447" xr:uid="{00000000-0005-0000-0000-0000B3090000}"/>
    <cellStyle name="_Demand forecast 2008 (Sep11)-rev1_2008 model mix_summary sheet 2007_2008 _Dec_summary sheet 2007_2008 _Dec_080710 2009 Summary Sheet" xfId="2448" xr:uid="{00000000-0005-0000-0000-0000B4090000}"/>
    <cellStyle name="_Demand forecast 2008 (Sep11)-rev1_2008 model mix_summary sheet 2007_2008 _Dec_summary sheet 2007_2008 _Dec_080710 The Final Summary Sheet" xfId="2449" xr:uid="{00000000-0005-0000-0000-0000B5090000}"/>
    <cellStyle name="_Demand forecast 2008 (Sep11)-rev1_2008 model mix_summary sheet 2007_2008 _Dec_summary sheet 2007_2008 _Dec_2007 RS_Model Mix_Dec'07xls_Actual" xfId="2450" xr:uid="{00000000-0005-0000-0000-0000B6090000}"/>
    <cellStyle name="_Demand forecast 2008 (Sep11)-rev1_2008 model mix_summary sheet 2007_2008 _Dec_summary sheet 2007_2008 _Dec_2007 RS_Model Mix_Dec'07xls_Actual_2008 Inventory Ratio_TF_actual" xfId="2451" xr:uid="{00000000-0005-0000-0000-0000B7090000}"/>
    <cellStyle name="_Demand forecast 2008 (Sep11)-rev1_2008 model mix_summary sheet 2007_2008 _Dec_summary sheet 2007_2008 _Dec_2007-2008 RS_Model Mix_DNet" xfId="2452" xr:uid="{00000000-0005-0000-0000-0000B8090000}"/>
    <cellStyle name="_Demand forecast 2008 (Sep11)-rev1_2008 model mix_summary sheet 2007_2008 _Dec_summary sheet 2007_2008 _Dec_2008 Summary Sheet _JCC vs Actual" xfId="2453" xr:uid="{00000000-0005-0000-0000-0000B9090000}"/>
    <cellStyle name="_Demand forecast 2008 (Sep11)-rev1_2008 model mix_summary sheet 2007_2008 _Dec_summary sheet 2007_2008 _Dec_2008 Summary Sheet _JCC vs Actual_000608" xfId="2454" xr:uid="{00000000-0005-0000-0000-0000BA090000}"/>
    <cellStyle name="_Demand forecast 2008 (Sep11)-rev1_2008 model mix_summary sheet 2007_2008 _Dec_summary sheet 2007_2008 _Dec_2008 Summary Sheet _JCC vs Actual_080608" xfId="2455" xr:uid="{00000000-0005-0000-0000-0000BB090000}"/>
    <cellStyle name="_Demand forecast 2008 (Sep11)-rev1_2008 model mix_summary sheet 2007_2008 _Dec_summary sheet 2007_2008 _Dec_2008 Summary Sheet _JCC vs Actual_after FO" xfId="2456" xr:uid="{00000000-0005-0000-0000-0000BC090000}"/>
    <cellStyle name="_Demand forecast 2008 (Sep11)-rev1_2008 model mix_summary sheet 2007_2008 _Dec_summary sheet 2007_2008 _Dec_2008 Summary Sheet _JCC vs Actual_FO" xfId="2457" xr:uid="{00000000-0005-0000-0000-0000BD090000}"/>
    <cellStyle name="_Demand forecast 2008 (Sep11)-rev1_2008 model mix_summary sheet 2007_2008 _Dec_summary sheet 2007_2008 _Dec_2008 Summary sheet_080410_1st FO(in the meeting)_revised" xfId="2458" xr:uid="{00000000-0005-0000-0000-0000BE090000}"/>
    <cellStyle name="_Demand forecast 2008 (Sep11)-rev1_2008 model mix_summary sheet 2007_2008 _Dec_summary sheet 2007_2008 _Dec_2008 Summary sheet_Actual base" xfId="2459" xr:uid="{00000000-0005-0000-0000-0000BF090000}"/>
    <cellStyle name="_Demand forecast 2008 (Sep11)-rev1_2008 model mix_summary sheet 2007_2008 _Dec_summary sheet 2007_2008 _Dec_2nd FO_Dec.28" xfId="2460" xr:uid="{00000000-0005-0000-0000-0000C0090000}"/>
    <cellStyle name="_Demand forecast 2008 (Sep11)-rev1_2008 model mix_summary sheet 2007_2008 _Dec_summary sheet 2007_2008 _Dec_For 1st FO_Jan'08" xfId="2461" xr:uid="{00000000-0005-0000-0000-0000C1090000}"/>
    <cellStyle name="_Demand forecast 2008 (Sep11)-rev1_2008 model mix_summary sheet 2007_2008 _Dec_summary sheet 2007_2008 _Dec_Inventory for Budget_2008-2009 Updated" xfId="2462" xr:uid="{00000000-0005-0000-0000-0000C2090000}"/>
    <cellStyle name="_Demand forecast 2008 (Sep11)-rev1_2008 model mix_summary sheet 2007_2008 _Dec_summary sheet 2007_2008 _Dec_Inventory for Budget_2008-2009 Updated_2008 Inventory Ratio_TF_actual" xfId="2463" xr:uid="{00000000-0005-0000-0000-0000C3090000}"/>
    <cellStyle name="_Demand forecast 2008 (Sep11)-rev1_2008 model mix_summary sheet 2007_2008 _Dec_summary sheet 2007_2008 _Dec_Model Mix 2008-2009 for budget_Dec.17" xfId="2464" xr:uid="{00000000-0005-0000-0000-0000C4090000}"/>
    <cellStyle name="_Demand forecast 2008 (Sep11)-rev1_2008 model mix_summary sheet 2007_2008 _Dec_summary sheet 2007_2008 _Dec_Model Mix 2008-2009 for budget_Dec.17_2008 Inventory Ratio_TF_actual" xfId="2465" xr:uid="{00000000-0005-0000-0000-0000C5090000}"/>
    <cellStyle name="_Demand forecast 2008 (Sep11)-rev1_2008 model mix_summary sheet 2007_2008 _Dec_summary sheet 2007_2008 _Dec_Retail Sale Forcast. Jan-2008 _Jan4" xfId="2466" xr:uid="{00000000-0005-0000-0000-0000C6090000}"/>
    <cellStyle name="_Demand forecast 2008 (Sep11)-rev1_2008 model mix_summary sheet 2007_2008 _Dec_summary sheet 2007_2008 _Dec_Retail Sale Forcast. Jan-2008 _Jan4_2008 Inventory Ratio_TF_actual" xfId="2467" xr:uid="{00000000-0005-0000-0000-0000C7090000}"/>
    <cellStyle name="_Demand forecast 2008 (Sep11)-rev1_2008 model mix_summary sheet 2007_2008 _Dec_summary sheet 2007_2008 _Dec_summary sheet 2007_2008 _Dec_2" xfId="2468" xr:uid="{00000000-0005-0000-0000-0000C8090000}"/>
    <cellStyle name="_Demand forecast 2008 (Sep11)-rev1_2008 model mix_summary sheet 2007_2008 _Dec_summary sheet 2007_2008 _Dec_summary sheet 2007_2008 _Dec_2_2008 Inventory Ratio_TF_actual" xfId="2469" xr:uid="{00000000-0005-0000-0000-0000C9090000}"/>
    <cellStyle name="_Demand forecast 2008 (Sep11)-rev1_2008 model mix_summary sheet 2007_2008 _Dec_summary sheet 2007_2008 _Dec_summary sheet 2007_2008 _Dec14_revised1" xfId="2470" xr:uid="{00000000-0005-0000-0000-0000CA090000}"/>
    <cellStyle name="_Demand forecast 2008 (Sep11)-rev1_2008 model mix_summary sheet 2007_2008 _Dec_summary sheet 2007_2008 _Dec_summary sheet 2007_2008 _Dec14_revised1_2008 Inventory Ratio_TF_actual" xfId="2471" xr:uid="{00000000-0005-0000-0000-0000CB090000}"/>
    <cellStyle name="_Demand forecast 2008 (Sep11)-rev1_2008 model mix_summary sheet 2007_2008 _Dec_summary sheet 2007_2008 _Dec_summary sheet 2007_2008 _Dec14_revised2" xfId="2472" xr:uid="{00000000-0005-0000-0000-0000CC090000}"/>
    <cellStyle name="_Demand forecast 2008 (Sep11)-rev1_2008 model mix_summary sheet 2007_2008 _Dec_summary sheet 2007_2008 _Dec_summary sheet 2007_2008 _Dec14_revised2_2008 Inventory Ratio_TF_actual" xfId="2473" xr:uid="{00000000-0005-0000-0000-0000CD090000}"/>
    <cellStyle name="_Demand forecast 2008 (Sep11)-rev1_2008 model mix_summary sheet 2007_2008 _Dec_summary sheet 2007_2008 _Dec_Summary sheet_for FO_JCC Base" xfId="2474" xr:uid="{00000000-0005-0000-0000-0000CE090000}"/>
    <cellStyle name="_Demand forecast 2008 (Sep11)-rev1_2008 model mix_summary sheet 2007_2008 _Dec_summary sheet 2007_2008 _Dec_TYT vs ISZ_Mar11’08" xfId="2475" xr:uid="{00000000-0005-0000-0000-0000CF090000}"/>
    <cellStyle name="_Demand forecast 2008 (Sep11)-rev1_2008 model mix_summary sheet 2007_2008 _Dec14_revised1" xfId="2476" xr:uid="{00000000-0005-0000-0000-0000D0090000}"/>
    <cellStyle name="_Demand forecast 2008 (Sep11)-rev1_2008 model mix_summary sheet 2007_2008 _Dec14_revised1_2008 Inventory Ratio_TF_actual" xfId="2477" xr:uid="{00000000-0005-0000-0000-0000D1090000}"/>
    <cellStyle name="_Demand forecast 2008 (Sep11)-rev1_2008 model mix_summary sheet 2007_2008 _Dec14_revised2" xfId="2478" xr:uid="{00000000-0005-0000-0000-0000D2090000}"/>
    <cellStyle name="_Demand forecast 2008 (Sep11)-rev1_2008 model mix_summary sheet 2007_2008 _Dec14_revised2_2008 Inventory Ratio_TF_actual" xfId="2479" xr:uid="{00000000-0005-0000-0000-0000D3090000}"/>
    <cellStyle name="_Demand forecast 2008 (Sep11)-rev1_2008 model mix_Summary sheet_for FO_JCC Base" xfId="2480" xr:uid="{00000000-0005-0000-0000-0000D4090000}"/>
    <cellStyle name="_Demand forecast 2008 (Sep11)-rev1_2008 model mix_TYT vs ISZ_Mar11’08" xfId="2481" xr:uid="{00000000-0005-0000-0000-0000D5090000}"/>
    <cellStyle name="_Demand forecast 2008 (Sep11)-rev1_2008 Summary Sheet _JCC vs Actual" xfId="2482" xr:uid="{00000000-0005-0000-0000-0000D6090000}"/>
    <cellStyle name="_Demand forecast 2008 (Sep11)-rev1_2008 Summary Sheet _JCC vs Actual_000608" xfId="2483" xr:uid="{00000000-0005-0000-0000-0000D7090000}"/>
    <cellStyle name="_Demand forecast 2008 (Sep11)-rev1_2008 Summary Sheet _JCC vs Actual_080608" xfId="2484" xr:uid="{00000000-0005-0000-0000-0000D8090000}"/>
    <cellStyle name="_Demand forecast 2008 (Sep11)-rev1_2008 Summary Sheet _JCC vs Actual_after FO" xfId="2485" xr:uid="{00000000-0005-0000-0000-0000D9090000}"/>
    <cellStyle name="_Demand forecast 2008 (Sep11)-rev1_2008 Summary Sheet _JCC vs Actual_FO" xfId="2486" xr:uid="{00000000-0005-0000-0000-0000DA090000}"/>
    <cellStyle name="_Demand forecast 2008 (Sep11)-rev1_2008 Summary sheet_080410_1st FO(in the meeting)_revised" xfId="2487" xr:uid="{00000000-0005-0000-0000-0000DB090000}"/>
    <cellStyle name="_Demand forecast 2008 (Sep11)-rev1_2008 Summary sheet_Actual base" xfId="2488" xr:uid="{00000000-0005-0000-0000-0000DC090000}"/>
    <cellStyle name="_Demand forecast 2008 (Sep11)-rev1_2nd FO_Dec.28" xfId="2489" xr:uid="{00000000-0005-0000-0000-0000DD090000}"/>
    <cellStyle name="_Demand forecast 2008 (Sep11)-rev1_For 1st FO_Jan'08" xfId="2490" xr:uid="{00000000-0005-0000-0000-0000DE090000}"/>
    <cellStyle name="_Demand forecast 2008 (Sep11)-rev1_Inventory for Budget_2008-2009 Updated" xfId="2491" xr:uid="{00000000-0005-0000-0000-0000DF090000}"/>
    <cellStyle name="_Demand forecast 2008 (Sep11)-rev1_Inventory for Budget_2008-2009 Updated_2008 Inventory Ratio_TF_actual" xfId="2492" xr:uid="{00000000-0005-0000-0000-0000E0090000}"/>
    <cellStyle name="_Demand forecast 2008 (Sep11)-rev1_Model Mix 2008-2009 for budget_Dec.17" xfId="2493" xr:uid="{00000000-0005-0000-0000-0000E1090000}"/>
    <cellStyle name="_Demand forecast 2008 (Sep11)-rev1_Model Mix 2008-2009 for budget_Dec.17_2008 Inventory Ratio_TF_actual" xfId="2494" xr:uid="{00000000-0005-0000-0000-0000E2090000}"/>
    <cellStyle name="_Demand forecast 2008 (Sep11)-rev1_Retail Sale Forcast. Jan-2008 _Jan4" xfId="2495" xr:uid="{00000000-0005-0000-0000-0000E3090000}"/>
    <cellStyle name="_Demand forecast 2008 (Sep11)-rev1_Retail Sale Forcast. Jan-2008 _Jan4_2008 Inventory Ratio_TF_actual" xfId="2496" xr:uid="{00000000-0005-0000-0000-0000E4090000}"/>
    <cellStyle name="_Demand forecast 2008 (Sep11)-rev1_summary sheet 2007_2008 (for actual order)" xfId="2497" xr:uid="{00000000-0005-0000-0000-0000E5090000}"/>
    <cellStyle name="_Demand forecast 2008 (Sep11)-rev1_summary sheet 2007_2008 (for actual order)_2008 Inventory Ratio_TF_actual" xfId="2498" xr:uid="{00000000-0005-0000-0000-0000E6090000}"/>
    <cellStyle name="_Demand forecast 2008 (Sep11)-rev1_summary sheet 2007_2008 (for actual order)_summary sheet 2007_2008 _Dec" xfId="2499" xr:uid="{00000000-0005-0000-0000-0000E7090000}"/>
    <cellStyle name="_Demand forecast 2008 (Sep11)-rev1_summary sheet 2007_2008 (for actual order)_summary sheet 2007_2008 _Dec_~6321223" xfId="2500" xr:uid="{00000000-0005-0000-0000-0000E8090000}"/>
    <cellStyle name="_Demand forecast 2008 (Sep11)-rev1_summary sheet 2007_2008 (for actual order)_summary sheet 2007_2008 _Dec_080215_For 1st FO" xfId="2501" xr:uid="{00000000-0005-0000-0000-0000E9090000}"/>
    <cellStyle name="_Demand forecast 2008 (Sep11)-rev1_summary sheet 2007_2008 (for actual order)_summary sheet 2007_2008 _Dec_080215_For 1st FO_Final3" xfId="2502" xr:uid="{00000000-0005-0000-0000-0000EA090000}"/>
    <cellStyle name="_Demand forecast 2008 (Sep11)-rev1_summary sheet 2007_2008 (for actual order)_summary sheet 2007_2008 _Dec_080215_For 1st FO_updated" xfId="2503" xr:uid="{00000000-0005-0000-0000-0000EB090000}"/>
    <cellStyle name="_Demand forecast 2008 (Sep11)-rev1_summary sheet 2007_2008 (for actual order)_summary sheet 2007_2008 _Dec_080703 2008 Summary Sheet _JCC vs Actual" xfId="2504" xr:uid="{00000000-0005-0000-0000-0000EC090000}"/>
    <cellStyle name="_Demand forecast 2008 (Sep11)-rev1_summary sheet 2007_2008 (for actual order)_summary sheet 2007_2008 _Dec_080703 2008 Summary Sheet _JCC vs Actual rev" xfId="2505" xr:uid="{00000000-0005-0000-0000-0000ED090000}"/>
    <cellStyle name="_Demand forecast 2008 (Sep11)-rev1_summary sheet 2007_2008 (for actual order)_summary sheet 2007_2008 _Dec_080710 2009 Summary Sheet" xfId="2506" xr:uid="{00000000-0005-0000-0000-0000EE090000}"/>
    <cellStyle name="_Demand forecast 2008 (Sep11)-rev1_summary sheet 2007_2008 (for actual order)_summary sheet 2007_2008 _Dec_080710 The Final Summary Sheet" xfId="2507" xr:uid="{00000000-0005-0000-0000-0000EF090000}"/>
    <cellStyle name="_Demand forecast 2008 (Sep11)-rev1_summary sheet 2007_2008 (for actual order)_summary sheet 2007_2008 _Dec_2007 RS_Model Mix_Dec'07xls_Actual" xfId="2508" xr:uid="{00000000-0005-0000-0000-0000F0090000}"/>
    <cellStyle name="_Demand forecast 2008 (Sep11)-rev1_summary sheet 2007_2008 (for actual order)_summary sheet 2007_2008 _Dec_2007 RS_Model Mix_Dec'07xls_Actual_2008 Inventory Ratio_TF_actual" xfId="2509" xr:uid="{00000000-0005-0000-0000-0000F1090000}"/>
    <cellStyle name="_Demand forecast 2008 (Sep11)-rev1_summary sheet 2007_2008 (for actual order)_summary sheet 2007_2008 _Dec_2007-2008 RS_Model Mix_DNet" xfId="2510" xr:uid="{00000000-0005-0000-0000-0000F2090000}"/>
    <cellStyle name="_Demand forecast 2008 (Sep11)-rev1_summary sheet 2007_2008 (for actual order)_summary sheet 2007_2008 _Dec_2008 Summary Sheet _JCC vs Actual" xfId="2511" xr:uid="{00000000-0005-0000-0000-0000F3090000}"/>
    <cellStyle name="_Demand forecast 2008 (Sep11)-rev1_summary sheet 2007_2008 (for actual order)_summary sheet 2007_2008 _Dec_2008 Summary Sheet _JCC vs Actual_000608" xfId="2512" xr:uid="{00000000-0005-0000-0000-0000F4090000}"/>
    <cellStyle name="_Demand forecast 2008 (Sep11)-rev1_summary sheet 2007_2008 (for actual order)_summary sheet 2007_2008 _Dec_2008 Summary Sheet _JCC vs Actual_080608" xfId="2513" xr:uid="{00000000-0005-0000-0000-0000F5090000}"/>
    <cellStyle name="_Demand forecast 2008 (Sep11)-rev1_summary sheet 2007_2008 (for actual order)_summary sheet 2007_2008 _Dec_2008 Summary Sheet _JCC vs Actual_after FO" xfId="2514" xr:uid="{00000000-0005-0000-0000-0000F6090000}"/>
    <cellStyle name="_Demand forecast 2008 (Sep11)-rev1_summary sheet 2007_2008 (for actual order)_summary sheet 2007_2008 _Dec_2008 Summary Sheet _JCC vs Actual_FO" xfId="2515" xr:uid="{00000000-0005-0000-0000-0000F7090000}"/>
    <cellStyle name="_Demand forecast 2008 (Sep11)-rev1_summary sheet 2007_2008 (for actual order)_summary sheet 2007_2008 _Dec_2008 Summary sheet_080410_1st FO(in the meeting)_revised" xfId="2516" xr:uid="{00000000-0005-0000-0000-0000F8090000}"/>
    <cellStyle name="_Demand forecast 2008 (Sep11)-rev1_summary sheet 2007_2008 (for actual order)_summary sheet 2007_2008 _Dec_2008 Summary sheet_Actual base" xfId="2517" xr:uid="{00000000-0005-0000-0000-0000F9090000}"/>
    <cellStyle name="_Demand forecast 2008 (Sep11)-rev1_summary sheet 2007_2008 (for actual order)_summary sheet 2007_2008 _Dec_2nd FO_Dec.28" xfId="2518" xr:uid="{00000000-0005-0000-0000-0000FA090000}"/>
    <cellStyle name="_Demand forecast 2008 (Sep11)-rev1_summary sheet 2007_2008 (for actual order)_summary sheet 2007_2008 _Dec_For 1st FO_Jan'08" xfId="2519" xr:uid="{00000000-0005-0000-0000-0000FB090000}"/>
    <cellStyle name="_Demand forecast 2008 (Sep11)-rev1_summary sheet 2007_2008 (for actual order)_summary sheet 2007_2008 _Dec_Inventory for Budget_2008-2009 Updated" xfId="2520" xr:uid="{00000000-0005-0000-0000-0000FC090000}"/>
    <cellStyle name="_Demand forecast 2008 (Sep11)-rev1_summary sheet 2007_2008 (for actual order)_summary sheet 2007_2008 _Dec_Inventory for Budget_2008-2009 Updated_2008 Inventory Ratio_TF_actual" xfId="2521" xr:uid="{00000000-0005-0000-0000-0000FD090000}"/>
    <cellStyle name="_Demand forecast 2008 (Sep11)-rev1_summary sheet 2007_2008 (for actual order)_summary sheet 2007_2008 _Dec_Model Mix 2008-2009 for budget_Dec.17" xfId="2522" xr:uid="{00000000-0005-0000-0000-0000FE090000}"/>
    <cellStyle name="_Demand forecast 2008 (Sep11)-rev1_summary sheet 2007_2008 (for actual order)_summary sheet 2007_2008 _Dec_Model Mix 2008-2009 for budget_Dec.17_2008 Inventory Ratio_TF_actual" xfId="2523" xr:uid="{00000000-0005-0000-0000-0000FF090000}"/>
    <cellStyle name="_Demand forecast 2008 (Sep11)-rev1_summary sheet 2007_2008 (for actual order)_summary sheet 2007_2008 _Dec_Retail Sale Forcast. Jan-2008 _Jan4" xfId="2524" xr:uid="{00000000-0005-0000-0000-0000000A0000}"/>
    <cellStyle name="_Demand forecast 2008 (Sep11)-rev1_summary sheet 2007_2008 (for actual order)_summary sheet 2007_2008 _Dec_Retail Sale Forcast. Jan-2008 _Jan4_2008 Inventory Ratio_TF_actual" xfId="2525" xr:uid="{00000000-0005-0000-0000-0000010A0000}"/>
    <cellStyle name="_Demand forecast 2008 (Sep11)-rev1_summary sheet 2007_2008 (for actual order)_summary sheet 2007_2008 _Dec_summary sheet 2007_2008 _Dec_2" xfId="2526" xr:uid="{00000000-0005-0000-0000-0000020A0000}"/>
    <cellStyle name="_Demand forecast 2008 (Sep11)-rev1_summary sheet 2007_2008 (for actual order)_summary sheet 2007_2008 _Dec_summary sheet 2007_2008 _Dec_2_2008 Inventory Ratio_TF_actual" xfId="2527" xr:uid="{00000000-0005-0000-0000-0000030A0000}"/>
    <cellStyle name="_Demand forecast 2008 (Sep11)-rev1_summary sheet 2007_2008 (for actual order)_summary sheet 2007_2008 _Dec_summary sheet 2007_2008 _Dec14_revised1" xfId="2528" xr:uid="{00000000-0005-0000-0000-0000040A0000}"/>
    <cellStyle name="_Demand forecast 2008 (Sep11)-rev1_summary sheet 2007_2008 (for actual order)_summary sheet 2007_2008 _Dec_summary sheet 2007_2008 _Dec14_revised1_2008 Inventory Ratio_TF_actual" xfId="2529" xr:uid="{00000000-0005-0000-0000-0000050A0000}"/>
    <cellStyle name="_Demand forecast 2008 (Sep11)-rev1_summary sheet 2007_2008 (for actual order)_summary sheet 2007_2008 _Dec_summary sheet 2007_2008 _Dec14_revised2" xfId="2530" xr:uid="{00000000-0005-0000-0000-0000060A0000}"/>
    <cellStyle name="_Demand forecast 2008 (Sep11)-rev1_summary sheet 2007_2008 (for actual order)_summary sheet 2007_2008 _Dec_summary sheet 2007_2008 _Dec14_revised2_2008 Inventory Ratio_TF_actual" xfId="2531" xr:uid="{00000000-0005-0000-0000-0000070A0000}"/>
    <cellStyle name="_Demand forecast 2008 (Sep11)-rev1_summary sheet 2007_2008 (for actual order)_summary sheet 2007_2008 _Dec_Summary sheet_for FO_JCC Base" xfId="2532" xr:uid="{00000000-0005-0000-0000-0000080A0000}"/>
    <cellStyle name="_Demand forecast 2008 (Sep11)-rev1_summary sheet 2007_2008 (for actual order)_summary sheet 2007_2008 _Dec_TYT vs ISZ_Mar11’08" xfId="2533" xr:uid="{00000000-0005-0000-0000-0000090A0000}"/>
    <cellStyle name="_Demand forecast 2008 (Sep11)-rev1_summary sheet 2007_2008 _Dec" xfId="2534" xr:uid="{00000000-0005-0000-0000-00000A0A0000}"/>
    <cellStyle name="_Demand forecast 2008 (Sep11)-rev1_summary sheet 2007_2008 _Dec_2" xfId="2535" xr:uid="{00000000-0005-0000-0000-00000B0A0000}"/>
    <cellStyle name="_Demand forecast 2008 (Sep11)-rev1_summary sheet 2007_2008 _Dec_2_2008 Inventory Ratio_TF_actual" xfId="2536" xr:uid="{00000000-0005-0000-0000-00000C0A0000}"/>
    <cellStyle name="_Demand forecast 2008 (Sep11)-rev1_summary sheet 2007_2008 _Dec_2008 Inventory Ratio_TF_actual" xfId="2537" xr:uid="{00000000-0005-0000-0000-00000D0A0000}"/>
    <cellStyle name="_Demand forecast 2008 (Sep11)-rev1_summary sheet 2007_2008 _Dec_summary sheet 2007_2008 _Dec" xfId="2538" xr:uid="{00000000-0005-0000-0000-00000E0A0000}"/>
    <cellStyle name="_Demand forecast 2008 (Sep11)-rev1_summary sheet 2007_2008 _Dec_summary sheet 2007_2008 _Dec_~6321223" xfId="2539" xr:uid="{00000000-0005-0000-0000-00000F0A0000}"/>
    <cellStyle name="_Demand forecast 2008 (Sep11)-rev1_summary sheet 2007_2008 _Dec_summary sheet 2007_2008 _Dec_080215_For 1st FO" xfId="2540" xr:uid="{00000000-0005-0000-0000-0000100A0000}"/>
    <cellStyle name="_Demand forecast 2008 (Sep11)-rev1_summary sheet 2007_2008 _Dec_summary sheet 2007_2008 _Dec_080215_For 1st FO_Final3" xfId="2541" xr:uid="{00000000-0005-0000-0000-0000110A0000}"/>
    <cellStyle name="_Demand forecast 2008 (Sep11)-rev1_summary sheet 2007_2008 _Dec_summary sheet 2007_2008 _Dec_080215_For 1st FO_updated" xfId="2542" xr:uid="{00000000-0005-0000-0000-0000120A0000}"/>
    <cellStyle name="_Demand forecast 2008 (Sep11)-rev1_summary sheet 2007_2008 _Dec_summary sheet 2007_2008 _Dec_080703 2008 Summary Sheet _JCC vs Actual" xfId="2543" xr:uid="{00000000-0005-0000-0000-0000130A0000}"/>
    <cellStyle name="_Demand forecast 2008 (Sep11)-rev1_summary sheet 2007_2008 _Dec_summary sheet 2007_2008 _Dec_080703 2008 Summary Sheet _JCC vs Actual rev" xfId="2544" xr:uid="{00000000-0005-0000-0000-0000140A0000}"/>
    <cellStyle name="_Demand forecast 2008 (Sep11)-rev1_summary sheet 2007_2008 _Dec_summary sheet 2007_2008 _Dec_080710 2009 Summary Sheet" xfId="2545" xr:uid="{00000000-0005-0000-0000-0000150A0000}"/>
    <cellStyle name="_Demand forecast 2008 (Sep11)-rev1_summary sheet 2007_2008 _Dec_summary sheet 2007_2008 _Dec_080710 The Final Summary Sheet" xfId="2546" xr:uid="{00000000-0005-0000-0000-0000160A0000}"/>
    <cellStyle name="_Demand forecast 2008 (Sep11)-rev1_summary sheet 2007_2008 _Dec_summary sheet 2007_2008 _Dec_2007 RS_Model Mix_Dec'07xls_Actual" xfId="2547" xr:uid="{00000000-0005-0000-0000-0000170A0000}"/>
    <cellStyle name="_Demand forecast 2008 (Sep11)-rev1_summary sheet 2007_2008 _Dec_summary sheet 2007_2008 _Dec_2007 RS_Model Mix_Dec'07xls_Actual_2008 Inventory Ratio_TF_actual" xfId="2548" xr:uid="{00000000-0005-0000-0000-0000180A0000}"/>
    <cellStyle name="_Demand forecast 2008 (Sep11)-rev1_summary sheet 2007_2008 _Dec_summary sheet 2007_2008 _Dec_2007-2008 RS_Model Mix_DNet" xfId="2549" xr:uid="{00000000-0005-0000-0000-0000190A0000}"/>
    <cellStyle name="_Demand forecast 2008 (Sep11)-rev1_summary sheet 2007_2008 _Dec_summary sheet 2007_2008 _Dec_2008 Summary Sheet _JCC vs Actual" xfId="2550" xr:uid="{00000000-0005-0000-0000-00001A0A0000}"/>
    <cellStyle name="_Demand forecast 2008 (Sep11)-rev1_summary sheet 2007_2008 _Dec_summary sheet 2007_2008 _Dec_2008 Summary Sheet _JCC vs Actual_000608" xfId="2551" xr:uid="{00000000-0005-0000-0000-00001B0A0000}"/>
    <cellStyle name="_Demand forecast 2008 (Sep11)-rev1_summary sheet 2007_2008 _Dec_summary sheet 2007_2008 _Dec_2008 Summary Sheet _JCC vs Actual_080608" xfId="2552" xr:uid="{00000000-0005-0000-0000-00001C0A0000}"/>
    <cellStyle name="_Demand forecast 2008 (Sep11)-rev1_summary sheet 2007_2008 _Dec_summary sheet 2007_2008 _Dec_2008 Summary Sheet _JCC vs Actual_after FO" xfId="2553" xr:uid="{00000000-0005-0000-0000-00001D0A0000}"/>
    <cellStyle name="_Demand forecast 2008 (Sep11)-rev1_summary sheet 2007_2008 _Dec_summary sheet 2007_2008 _Dec_2008 Summary Sheet _JCC vs Actual_FO" xfId="2554" xr:uid="{00000000-0005-0000-0000-00001E0A0000}"/>
    <cellStyle name="_Demand forecast 2008 (Sep11)-rev1_summary sheet 2007_2008 _Dec_summary sheet 2007_2008 _Dec_2008 Summary sheet_080410_1st FO(in the meeting)_revised" xfId="2555" xr:uid="{00000000-0005-0000-0000-00001F0A0000}"/>
    <cellStyle name="_Demand forecast 2008 (Sep11)-rev1_summary sheet 2007_2008 _Dec_summary sheet 2007_2008 _Dec_2008 Summary sheet_Actual base" xfId="2556" xr:uid="{00000000-0005-0000-0000-0000200A0000}"/>
    <cellStyle name="_Demand forecast 2008 (Sep11)-rev1_summary sheet 2007_2008 _Dec_summary sheet 2007_2008 _Dec_2nd FO_Dec.28" xfId="2557" xr:uid="{00000000-0005-0000-0000-0000210A0000}"/>
    <cellStyle name="_Demand forecast 2008 (Sep11)-rev1_summary sheet 2007_2008 _Dec_summary sheet 2007_2008 _Dec_For 1st FO_Jan'08" xfId="2558" xr:uid="{00000000-0005-0000-0000-0000220A0000}"/>
    <cellStyle name="_Demand forecast 2008 (Sep11)-rev1_summary sheet 2007_2008 _Dec_summary sheet 2007_2008 _Dec_Inventory for Budget_2008-2009 Updated" xfId="2559" xr:uid="{00000000-0005-0000-0000-0000230A0000}"/>
    <cellStyle name="_Demand forecast 2008 (Sep11)-rev1_summary sheet 2007_2008 _Dec_summary sheet 2007_2008 _Dec_Inventory for Budget_2008-2009 Updated_2008 Inventory Ratio_TF_actual" xfId="2560" xr:uid="{00000000-0005-0000-0000-0000240A0000}"/>
    <cellStyle name="_Demand forecast 2008 (Sep11)-rev1_summary sheet 2007_2008 _Dec_summary sheet 2007_2008 _Dec_Model Mix 2008-2009 for budget_Dec.17" xfId="2561" xr:uid="{00000000-0005-0000-0000-0000250A0000}"/>
    <cellStyle name="_Demand forecast 2008 (Sep11)-rev1_summary sheet 2007_2008 _Dec_summary sheet 2007_2008 _Dec_Model Mix 2008-2009 for budget_Dec.17_2008 Inventory Ratio_TF_actual" xfId="2562" xr:uid="{00000000-0005-0000-0000-0000260A0000}"/>
    <cellStyle name="_Demand forecast 2008 (Sep11)-rev1_summary sheet 2007_2008 _Dec_summary sheet 2007_2008 _Dec_Retail Sale Forcast. Jan-2008 _Jan4" xfId="2563" xr:uid="{00000000-0005-0000-0000-0000270A0000}"/>
    <cellStyle name="_Demand forecast 2008 (Sep11)-rev1_summary sheet 2007_2008 _Dec_summary sheet 2007_2008 _Dec_Retail Sale Forcast. Jan-2008 _Jan4_2008 Inventory Ratio_TF_actual" xfId="2564" xr:uid="{00000000-0005-0000-0000-0000280A0000}"/>
    <cellStyle name="_Demand forecast 2008 (Sep11)-rev1_summary sheet 2007_2008 _Dec_summary sheet 2007_2008 _Dec_summary sheet 2007_2008 _Dec_2" xfId="2565" xr:uid="{00000000-0005-0000-0000-0000290A0000}"/>
    <cellStyle name="_Demand forecast 2008 (Sep11)-rev1_summary sheet 2007_2008 _Dec_summary sheet 2007_2008 _Dec_summary sheet 2007_2008 _Dec_2_2008 Inventory Ratio_TF_actual" xfId="2566" xr:uid="{00000000-0005-0000-0000-00002A0A0000}"/>
    <cellStyle name="_Demand forecast 2008 (Sep11)-rev1_summary sheet 2007_2008 _Dec_summary sheet 2007_2008 _Dec_summary sheet 2007_2008 _Dec14_revised1" xfId="2567" xr:uid="{00000000-0005-0000-0000-00002B0A0000}"/>
    <cellStyle name="_Demand forecast 2008 (Sep11)-rev1_summary sheet 2007_2008 _Dec_summary sheet 2007_2008 _Dec_summary sheet 2007_2008 _Dec14_revised1_2008 Inventory Ratio_TF_actual" xfId="2568" xr:uid="{00000000-0005-0000-0000-00002C0A0000}"/>
    <cellStyle name="_Demand forecast 2008 (Sep11)-rev1_summary sheet 2007_2008 _Dec_summary sheet 2007_2008 _Dec_summary sheet 2007_2008 _Dec14_revised2" xfId="2569" xr:uid="{00000000-0005-0000-0000-00002D0A0000}"/>
    <cellStyle name="_Demand forecast 2008 (Sep11)-rev1_summary sheet 2007_2008 _Dec_summary sheet 2007_2008 _Dec_summary sheet 2007_2008 _Dec14_revised2_2008 Inventory Ratio_TF_actual" xfId="2570" xr:uid="{00000000-0005-0000-0000-00002E0A0000}"/>
    <cellStyle name="_Demand forecast 2008 (Sep11)-rev1_summary sheet 2007_2008 _Dec_summary sheet 2007_2008 _Dec_Summary sheet_for FO_JCC Base" xfId="2571" xr:uid="{00000000-0005-0000-0000-00002F0A0000}"/>
    <cellStyle name="_Demand forecast 2008 (Sep11)-rev1_summary sheet 2007_2008 _Dec_summary sheet 2007_2008 _Dec_TYT vs ISZ_Mar11’08" xfId="2572" xr:uid="{00000000-0005-0000-0000-0000300A0000}"/>
    <cellStyle name="_Demand forecast 2008 (Sep11)-rev1_summary sheet 2007_2008 _Dec14_revised1" xfId="2573" xr:uid="{00000000-0005-0000-0000-0000310A0000}"/>
    <cellStyle name="_Demand forecast 2008 (Sep11)-rev1_summary sheet 2007_2008 _Dec14_revised1_2008 Inventory Ratio_TF_actual" xfId="2574" xr:uid="{00000000-0005-0000-0000-0000320A0000}"/>
    <cellStyle name="_Demand forecast 2008 (Sep11)-rev1_summary sheet 2007_2008 _Dec14_revised2" xfId="2575" xr:uid="{00000000-0005-0000-0000-0000330A0000}"/>
    <cellStyle name="_Demand forecast 2008 (Sep11)-rev1_summary sheet 2007_2008 _Dec14_revised2_2008 Inventory Ratio_TF_actual" xfId="2576" xr:uid="{00000000-0005-0000-0000-0000340A0000}"/>
    <cellStyle name="_Demand forecast 2008 (Sep11)-rev1_Summary sheet_for FO_JCC Base" xfId="2577" xr:uid="{00000000-0005-0000-0000-0000350A0000}"/>
    <cellStyle name="_Demand forecast 2008 (Sep11)-rev1_TYT vs ISZ_Mar11’08" xfId="2578" xr:uid="{00000000-0005-0000-0000-0000360A0000}"/>
    <cellStyle name="_Detail_Change Point_Final" xfId="2579" xr:uid="{00000000-0005-0000-0000-0000370A0000}"/>
    <cellStyle name="_Employee Campaign (GFS_15 Sep 08)" xfId="2580" xr:uid="{00000000-0005-0000-0000-0000380A0000}"/>
    <cellStyle name="_For 1st FO_Jan'08" xfId="2581" xr:uid="{00000000-0005-0000-0000-0000390A0000}"/>
    <cellStyle name="_Format_Invest 10 5 TF" xfId="2582" xr:uid="{00000000-0005-0000-0000-00003A0A0000}"/>
    <cellStyle name="_Format_Invest 10 5 TF_2012 Capacity up Plan-2" xfId="2583" xr:uid="{00000000-0005-0000-0000-00003B0A0000}"/>
    <cellStyle name="_Format_Invest 10 5 TF_2012 Capacity up Plan-2_15Dec_よし" xfId="2584" xr:uid="{00000000-0005-0000-0000-00003C0A0000}"/>
    <cellStyle name="_Insvest G-EXP 22Model (29-Jan-09)" xfId="2585" xr:uid="{00000000-0005-0000-0000-00003D0A0000}"/>
    <cellStyle name="_Insvest G-EXP 22Model (29-Jan-09)_2012 Capacity up Plan-2" xfId="2586" xr:uid="{00000000-0005-0000-0000-00003E0A0000}"/>
    <cellStyle name="_Insvest G-EXP 22Model (29-Jan-09)_2012 Capacity up Plan-2_15Dec_よし" xfId="2587" xr:uid="{00000000-0005-0000-0000-00003F0A0000}"/>
    <cellStyle name="_Inventory for Budget_2008-2009 Updated" xfId="2588" xr:uid="{00000000-0005-0000-0000-0000400A0000}"/>
    <cellStyle name="_Inventory for Budget_2008-2009 Updated_2008 Inventory Ratio_TF_actual" xfId="2589" xr:uid="{00000000-0005-0000-0000-0000410A0000}"/>
    <cellStyle name="_Investment 09Gexp 22 model_Final Process" xfId="2590" xr:uid="{00000000-0005-0000-0000-0000420A0000}"/>
    <cellStyle name="_Investment 09Gexp 22 model_Final Process_2012 Capacity up Plan-2" xfId="2591" xr:uid="{00000000-0005-0000-0000-0000430A0000}"/>
    <cellStyle name="_Investment 09Gexp 22 model_Final Process_2012 Capacity up Plan-2_15Dec_よし" xfId="2592" xr:uid="{00000000-0005-0000-0000-0000440A0000}"/>
    <cellStyle name="_Model Mix 2008-2009 for budget_Dec.17" xfId="2593" xr:uid="{00000000-0005-0000-0000-0000450A0000}"/>
    <cellStyle name="_Model Mix 2008-2009 for budget_Dec.17_2008 Inventory Ratio_TF_actual" xfId="2594" xr:uid="{00000000-0005-0000-0000-0000460A0000}"/>
    <cellStyle name="_Operation10 UCS 18.00" xfId="2595" xr:uid="{00000000-0005-0000-0000-0000470A0000}"/>
    <cellStyle name="_Process MP Summary 20100215" xfId="2596" xr:uid="{00000000-0005-0000-0000-0000480A0000}"/>
    <cellStyle name="_PROTECTOR ALT2" xfId="2597" xr:uid="{00000000-0005-0000-0000-0000490A0000}"/>
    <cellStyle name="_PROTECTOR ALT2_2012 Capacity up Plan-2" xfId="2598" xr:uid="{00000000-0005-0000-0000-00004A0A0000}"/>
    <cellStyle name="_PROTECTOR ALT2_2012 Capacity up Plan-2_15Dec_よし" xfId="2599" xr:uid="{00000000-0005-0000-0000-00004B0A0000}"/>
    <cellStyle name="_Retail Sale Forcast. Jan-2008 _Jan4" xfId="2600" xr:uid="{00000000-0005-0000-0000-00004C0A0000}"/>
    <cellStyle name="_Retail Sale Forcast. Jan-2008 _Jan4_2008 Inventory Ratio_TF_actual" xfId="2601" xr:uid="{00000000-0005-0000-0000-00004D0A0000}"/>
    <cellStyle name="_RT50 1P TRIAL VEHICLE SUMMARY" xfId="2602" xr:uid="{00000000-0005-0000-0000-00004E0A0000}"/>
    <cellStyle name="_RT50 1P TRIAL VEHICLE SUMMARY_2012 Capacity up Plan-2" xfId="2603" xr:uid="{00000000-0005-0000-0000-00004F0A0000}"/>
    <cellStyle name="_RT50 1P TRIAL VEHICLE SUMMARY_2012 Capacity up Plan-2_15Dec_よし" xfId="2604" xr:uid="{00000000-0005-0000-0000-0000500A0000}"/>
    <cellStyle name="_RT50 1PP M-P Summary (20100320) All Process" xfId="2605" xr:uid="{00000000-0005-0000-0000-0000510A0000}"/>
    <cellStyle name="_RT50 1PP M-P Summary (20100320) All Process_2012 Capacity up Plan-2" xfId="2606" xr:uid="{00000000-0005-0000-0000-0000520A0000}"/>
    <cellStyle name="_RT50 1PP M-P Summary (20100320) All Process_2012 Capacity up Plan-2_15Dec_よし" xfId="2607" xr:uid="{00000000-0005-0000-0000-0000530A0000}"/>
    <cellStyle name="_RT50 Process Plan (23-Feb-10)" xfId="2608" xr:uid="{00000000-0005-0000-0000-0000540A0000}"/>
    <cellStyle name="_RT50_Chassis_Summary MP_20100203" xfId="2609" xr:uid="{00000000-0005-0000-0000-0000550A0000}"/>
    <cellStyle name="_summary sheet 2007_2008 (for actual order)" xfId="2610" xr:uid="{00000000-0005-0000-0000-0000560A0000}"/>
    <cellStyle name="_summary sheet 2007_2008 (for actual order)_2008 Inventory Ratio_TF_actual" xfId="2611" xr:uid="{00000000-0005-0000-0000-0000570A0000}"/>
    <cellStyle name="_summary sheet 2007_2008 (for actual order)_summary sheet 2007_2008 _Dec" xfId="2612" xr:uid="{00000000-0005-0000-0000-0000580A0000}"/>
    <cellStyle name="_summary sheet 2007_2008 (for actual order)_summary sheet 2007_2008 _Dec_~6321223" xfId="2613" xr:uid="{00000000-0005-0000-0000-0000590A0000}"/>
    <cellStyle name="_summary sheet 2007_2008 (for actual order)_summary sheet 2007_2008 _Dec_080215_For 1st FO" xfId="2614" xr:uid="{00000000-0005-0000-0000-00005A0A0000}"/>
    <cellStyle name="_summary sheet 2007_2008 (for actual order)_summary sheet 2007_2008 _Dec_080215_For 1st FO_Final3" xfId="2615" xr:uid="{00000000-0005-0000-0000-00005B0A0000}"/>
    <cellStyle name="_summary sheet 2007_2008 (for actual order)_summary sheet 2007_2008 _Dec_080215_For 1st FO_updated" xfId="2616" xr:uid="{00000000-0005-0000-0000-00005C0A0000}"/>
    <cellStyle name="_summary sheet 2007_2008 (for actual order)_summary sheet 2007_2008 _Dec_080703 2008 Summary Sheet _JCC vs Actual" xfId="2617" xr:uid="{00000000-0005-0000-0000-00005D0A0000}"/>
    <cellStyle name="_summary sheet 2007_2008 (for actual order)_summary sheet 2007_2008 _Dec_080703 2008 Summary Sheet _JCC vs Actual rev" xfId="2618" xr:uid="{00000000-0005-0000-0000-00005E0A0000}"/>
    <cellStyle name="_summary sheet 2007_2008 (for actual order)_summary sheet 2007_2008 _Dec_080710 2009 Summary Sheet" xfId="2619" xr:uid="{00000000-0005-0000-0000-00005F0A0000}"/>
    <cellStyle name="_summary sheet 2007_2008 (for actual order)_summary sheet 2007_2008 _Dec_080710 The Final Summary Sheet" xfId="2620" xr:uid="{00000000-0005-0000-0000-0000600A0000}"/>
    <cellStyle name="_summary sheet 2007_2008 (for actual order)_summary sheet 2007_2008 _Dec_2007 RS_Model Mix_Dec'07xls_Actual" xfId="2621" xr:uid="{00000000-0005-0000-0000-0000610A0000}"/>
    <cellStyle name="_summary sheet 2007_2008 (for actual order)_summary sheet 2007_2008 _Dec_2007 RS_Model Mix_Dec'07xls_Actual_2008 Inventory Ratio_TF_actual" xfId="2622" xr:uid="{00000000-0005-0000-0000-0000620A0000}"/>
    <cellStyle name="_summary sheet 2007_2008 (for actual order)_summary sheet 2007_2008 _Dec_2007-2008 RS_Model Mix_DNet" xfId="2623" xr:uid="{00000000-0005-0000-0000-0000630A0000}"/>
    <cellStyle name="_summary sheet 2007_2008 (for actual order)_summary sheet 2007_2008 _Dec_2008 Summary Sheet _JCC vs Actual" xfId="2624" xr:uid="{00000000-0005-0000-0000-0000640A0000}"/>
    <cellStyle name="_summary sheet 2007_2008 (for actual order)_summary sheet 2007_2008 _Dec_2008 Summary Sheet _JCC vs Actual_000608" xfId="2625" xr:uid="{00000000-0005-0000-0000-0000650A0000}"/>
    <cellStyle name="_summary sheet 2007_2008 (for actual order)_summary sheet 2007_2008 _Dec_2008 Summary Sheet _JCC vs Actual_080608" xfId="2626" xr:uid="{00000000-0005-0000-0000-0000660A0000}"/>
    <cellStyle name="_summary sheet 2007_2008 (for actual order)_summary sheet 2007_2008 _Dec_2008 Summary Sheet _JCC vs Actual_after FO" xfId="2627" xr:uid="{00000000-0005-0000-0000-0000670A0000}"/>
    <cellStyle name="_summary sheet 2007_2008 (for actual order)_summary sheet 2007_2008 _Dec_2008 Summary Sheet _JCC vs Actual_FO" xfId="2628" xr:uid="{00000000-0005-0000-0000-0000680A0000}"/>
    <cellStyle name="_summary sheet 2007_2008 (for actual order)_summary sheet 2007_2008 _Dec_2008 Summary sheet_080410_1st FO(in the meeting)_revised" xfId="2629" xr:uid="{00000000-0005-0000-0000-0000690A0000}"/>
    <cellStyle name="_summary sheet 2007_2008 (for actual order)_summary sheet 2007_2008 _Dec_2008 Summary sheet_Actual base" xfId="2630" xr:uid="{00000000-0005-0000-0000-00006A0A0000}"/>
    <cellStyle name="_summary sheet 2007_2008 (for actual order)_summary sheet 2007_2008 _Dec_2nd FO_Dec.28" xfId="2631" xr:uid="{00000000-0005-0000-0000-00006B0A0000}"/>
    <cellStyle name="_summary sheet 2007_2008 (for actual order)_summary sheet 2007_2008 _Dec_For 1st FO_Jan'08" xfId="2632" xr:uid="{00000000-0005-0000-0000-00006C0A0000}"/>
    <cellStyle name="_summary sheet 2007_2008 (for actual order)_summary sheet 2007_2008 _Dec_Inventory for Budget_2008-2009 Updated" xfId="2633" xr:uid="{00000000-0005-0000-0000-00006D0A0000}"/>
    <cellStyle name="_summary sheet 2007_2008 (for actual order)_summary sheet 2007_2008 _Dec_Inventory for Budget_2008-2009 Updated_2008 Inventory Ratio_TF_actual" xfId="2634" xr:uid="{00000000-0005-0000-0000-00006E0A0000}"/>
    <cellStyle name="_summary sheet 2007_2008 (for actual order)_summary sheet 2007_2008 _Dec_Model Mix 2008-2009 for budget_Dec.17" xfId="2635" xr:uid="{00000000-0005-0000-0000-00006F0A0000}"/>
    <cellStyle name="_summary sheet 2007_2008 (for actual order)_summary sheet 2007_2008 _Dec_Model Mix 2008-2009 for budget_Dec.17_2008 Inventory Ratio_TF_actual" xfId="2636" xr:uid="{00000000-0005-0000-0000-0000700A0000}"/>
    <cellStyle name="_summary sheet 2007_2008 (for actual order)_summary sheet 2007_2008 _Dec_Retail Sale Forcast. Jan-2008 _Jan4" xfId="2637" xr:uid="{00000000-0005-0000-0000-0000710A0000}"/>
    <cellStyle name="_summary sheet 2007_2008 (for actual order)_summary sheet 2007_2008 _Dec_Retail Sale Forcast. Jan-2008 _Jan4_2008 Inventory Ratio_TF_actual" xfId="2638" xr:uid="{00000000-0005-0000-0000-0000720A0000}"/>
    <cellStyle name="_summary sheet 2007_2008 (for actual order)_summary sheet 2007_2008 _Dec_summary sheet 2007_2008 _Dec_2" xfId="2639" xr:uid="{00000000-0005-0000-0000-0000730A0000}"/>
    <cellStyle name="_summary sheet 2007_2008 (for actual order)_summary sheet 2007_2008 _Dec_summary sheet 2007_2008 _Dec_2_2008 Inventory Ratio_TF_actual" xfId="2640" xr:uid="{00000000-0005-0000-0000-0000740A0000}"/>
    <cellStyle name="_summary sheet 2007_2008 (for actual order)_summary sheet 2007_2008 _Dec_summary sheet 2007_2008 _Dec14_revised1" xfId="2641" xr:uid="{00000000-0005-0000-0000-0000750A0000}"/>
    <cellStyle name="_summary sheet 2007_2008 (for actual order)_summary sheet 2007_2008 _Dec_summary sheet 2007_2008 _Dec14_revised1_2008 Inventory Ratio_TF_actual" xfId="2642" xr:uid="{00000000-0005-0000-0000-0000760A0000}"/>
    <cellStyle name="_summary sheet 2007_2008 (for actual order)_summary sheet 2007_2008 _Dec_summary sheet 2007_2008 _Dec14_revised2" xfId="2643" xr:uid="{00000000-0005-0000-0000-0000770A0000}"/>
    <cellStyle name="_summary sheet 2007_2008 (for actual order)_summary sheet 2007_2008 _Dec_summary sheet 2007_2008 _Dec14_revised2_2008 Inventory Ratio_TF_actual" xfId="2644" xr:uid="{00000000-0005-0000-0000-0000780A0000}"/>
    <cellStyle name="_summary sheet 2007_2008 (for actual order)_summary sheet 2007_2008 _Dec_Summary sheet_for FO_JCC Base" xfId="2645" xr:uid="{00000000-0005-0000-0000-0000790A0000}"/>
    <cellStyle name="_summary sheet 2007_2008 (for actual order)_summary sheet 2007_2008 _Dec_TYT vs ISZ_Mar11’08" xfId="2646" xr:uid="{00000000-0005-0000-0000-00007A0A0000}"/>
    <cellStyle name="_summary sheet 2007_2008 _Dec" xfId="2647" xr:uid="{00000000-0005-0000-0000-00007B0A0000}"/>
    <cellStyle name="_summary sheet 2007_2008 _Dec_2" xfId="2648" xr:uid="{00000000-0005-0000-0000-00007C0A0000}"/>
    <cellStyle name="_summary sheet 2007_2008 _Dec_2_2008 Inventory Ratio_TF_actual" xfId="2649" xr:uid="{00000000-0005-0000-0000-00007D0A0000}"/>
    <cellStyle name="_summary sheet 2007_2008 _Dec_2008 Inventory Ratio_TF_actual" xfId="2650" xr:uid="{00000000-0005-0000-0000-00007E0A0000}"/>
    <cellStyle name="_summary sheet 2007_2008 _Dec_summary sheet 2007_2008 _Dec" xfId="2651" xr:uid="{00000000-0005-0000-0000-00007F0A0000}"/>
    <cellStyle name="_summary sheet 2007_2008 _Dec_summary sheet 2007_2008 _Dec_~6321223" xfId="2652" xr:uid="{00000000-0005-0000-0000-0000800A0000}"/>
    <cellStyle name="_summary sheet 2007_2008 _Dec_summary sheet 2007_2008 _Dec_080215_For 1st FO" xfId="2653" xr:uid="{00000000-0005-0000-0000-0000810A0000}"/>
    <cellStyle name="_summary sheet 2007_2008 _Dec_summary sheet 2007_2008 _Dec_080215_For 1st FO_Final3" xfId="2654" xr:uid="{00000000-0005-0000-0000-0000820A0000}"/>
    <cellStyle name="_summary sheet 2007_2008 _Dec_summary sheet 2007_2008 _Dec_080215_For 1st FO_updated" xfId="2655" xr:uid="{00000000-0005-0000-0000-0000830A0000}"/>
    <cellStyle name="_summary sheet 2007_2008 _Dec_summary sheet 2007_2008 _Dec_080703 2008 Summary Sheet _JCC vs Actual" xfId="2656" xr:uid="{00000000-0005-0000-0000-0000840A0000}"/>
    <cellStyle name="_summary sheet 2007_2008 _Dec_summary sheet 2007_2008 _Dec_080703 2008 Summary Sheet _JCC vs Actual rev" xfId="2657" xr:uid="{00000000-0005-0000-0000-0000850A0000}"/>
    <cellStyle name="_summary sheet 2007_2008 _Dec_summary sheet 2007_2008 _Dec_080710 2009 Summary Sheet" xfId="2658" xr:uid="{00000000-0005-0000-0000-0000860A0000}"/>
    <cellStyle name="_summary sheet 2007_2008 _Dec_summary sheet 2007_2008 _Dec_080710 The Final Summary Sheet" xfId="2659" xr:uid="{00000000-0005-0000-0000-0000870A0000}"/>
    <cellStyle name="_summary sheet 2007_2008 _Dec_summary sheet 2007_2008 _Dec_2007 RS_Model Mix_Dec'07xls_Actual" xfId="2660" xr:uid="{00000000-0005-0000-0000-0000880A0000}"/>
    <cellStyle name="_summary sheet 2007_2008 _Dec_summary sheet 2007_2008 _Dec_2007 RS_Model Mix_Dec'07xls_Actual_2008 Inventory Ratio_TF_actual" xfId="2661" xr:uid="{00000000-0005-0000-0000-0000890A0000}"/>
    <cellStyle name="_summary sheet 2007_2008 _Dec_summary sheet 2007_2008 _Dec_2007-2008 RS_Model Mix_DNet" xfId="2662" xr:uid="{00000000-0005-0000-0000-00008A0A0000}"/>
    <cellStyle name="_summary sheet 2007_2008 _Dec_summary sheet 2007_2008 _Dec_2008 Summary Sheet _JCC vs Actual" xfId="2663" xr:uid="{00000000-0005-0000-0000-00008B0A0000}"/>
    <cellStyle name="_summary sheet 2007_2008 _Dec_summary sheet 2007_2008 _Dec_2008 Summary Sheet _JCC vs Actual_000608" xfId="2664" xr:uid="{00000000-0005-0000-0000-00008C0A0000}"/>
    <cellStyle name="_summary sheet 2007_2008 _Dec_summary sheet 2007_2008 _Dec_2008 Summary Sheet _JCC vs Actual_080608" xfId="2665" xr:uid="{00000000-0005-0000-0000-00008D0A0000}"/>
    <cellStyle name="_summary sheet 2007_2008 _Dec_summary sheet 2007_2008 _Dec_2008 Summary Sheet _JCC vs Actual_after FO" xfId="2666" xr:uid="{00000000-0005-0000-0000-00008E0A0000}"/>
    <cellStyle name="_summary sheet 2007_2008 _Dec_summary sheet 2007_2008 _Dec_2008 Summary Sheet _JCC vs Actual_FO" xfId="2667" xr:uid="{00000000-0005-0000-0000-00008F0A0000}"/>
    <cellStyle name="_summary sheet 2007_2008 _Dec_summary sheet 2007_2008 _Dec_2008 Summary sheet_080410_1st FO(in the meeting)_revised" xfId="2668" xr:uid="{00000000-0005-0000-0000-0000900A0000}"/>
    <cellStyle name="_summary sheet 2007_2008 _Dec_summary sheet 2007_2008 _Dec_2008 Summary sheet_Actual base" xfId="2669" xr:uid="{00000000-0005-0000-0000-0000910A0000}"/>
    <cellStyle name="_summary sheet 2007_2008 _Dec_summary sheet 2007_2008 _Dec_2nd FO_Dec.28" xfId="2670" xr:uid="{00000000-0005-0000-0000-0000920A0000}"/>
    <cellStyle name="_summary sheet 2007_2008 _Dec_summary sheet 2007_2008 _Dec_For 1st FO_Jan'08" xfId="2671" xr:uid="{00000000-0005-0000-0000-0000930A0000}"/>
    <cellStyle name="_summary sheet 2007_2008 _Dec_summary sheet 2007_2008 _Dec_Inventory for Budget_2008-2009 Updated" xfId="2672" xr:uid="{00000000-0005-0000-0000-0000940A0000}"/>
    <cellStyle name="_summary sheet 2007_2008 _Dec_summary sheet 2007_2008 _Dec_Inventory for Budget_2008-2009 Updated_2008 Inventory Ratio_TF_actual" xfId="2673" xr:uid="{00000000-0005-0000-0000-0000950A0000}"/>
    <cellStyle name="_summary sheet 2007_2008 _Dec_summary sheet 2007_2008 _Dec_Model Mix 2008-2009 for budget_Dec.17" xfId="2674" xr:uid="{00000000-0005-0000-0000-0000960A0000}"/>
    <cellStyle name="_summary sheet 2007_2008 _Dec_summary sheet 2007_2008 _Dec_Model Mix 2008-2009 for budget_Dec.17_2008 Inventory Ratio_TF_actual" xfId="2675" xr:uid="{00000000-0005-0000-0000-0000970A0000}"/>
    <cellStyle name="_summary sheet 2007_2008 _Dec_summary sheet 2007_2008 _Dec_Retail Sale Forcast. Jan-2008 _Jan4" xfId="2676" xr:uid="{00000000-0005-0000-0000-0000980A0000}"/>
    <cellStyle name="_summary sheet 2007_2008 _Dec_summary sheet 2007_2008 _Dec_Retail Sale Forcast. Jan-2008 _Jan4_2008 Inventory Ratio_TF_actual" xfId="2677" xr:uid="{00000000-0005-0000-0000-0000990A0000}"/>
    <cellStyle name="_summary sheet 2007_2008 _Dec_summary sheet 2007_2008 _Dec_summary sheet 2007_2008 _Dec_2" xfId="2678" xr:uid="{00000000-0005-0000-0000-00009A0A0000}"/>
    <cellStyle name="_summary sheet 2007_2008 _Dec_summary sheet 2007_2008 _Dec_summary sheet 2007_2008 _Dec_2_2008 Inventory Ratio_TF_actual" xfId="2679" xr:uid="{00000000-0005-0000-0000-00009B0A0000}"/>
    <cellStyle name="_summary sheet 2007_2008 _Dec_summary sheet 2007_2008 _Dec_summary sheet 2007_2008 _Dec14_revised1" xfId="2680" xr:uid="{00000000-0005-0000-0000-00009C0A0000}"/>
    <cellStyle name="_summary sheet 2007_2008 _Dec_summary sheet 2007_2008 _Dec_summary sheet 2007_2008 _Dec14_revised1_2008 Inventory Ratio_TF_actual" xfId="2681" xr:uid="{00000000-0005-0000-0000-00009D0A0000}"/>
    <cellStyle name="_summary sheet 2007_2008 _Dec_summary sheet 2007_2008 _Dec_summary sheet 2007_2008 _Dec14_revised2" xfId="2682" xr:uid="{00000000-0005-0000-0000-00009E0A0000}"/>
    <cellStyle name="_summary sheet 2007_2008 _Dec_summary sheet 2007_2008 _Dec_summary sheet 2007_2008 _Dec14_revised2_2008 Inventory Ratio_TF_actual" xfId="2683" xr:uid="{00000000-0005-0000-0000-00009F0A0000}"/>
    <cellStyle name="_summary sheet 2007_2008 _Dec_summary sheet 2007_2008 _Dec_Summary sheet_for FO_JCC Base" xfId="2684" xr:uid="{00000000-0005-0000-0000-0000A00A0000}"/>
    <cellStyle name="_summary sheet 2007_2008 _Dec_summary sheet 2007_2008 _Dec_TYT vs ISZ_Mar11’08" xfId="2685" xr:uid="{00000000-0005-0000-0000-0000A10A0000}"/>
    <cellStyle name="_summary sheet 2007_2008 _Dec14_revised1" xfId="2686" xr:uid="{00000000-0005-0000-0000-0000A20A0000}"/>
    <cellStyle name="_summary sheet 2007_2008 _Dec14_revised1_2008 Inventory Ratio_TF_actual" xfId="2687" xr:uid="{00000000-0005-0000-0000-0000A30A0000}"/>
    <cellStyle name="_summary sheet 2007_2008 _Dec14_revised2" xfId="2688" xr:uid="{00000000-0005-0000-0000-0000A40A0000}"/>
    <cellStyle name="_summary sheet 2007_2008 _Dec14_revised2_2008 Inventory Ratio_TF_actual" xfId="2689" xr:uid="{00000000-0005-0000-0000-0000A50A0000}"/>
    <cellStyle name="_Summary sheet_for FO_JCC Base" xfId="2690" xr:uid="{00000000-0005-0000-0000-0000A60A0000}"/>
    <cellStyle name="_TIS_12TF Man Power Requistion _ 20100325_Trim" xfId="2691" xr:uid="{00000000-0005-0000-0000-0000A70A0000}"/>
    <cellStyle name="_TIS_12TF Man Power Requistion _ 20100325_Trim_2012 Capacity up Plan-2" xfId="2692" xr:uid="{00000000-0005-0000-0000-0000A80A0000}"/>
    <cellStyle name="_TIS_12TF Man Power Requistion _ 20100325_Trim_2012 Capacity up Plan-2_15Dec_よし" xfId="2693" xr:uid="{00000000-0005-0000-0000-0000A90A0000}"/>
    <cellStyle name="_TIS_12TF Man Power Requistion _ 20100326_Axle &amp; Engine" xfId="2694" xr:uid="{00000000-0005-0000-0000-0000AA0A0000}"/>
    <cellStyle name="_TIS_12TF Man Power Requistion _ 20100326_Axle &amp; Engine_2012 Capacity up Plan-2" xfId="2695" xr:uid="{00000000-0005-0000-0000-0000AB0A0000}"/>
    <cellStyle name="_TIS_12TF Man Power Requistion _ 20100326_Axle &amp; Engine_2012 Capacity up Plan-2_15Dec_よし" xfId="2696" xr:uid="{00000000-0005-0000-0000-0000AC0A0000}"/>
    <cellStyle name="_TIS_12TF Man Power_Chassis 20100325" xfId="2697" xr:uid="{00000000-0005-0000-0000-0000AD0A0000}"/>
    <cellStyle name="_TIS_12TF Man Power_Chassis 20100325_2012 Capacity up Plan-2" xfId="2698" xr:uid="{00000000-0005-0000-0000-0000AE0A0000}"/>
    <cellStyle name="_TIS_12TF Man Power_Chassis 20100325_2012 Capacity up Plan-2_15Dec_よし" xfId="2699" xr:uid="{00000000-0005-0000-0000-0000AF0A0000}"/>
    <cellStyle name="_TIS_12TF_MP Require_Summary_(250325)" xfId="2700" xr:uid="{00000000-0005-0000-0000-0000B00A0000}"/>
    <cellStyle name="_Tosasart_Daily Work" xfId="2701" xr:uid="{00000000-0005-0000-0000-0000B10A0000}"/>
    <cellStyle name="_Tosasart_Daily Work_2012 Capacity up Plan-2" xfId="2702" xr:uid="{00000000-0005-0000-0000-0000B20A0000}"/>
    <cellStyle name="_Tosasart_Daily Work_2012 Capacity up Plan-2_15Dec_よし" xfId="2703" xr:uid="{00000000-0005-0000-0000-0000B30A0000}"/>
    <cellStyle name="_TYT vs ISZ_Mar11’08" xfId="2704" xr:uid="{00000000-0005-0000-0000-0000B40A0000}"/>
    <cellStyle name="_Work_Schedule_23 MY_20090601" xfId="2705" xr:uid="{00000000-0005-0000-0000-0000B50A0000}"/>
    <cellStyle name="_Work_Schedule_23 MY_20090601_2012 Capacity up Plan-2" xfId="2706" xr:uid="{00000000-0005-0000-0000-0000B60A0000}"/>
    <cellStyle name="_Work_Schedule_23 MY_20090601_2012 Capacity up Plan-2_15Dec_よし" xfId="2707" xr:uid="{00000000-0005-0000-0000-0000B70A0000}"/>
    <cellStyle name="" xfId="2708" xr:uid="{00000000-0005-0000-0000-0000B80A0000}"/>
    <cellStyle name="" xfId="2709" xr:uid="{00000000-0005-0000-0000-0000B90A0000}"/>
    <cellStyle name="똿뗦먛귟 [0.00]_PRODUCT DETAIL Q1" xfId="2710" xr:uid="{00000000-0005-0000-0000-0000BA0A0000}"/>
    <cellStyle name="똿뗦먛귟_PRODUCT DETAIL Q1" xfId="2711" xr:uid="{00000000-0005-0000-0000-0000BB0A0000}"/>
    <cellStyle name="믅됞 [0.00]_PRODUCT DETAIL Q1" xfId="2712" xr:uid="{00000000-0005-0000-0000-0000BC0A0000}"/>
    <cellStyle name="믅됞_PRODUCT DETAIL Q1" xfId="2713" xr:uid="{00000000-0005-0000-0000-0000BD0A0000}"/>
    <cellStyle name="백분율_HOBONG" xfId="2714" xr:uid="{00000000-0005-0000-0000-0000BE0A0000}"/>
    <cellStyle name="뷭?_BOOKSHIP" xfId="2715" xr:uid="{00000000-0005-0000-0000-0000BF0A0000}"/>
    <cellStyle name="쉼표 [0]_Monthly Market Share Table form" xfId="2716" xr:uid="{00000000-0005-0000-0000-0000C00A0000}"/>
    <cellStyle name="콤마 [0]_1202" xfId="2717" xr:uid="{00000000-0005-0000-0000-0000C10A0000}"/>
    <cellStyle name="콤마_1202" xfId="2718" xr:uid="{00000000-0005-0000-0000-0000C20A0000}"/>
    <cellStyle name="통화 [0]_1202" xfId="2719" xr:uid="{00000000-0005-0000-0000-0000C30A0000}"/>
    <cellStyle name="통화_1202" xfId="2720" xr:uid="{00000000-0005-0000-0000-0000C40A0000}"/>
    <cellStyle name="표준_(정보부문)월별인원계획" xfId="2721" xr:uid="{00000000-0005-0000-0000-0000C50A0000}"/>
    <cellStyle name="하이퍼링크_APQP_KDAC_635N" xfId="2722" xr:uid="{00000000-0005-0000-0000-0000C60A0000}"/>
    <cellStyle name="一?ESheet1" xfId="2723" xr:uid="{00000000-0005-0000-0000-0000C70A0000}"/>
    <cellStyle name="一?E五?" xfId="2724" xr:uid="{00000000-0005-0000-0000-0000C80A0000}"/>
    <cellStyle name="一?E追加見積" xfId="2725" xr:uid="{00000000-0005-0000-0000-0000C90A0000}"/>
    <cellStyle name="一般_031124 NBC4" xfId="2726" xr:uid="{00000000-0005-0000-0000-0000CA0A0000}"/>
    <cellStyle name="不要?理" xfId="2727" xr:uid="{00000000-0005-0000-0000-0000CB0A0000}"/>
    <cellStyle name="不要処理" xfId="2728" xr:uid="{00000000-0005-0000-0000-0000CC0A0000}"/>
    <cellStyle name="入力" xfId="2729" xr:uid="{00000000-0005-0000-0000-0000CD0A0000}"/>
    <cellStyle name="出力" xfId="2730" xr:uid="{00000000-0005-0000-0000-0000CE0A0000}"/>
    <cellStyle name="千分?E0]_Sheet1" xfId="2731" xr:uid="{00000000-0005-0000-0000-0000CF0A0000}"/>
    <cellStyle name="千分?ESheet1" xfId="2732" xr:uid="{00000000-0005-0000-0000-0000D00A0000}"/>
    <cellStyle name="千分?E五?" xfId="2733" xr:uid="{00000000-0005-0000-0000-0000D10A0000}"/>
    <cellStyle name="千分位[0]_231W内製原価(040505)" xfId="2734" xr:uid="{00000000-0005-0000-0000-0000D20A0000}"/>
    <cellStyle name="千分位_包裝課整理" xfId="2735" xr:uid="{00000000-0005-0000-0000-0000D30A0000}"/>
    <cellStyle name="古場" xfId="2736" xr:uid="{00000000-0005-0000-0000-0000D40A0000}"/>
    <cellStyle name="妞" xfId="2737" xr:uid="{00000000-0005-0000-0000-0000D50A0000}"/>
    <cellStyle name="帳票" xfId="2738" xr:uid="{00000000-0005-0000-0000-0000D60A0000}"/>
    <cellStyle name="悪い" xfId="2739" xr:uid="{00000000-0005-0000-0000-0000D70A0000}"/>
    <cellStyle name="戟c・・・ [0.00]_larouxccRH" xfId="2740" xr:uid="{00000000-0005-0000-0000-0000D80A0000}"/>
    <cellStyle name="戟c・・・_laroux_TOO" xfId="2741" xr:uid="{00000000-0005-0000-0000-0000D90A0000}"/>
    <cellStyle name="戟c蟻唇Re [0.00]_ITEM" xfId="2742" xr:uid="{00000000-0005-0000-0000-0000DA0A0000}"/>
    <cellStyle name="戟c蟻唇Re_ITEM" xfId="2743" xr:uid="{00000000-0005-0000-0000-0000DB0A0000}"/>
    <cellStyle name="日付" xfId="2744" xr:uid="{00000000-0005-0000-0000-0000DC0A0000}"/>
    <cellStyle name="未定義" xfId="2745" xr:uid="{00000000-0005-0000-0000-0000DD0A0000}"/>
    <cellStyle name="桁?切? [0.00]_076WEPD" xfId="2746" xr:uid="{00000000-0005-0000-0000-0000DE0A0000}"/>
    <cellStyle name="桁?切?_076WEPD" xfId="2747" xr:uid="{00000000-0005-0000-0000-0000DF0A0000}"/>
    <cellStyle name="桁・・・ [0.00]_Apr." xfId="2748" xr:uid="{00000000-0005-0000-0000-0000E00A0000}"/>
    <cellStyle name="桁・・・_Apr." xfId="2749" xr:uid="{00000000-0005-0000-0000-0000E10A0000}"/>
    <cellStyle name="桁区切り [0.00] 2" xfId="2750" xr:uid="{00000000-0005-0000-0000-0000E20A0000}"/>
    <cellStyle name="桁区切り [0.00] 3" xfId="2751" xr:uid="{00000000-0005-0000-0000-0000E30A0000}"/>
    <cellStyle name="桁区切り [0.00] 4" xfId="2752" xr:uid="{00000000-0005-0000-0000-0000E40A0000}"/>
    <cellStyle name="桁区切り [0.00]_05TFexcise_REPORT(Sept 15)1130" xfId="2753" xr:uid="{00000000-0005-0000-0000-0000E50A0000}"/>
    <cellStyle name="桁区切り [0.00]r" xfId="2754" xr:uid="{00000000-0005-0000-0000-0000E60A0000}"/>
    <cellStyle name="桁区切り 2" xfId="2755" xr:uid="{00000000-0005-0000-0000-0000E70A0000}"/>
    <cellStyle name="桁区切り 2 10" xfId="2756" xr:uid="{00000000-0005-0000-0000-0000E80A0000}"/>
    <cellStyle name="桁区切り 2 11" xfId="2757" xr:uid="{00000000-0005-0000-0000-0000E90A0000}"/>
    <cellStyle name="桁区切り 2 12" xfId="2758" xr:uid="{00000000-0005-0000-0000-0000EA0A0000}"/>
    <cellStyle name="桁区切り 2 13" xfId="2759" xr:uid="{00000000-0005-0000-0000-0000EB0A0000}"/>
    <cellStyle name="桁区切り 2 14" xfId="2760" xr:uid="{00000000-0005-0000-0000-0000EC0A0000}"/>
    <cellStyle name="桁区切り 2 15" xfId="2761" xr:uid="{00000000-0005-0000-0000-0000ED0A0000}"/>
    <cellStyle name="桁区切り 2 16" xfId="2762" xr:uid="{00000000-0005-0000-0000-0000EE0A0000}"/>
    <cellStyle name="桁区切り 2 17" xfId="2763" xr:uid="{00000000-0005-0000-0000-0000EF0A0000}"/>
    <cellStyle name="桁区切り 2 18" xfId="2764" xr:uid="{00000000-0005-0000-0000-0000F00A0000}"/>
    <cellStyle name="桁区切り 2 19" xfId="2765" xr:uid="{00000000-0005-0000-0000-0000F10A0000}"/>
    <cellStyle name="桁区切り 2 2" xfId="2766" xr:uid="{00000000-0005-0000-0000-0000F20A0000}"/>
    <cellStyle name="桁区切り 2 20" xfId="2767" xr:uid="{00000000-0005-0000-0000-0000F30A0000}"/>
    <cellStyle name="桁区切り 2 21" xfId="2768" xr:uid="{00000000-0005-0000-0000-0000F40A0000}"/>
    <cellStyle name="桁区切り 2 22" xfId="2769" xr:uid="{00000000-0005-0000-0000-0000F50A0000}"/>
    <cellStyle name="桁区切り 2 23" xfId="2770" xr:uid="{00000000-0005-0000-0000-0000F60A0000}"/>
    <cellStyle name="桁区切り 2 24" xfId="2771" xr:uid="{00000000-0005-0000-0000-0000F70A0000}"/>
    <cellStyle name="桁区切り 2 25" xfId="2772" xr:uid="{00000000-0005-0000-0000-0000F80A0000}"/>
    <cellStyle name="桁区切り 2 26" xfId="2773" xr:uid="{00000000-0005-0000-0000-0000F90A0000}"/>
    <cellStyle name="桁区切り 2 27" xfId="2774" xr:uid="{00000000-0005-0000-0000-0000FA0A0000}"/>
    <cellStyle name="桁区切り 2 28" xfId="2775" xr:uid="{00000000-0005-0000-0000-0000FB0A0000}"/>
    <cellStyle name="桁区切り 2 29" xfId="2776" xr:uid="{00000000-0005-0000-0000-0000FC0A0000}"/>
    <cellStyle name="桁区切り 2 3" xfId="2777" xr:uid="{00000000-0005-0000-0000-0000FD0A0000}"/>
    <cellStyle name="桁区切り 2 30" xfId="2778" xr:uid="{00000000-0005-0000-0000-0000FE0A0000}"/>
    <cellStyle name="桁区切り 2 31" xfId="2779" xr:uid="{00000000-0005-0000-0000-0000FF0A0000}"/>
    <cellStyle name="桁区切り 2 32" xfId="2780" xr:uid="{00000000-0005-0000-0000-0000000B0000}"/>
    <cellStyle name="桁区切り 2 33" xfId="2781" xr:uid="{00000000-0005-0000-0000-0000010B0000}"/>
    <cellStyle name="桁区切り 2 34" xfId="2782" xr:uid="{00000000-0005-0000-0000-0000020B0000}"/>
    <cellStyle name="桁区切り 2 35" xfId="2783" xr:uid="{00000000-0005-0000-0000-0000030B0000}"/>
    <cellStyle name="桁区切り 2 36" xfId="2784" xr:uid="{00000000-0005-0000-0000-0000040B0000}"/>
    <cellStyle name="桁区切り 2 37" xfId="2785" xr:uid="{00000000-0005-0000-0000-0000050B0000}"/>
    <cellStyle name="桁区切り 2 38" xfId="2786" xr:uid="{00000000-0005-0000-0000-0000060B0000}"/>
    <cellStyle name="桁区切り 2 39" xfId="2787" xr:uid="{00000000-0005-0000-0000-0000070B0000}"/>
    <cellStyle name="桁区切り 2 4" xfId="2788" xr:uid="{00000000-0005-0000-0000-0000080B0000}"/>
    <cellStyle name="桁区切り 2 40" xfId="2789" xr:uid="{00000000-0005-0000-0000-0000090B0000}"/>
    <cellStyle name="桁区切り 2 41" xfId="2790" xr:uid="{00000000-0005-0000-0000-00000A0B0000}"/>
    <cellStyle name="桁区切り 2 5" xfId="2791" xr:uid="{00000000-0005-0000-0000-00000B0B0000}"/>
    <cellStyle name="桁区切り 2 6" xfId="2792" xr:uid="{00000000-0005-0000-0000-00000C0B0000}"/>
    <cellStyle name="桁区切り 2 7" xfId="2793" xr:uid="{00000000-0005-0000-0000-00000D0B0000}"/>
    <cellStyle name="桁区切り 2 8" xfId="2794" xr:uid="{00000000-0005-0000-0000-00000E0B0000}"/>
    <cellStyle name="桁区切り 2 9" xfId="2795" xr:uid="{00000000-0005-0000-0000-00000F0B0000}"/>
    <cellStyle name="桁区切り 3" xfId="2796" xr:uid="{00000000-0005-0000-0000-0000100B0000}"/>
    <cellStyle name="桁区切り 4" xfId="2797" xr:uid="{00000000-0005-0000-0000-0000110B0000}"/>
    <cellStyle name="桁区切り 5" xfId="2798" xr:uid="{00000000-0005-0000-0000-0000120B0000}"/>
    <cellStyle name="桁区切り 6" xfId="2799" xr:uid="{00000000-0005-0000-0000-0000130B0000}"/>
    <cellStyle name="桁区切り 7" xfId="2800" xr:uid="{00000000-0005-0000-0000-0000140B0000}"/>
    <cellStyle name="桁区切り 8" xfId="2801" xr:uid="{00000000-0005-0000-0000-0000150B0000}"/>
    <cellStyle name="桁区切り_081203_Budget ver2" xfId="2802" xr:uid="{00000000-0005-0000-0000-0000160B0000}"/>
    <cellStyle name="桁蟻唇Ｆ [0.00]_076WEPD" xfId="2803" xr:uid="{00000000-0005-0000-0000-0000170B0000}"/>
    <cellStyle name="桁蟻唇Ｆ_076WEPD" xfId="2804" xr:uid="{00000000-0005-0000-0000-0000180B0000}"/>
    <cellStyle name="標?_316NP(000413)00年一体化3.3" xfId="2805" xr:uid="{00000000-0005-0000-0000-0000190B0000}"/>
    <cellStyle name="標準 2" xfId="2806" xr:uid="{00000000-0005-0000-0000-00001A0B0000}"/>
    <cellStyle name="標準 2 2" xfId="2807" xr:uid="{00000000-0005-0000-0000-00001B0B0000}"/>
    <cellStyle name="標準 2_ASSY (Apr '11-Mar '12)" xfId="2808" xr:uid="{00000000-0005-0000-0000-00001C0B0000}"/>
    <cellStyle name="標準 3" xfId="2809" xr:uid="{00000000-0005-0000-0000-00001D0B0000}"/>
    <cellStyle name="標準 4" xfId="2810" xr:uid="{00000000-0005-0000-0000-00001E0B0000}"/>
    <cellStyle name="標準_~2937924" xfId="2811" xr:uid="{00000000-0005-0000-0000-00001F0B0000}"/>
    <cellStyle name="標準8" xfId="2812" xr:uid="{00000000-0005-0000-0000-0000200B0000}"/>
    <cellStyle name="爨ﾃﾗ靉ｧﾋﾁﾒﾂｨﾘﾅﾀﾒ､ [0]_Excel_MD97DL" xfId="2813" xr:uid="{00000000-0005-0000-0000-0000210B0000}"/>
    <cellStyle name="爨ﾃﾗ靉ｧﾋﾁﾒﾂｨﾘﾅﾀﾒ､_Excel_MD97DL" xfId="2814" xr:uid="{00000000-0005-0000-0000-0000220B0000}"/>
    <cellStyle name="爨ﾃﾗ靉ｧﾋﾁﾒﾂﾊ｡ﾘﾅ爰ﾔｹ [0]_Excel_MD97DL" xfId="2815" xr:uid="{00000000-0005-0000-0000-0000230B0000}"/>
    <cellStyle name="爨ﾃﾗ靉ｧﾋﾁﾒﾂﾊ｡ﾘﾅ爰ﾔｹ_Excel_MD97DL" xfId="2816" xr:uid="{00000000-0005-0000-0000-0000240B0000}"/>
    <cellStyle name="磨葬e義" xfId="2817" xr:uid="{00000000-0005-0000-0000-0000250B0000}"/>
    <cellStyle name="脱? [0.00]_076WEPD" xfId="2818" xr:uid="{00000000-0005-0000-0000-0000260B0000}"/>
    <cellStyle name="脱?_076WEPD" xfId="2819" xr:uid="{00000000-0005-0000-0000-0000270B0000}"/>
    <cellStyle name="脱浦 [0.00]_076WEPD" xfId="2820" xr:uid="{00000000-0005-0000-0000-0000280B0000}"/>
    <cellStyle name="脱浦_076WEPD" xfId="2821" xr:uid="{00000000-0005-0000-0000-0000290B0000}"/>
    <cellStyle name="良い" xfId="2822" xr:uid="{00000000-0005-0000-0000-00002A0B0000}"/>
    <cellStyle name="行レベル_1_IPC 2003年事業計画用VOL" xfId="2823" xr:uid="{00000000-0005-0000-0000-00002B0B0000}"/>
    <cellStyle name="表・・・・ハイパーリンク" xfId="2824" xr:uid="{00000000-0005-0000-0000-00002C0B0000}"/>
    <cellStyle name="表旨巧・・ハイパーリンク" xfId="2825" xr:uid="{00000000-0005-0000-0000-00002D0B0000}"/>
    <cellStyle name="表示??????????" xfId="2826" xr:uid="{00000000-0005-0000-0000-00002E0B0000}"/>
    <cellStyle name="見出し 1" xfId="2827" xr:uid="{00000000-0005-0000-0000-00002F0B0000}"/>
    <cellStyle name="見出し 2" xfId="2828" xr:uid="{00000000-0005-0000-0000-0000300B0000}"/>
    <cellStyle name="見出し 3" xfId="2829" xr:uid="{00000000-0005-0000-0000-0000310B0000}"/>
    <cellStyle name="見出し 4" xfId="2830" xr:uid="{00000000-0005-0000-0000-0000320B0000}"/>
    <cellStyle name="見出し１" xfId="2831" xr:uid="{00000000-0005-0000-0000-0000330B0000}"/>
    <cellStyle name="計算" xfId="2832" xr:uid="{00000000-0005-0000-0000-0000340B0000}"/>
    <cellStyle name="説明文" xfId="2833" xr:uid="{00000000-0005-0000-0000-0000350B0000}"/>
    <cellStyle name="警告文" xfId="2834" xr:uid="{00000000-0005-0000-0000-0000360B0000}"/>
    <cellStyle name="貨?E[0]_Sheet1" xfId="2835" xr:uid="{00000000-0005-0000-0000-0000370B0000}"/>
    <cellStyle name="貨幣[0]_06生管" xfId="2836" xr:uid="{00000000-0005-0000-0000-0000380B0000}"/>
    <cellStyle name="通貨 [0.00]_KASA" xfId="2837" xr:uid="{00000000-0005-0000-0000-0000390B0000}"/>
    <cellStyle name="通貨*" xfId="2838" xr:uid="{00000000-0005-0000-0000-00003A0B0000}"/>
    <cellStyle name="通貨_KASA" xfId="2839" xr:uid="{00000000-0005-0000-0000-00003B0B0000}"/>
    <cellStyle name="集計" xfId="2840" xr:uid="{00000000-0005-0000-0000-00003C0B0000}"/>
    <cellStyle name="鬻? [0.00]_076WEPD" xfId="2841" xr:uid="{00000000-0005-0000-0000-00003D0B0000}"/>
    <cellStyle name="鬻?_076WEPD" xfId="2842" xr:uid="{00000000-0005-0000-0000-00003E0B0000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My%20Documents\&#26032;&#35215;&#21697;&#30058;&#65432;&#65405;&#65412;\&#65300;&#65317;&#31995;\OPEL\Euro4%20&#37096;&#21697;&#31649;&#29702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&#26087;RF5\RF3\etc\&#39366;&#21205;&#23637;&#38283;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PRICE%20NEGO%20DATA\98%20Price%20Nego(Dec%20Pric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a_winnt\cpo\Feb99Bud_Rev\26th_FEB99_Bu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pt\iszt\190%20Exp%20Apllve\B007(API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catsv\ss3\SS3_R&amp;L&#20849;&#26377;\&#20919;&#21364;&#65381;&#29105;&#23475;\&#20919;&#21364;&#29105;&#23475;RV&#65411;&#65438;&#65392;&#65408;\190GMT355\Thermal_ISZ\Common_TC_Start_List_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Pictures\02JULYBUDGET\03_cost\tentative\DOCUME~1\kasahara\LOCALS~1\Temp\DOCUME~1\kasahara\LOCALS~1\Temp\WINDOWS\TEMP\PRICE%20NEGO%20DATA\98%20Price%20Nego(Dec%20Pric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DRI%20MEA%20Dec.20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SA%20Data%203q03%20Oct.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KHND77G\My%20Documents\UCS%20SEP.%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ISUZU-EC8A6C8C2\Local%20Settings\Temporary%20Internet%20Files\Content.IE5\05ANO9Y3\Prod-Jan-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45\&#65297;&#65305;&#65296;\&#65426;&#65392;&#65398;&#65392;&#65402;&#65392;&#65412;&#65438;\&#22269;&#20869;&#21517;&#31807;&#65411;&#65438;&#65392;&#654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1TAPR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00P\volume\&#20013;&#35336;200410\040930&#20013;&#35336;&#21336;&#20385;(103&#26399;&#20107;&#35336;)&#31777;&#26131;&#29256;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My%20Documents\&#26032;&#35215;&#21697;&#30058;&#65432;&#65405;&#65412;\&#65300;&#65317;&#31995;\OPEL\Euro4%20&#37096;&#21697;&#31649;&#29702;&#3492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2TAPRREV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%20to%20transfer%20to%20new%20pc/Homework/EEUROPE/REPORTS/April2004/dATADISK0304/DatadiskEE0304FULLDATAVER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%20to%20transfer%20to%20new%20pc\Homework\EEUROPE\REPORTS\April2004\dATADISK0304\DatadiskEE0304FULLDATAVERS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PF2001\&#20849;&#26377;\WINDOWS\TEMP\346Proj&#26085;&#31243;9911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WINDOWS\TEMP\PRICE%20NEGO%20DATA\98%20Price%20Nego(Dec%20Price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LPHI\PP1\06.09.14\IMCT&#35519;&#25972;&#24460;\&#20869;&#23481;&#38913;\&#30446;&#30340;,&#27010;&#3520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V0309SP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iyachi/LOCALS~1/Temp/Data/PJA/Somjit/INVENTORY/Inventory03/TFR2002MODEL'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Data\PJA\Somjit\INVENTORY\Inventory03\TFR2002MODEL'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901646\LOCALS~1\Temp\notes823D7D\&#38283;&#30330;&#26085;&#31243;&#25511;&#1236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obexra\My%20Documents\&#33655;&#32368;&#12426;\&#20840;&#38656;\091211&#20840;&#38656;&#20104;&#28204;%20IMCT&#27583;&#25552;&#20986;&#29992;&#65288;2010&#65293;2015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yosan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yosan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&#20225;&#30011;&#26360;\6H\DR0&#20225;&#30011;&#26360;\My%20Documents\&#21152;&#34276;\700P\&#20225;&#30011;\6h\PT&#20225;&#30011;\RV3\700P%206HK1TC&#35215;&#21046;&#23550;&#24540;&#20181;&#27096;&#12414;&#12392;&#12417;(031124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010126%20TIS%20MTG&#65288;&#25163;&#25345;&#1238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OD"/>
      <sheetName val="Page 3 (Samrong UA)"/>
      <sheetName val="Page 4 (Gateway-TF)"/>
      <sheetName val="P.1"/>
      <sheetName val="Table"/>
      <sheetName val="ＴＦ関連Ｐｒｊ日程表"/>
      <sheetName val="LR・LTｸﾚｰﾑ分析"/>
      <sheetName val="集計条件"/>
      <sheetName val="Snp"/>
      <sheetName val="1-A､B"/>
      <sheetName val="200P SHEET"/>
      <sheetName val="計算結果"/>
      <sheetName val="Table Master"/>
      <sheetName val="結果"/>
      <sheetName val="Master Route"/>
      <sheetName val="DATA"/>
      <sheetName val="NEW003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Car Input"/>
      <sheetName val="Summary"/>
      <sheetName val="推移用データ"/>
      <sheetName val="DOM-競合車SPEC"/>
      <sheetName val="SUM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G Van - Price Build up"/>
      <sheetName val="Injection Foam (4)"/>
      <sheetName val="FB sepa S2"/>
      <sheetName val="MENU"/>
      <sheetName val="PL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2005"/>
      <sheetName val="Index"/>
      <sheetName val="T"/>
      <sheetName val="Distance Master"/>
      <sheetName val="Driver Master"/>
      <sheetName val="Truck Master"/>
      <sheetName val="Allowance Master"/>
      <sheetName val="プロジェクトステータス　4J(ELF)"/>
      <sheetName val="1. Prod. (BG  TG   AC) 2016"/>
      <sheetName val="Compare Budget &amp; Actual Ord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The Rule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RS"/>
      <sheetName val="Welding #2"/>
      <sheetName val="Cap. Injection "/>
      <sheetName val="RR"/>
      <sheetName val="3.Idea.Sewing "/>
      <sheetName val="LCV"/>
      <sheetName val="Input-B2006wk"/>
      <sheetName val="Average"/>
      <sheetName val="ｼｬｼ"/>
      <sheetName val="DATA_MANUAL"/>
      <sheetName val="マスタ"/>
      <sheetName val="SHOT-A(N)"/>
      <sheetName val="板厚-ｺｲﾙ巾"/>
      <sheetName val="W-15F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p.no Coil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表5-2 地区別CO2排出実績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【参考】ECMｿﾌﾄID"/>
      <sheetName val="選択リスト(削除不可)"/>
      <sheetName val="Over all FS A"/>
      <sheetName val="DATE"/>
      <sheetName val="Selection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TGRT_CM"/>
      <sheetName val="Progress Target 2019"/>
      <sheetName val="Data Base"/>
      <sheetName val="Sheet1(RZ)"/>
      <sheetName val="Sheet2(4J)"/>
      <sheetName val="Count- Akim"/>
      <sheetName val="Additional Chassis"/>
      <sheetName val="Status meaning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094_APP別"/>
      <sheetName val="IGI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Sheet8"/>
      <sheetName val="DATA  CONE"/>
      <sheetName val="DATA  CUP"/>
      <sheetName val="D2) Truck List"/>
      <sheetName val="Report Compare PM"/>
      <sheetName val="Data All "/>
      <sheetName val="Fix Cost Rev.0"/>
      <sheetName val="TOTAL"/>
      <sheetName val="PP_Letter 389N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DtRework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blank form"/>
      <sheetName val="ELF"/>
      <sheetName val="プルダウン"/>
      <sheetName val="ตัวเลือก ห้ามลบ"/>
      <sheetName val="RT79"/>
      <sheetName val="RAN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酋表"/>
      <sheetName val="MY03 Y"/>
      <sheetName val="MY04Z B"/>
      <sheetName val="MY04Z D"/>
      <sheetName val="MY03Z"/>
      <sheetName val="00年9月"/>
      <sheetName val="Table Master"/>
      <sheetName val="NCAB"/>
      <sheetName val="結果"/>
      <sheetName val="DATA"/>
      <sheetName val="総合B"/>
      <sheetName val="ﾌﾟﾛﾄ_P772分解5号機"/>
      <sheetName val="A"/>
      <sheetName val="COST O.K."/>
      <sheetName val="NEW003"/>
      <sheetName val="FC"/>
      <sheetName val="MY03_Y"/>
      <sheetName val="MY04Z_B"/>
      <sheetName val="MY04Z_D"/>
      <sheetName val="Table_Master"/>
      <sheetName val="COST_O_K_"/>
      <sheetName val="C3_N DC改造投資"/>
      <sheetName val="Euro4 部品管理表"/>
      <sheetName val="ENG油洩れ"/>
      <sheetName val="_B007"/>
      <sheetName val="Sheet1"/>
      <sheetName val="1-C,D"/>
      <sheetName val="NK仕様21"/>
      <sheetName val="A010"/>
      <sheetName val="ﾏﾙC改造投資詳細"/>
      <sheetName val="COST"/>
      <sheetName val="ISO_250"/>
      <sheetName val="Annual Production"/>
      <sheetName val="ﾕｰｻﾞｰ設定"/>
      <sheetName val="MY03_Y1"/>
      <sheetName val="MY04Z_B1"/>
      <sheetName val="MY04Z_D1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Km"/>
      <sheetName val="Report for CCD-Dec.05"/>
      <sheetName val="Pro_type_Master"/>
      <sheetName val="ポンプ作動耐久回数検討"/>
      <sheetName val="REVENUE"/>
      <sheetName val=" IB-PL-YTD"/>
      <sheetName val="計算結果"/>
      <sheetName val="liste"/>
      <sheetName val="list"/>
      <sheetName val="疲労限B"/>
      <sheetName val="133NPR55 69 EC"/>
      <sheetName val="Submission Address"/>
      <sheetName val="SMALL"/>
      <sheetName val="Sheet7 NEW"/>
      <sheetName val="MOTO"/>
      <sheetName val="A2 990"/>
      <sheetName val="Detail"/>
      <sheetName val="124NKR55(ISUZU)"/>
      <sheetName val="在庫表"/>
      <sheetName val="99年度営担別拡販 (3)"/>
      <sheetName val="平板Ｃ"/>
      <sheetName val="日程"/>
      <sheetName val="着座衝撃力(IN)"/>
      <sheetName val="DB"/>
      <sheetName val="s-code"/>
      <sheetName val="国ｺｰﾄﾞ"/>
      <sheetName val="分類"/>
      <sheetName val="金額"/>
      <sheetName val="Sheet2"/>
      <sheetName val="96期(川崎)"/>
      <sheetName val="DATA01"/>
      <sheetName val=" CV ALL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Honda trading"/>
      <sheetName val="ＴＦ関連Ｐｒｊ日程表"/>
      <sheetName val="COVER"/>
      <sheetName val="県別ﾏﾙﾁ"/>
      <sheetName val="Invoice"/>
      <sheetName val="Delivery Schedule"/>
      <sheetName val="Received"/>
      <sheetName val="DatadiskEE0304FULLDATAVERSION"/>
      <sheetName val="V6D"/>
      <sheetName val="1_A_B"/>
      <sheetName val="181"/>
      <sheetName val="リース台帳"/>
      <sheetName val="??????"/>
      <sheetName val="96・(・・)"/>
      <sheetName val="2005"/>
      <sheetName val="名簿データ"/>
      <sheetName val="346Proj日程991124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Table_Master1"/>
      <sheetName val="COST_O_K_1"/>
      <sheetName val="C3_N_DC改造投資"/>
      <sheetName val="A-K研車型"/>
      <sheetName val=" Sale Order -N"/>
      <sheetName val="Gross Prifit-N"/>
      <sheetName val="ST外率"/>
      <sheetName val="CFS3"/>
      <sheetName val="190BODY EMATRIX"/>
      <sheetName val="MY03_Y2"/>
      <sheetName val="MY04Z_B2"/>
      <sheetName val="MY04Z_D2"/>
      <sheetName val="Euro4_部品管理表1"/>
      <sheetName val="A2_990"/>
      <sheetName val="Annual_Production1"/>
      <sheetName val="Fiel_List"/>
      <sheetName val="New_DYNA"/>
      <sheetName val="Report_for_CCD-Dec_05"/>
      <sheetName val="Submission_Address"/>
      <sheetName val="Sheet7_NEW"/>
      <sheetName val="_Sale_Order_-N"/>
      <sheetName val="133NPR55_69_EC"/>
      <sheetName val="_IB-PL-YTD"/>
      <sheetName val="Gross_Prifit-N"/>
      <sheetName val="99年度営担別拡販_(3)"/>
      <sheetName val="_CV_ALL"/>
      <sheetName val="Unit_Price"/>
      <sheetName val="Honda_trading"/>
      <sheetName val="Delivery_Schedule"/>
      <sheetName val="(原単位)"/>
      <sheetName val="Customize Your Purchase Order"/>
      <sheetName val="16,7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#ofclose"/>
      <sheetName val="___"/>
      <sheetName val="QR20-1101"/>
      <sheetName val="Assumptions"/>
      <sheetName val="______"/>
      <sheetName val="DatadiskEE0304FULLDATAVE_x0000__x0000__x0000__x0000_聎"/>
      <sheetName val="選酋表 &amp;崪Ֆ_x0000__x0000_ചȂച2_x0000__x0000_ᓈ ᓎ _x0000__x0000__x0000_"/>
      <sheetName val="H””ärQ"/>
      <sheetName val="Customize_Your_Purchase_Order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SPEC LIST"/>
      <sheetName val="OD"/>
      <sheetName val="P10"/>
      <sheetName val="P2"/>
      <sheetName val="P3"/>
      <sheetName val="P6"/>
      <sheetName val="P9"/>
      <sheetName val="FVR発進加速燃費まとめ"/>
      <sheetName val="DatadiskEE0304FULLDATAVE????聎"/>
      <sheetName val="Absorber"/>
      <sheetName val="Sheet3"/>
      <sheetName val="まとめ"/>
      <sheetName val="TOTAL"/>
      <sheetName val="案"/>
      <sheetName val="Asset"/>
      <sheetName val="90-2"/>
      <sheetName val="Basic_Information"/>
      <sheetName val="SEAL"/>
      <sheetName val="Wv?"/>
      <sheetName val="16_7"/>
      <sheetName val="Pareto Others + Daily Graph"/>
      <sheetName val="MY03_Y3"/>
      <sheetName val="MY04Z_B3"/>
      <sheetName val="MY04Z_D3"/>
      <sheetName val="Table_Master2"/>
      <sheetName val="COST_O_K_2"/>
      <sheetName val="C3_N_DC改造投資1"/>
      <sheetName val="Euro4_部品管理表2"/>
      <sheetName val="Submission_Address1"/>
      <sheetName val="Annual_Production2"/>
      <sheetName val="Fiel_List1"/>
      <sheetName val="New_DYNA1"/>
      <sheetName val="Report_for_CCD-Dec_051"/>
      <sheetName val="Sheet7_NEW1"/>
      <sheetName val="133NPR55_69_EC1"/>
      <sheetName val="_IB-PL-YTD1"/>
      <sheetName val="A2_9901"/>
      <sheetName val="99年度営担別拡販_(3)1"/>
      <sheetName val="_CV_ALL1"/>
      <sheetName val="Unit_Price1"/>
      <sheetName val="Honda_trading1"/>
      <sheetName val="Delivery_Schedule1"/>
      <sheetName val="_Sale_Order_-N1"/>
      <sheetName val="Gross_Prifit-N1"/>
      <sheetName val="190BODY_EMATRIX"/>
      <sheetName val="Customize_Your_Purchase_Order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選酋表_&amp;崪ՖചȂച2ᓈ_ᓎ_"/>
      <sheetName val="SPEC_LIST"/>
      <sheetName val="MY03_Y4"/>
      <sheetName val="MY04Z_B4"/>
      <sheetName val="MY04Z_D4"/>
      <sheetName val="Table_Master3"/>
      <sheetName val="COST_O_K_3"/>
      <sheetName val="C3_N_DC改造投資2"/>
      <sheetName val="Euro4_部品管理表3"/>
      <sheetName val="Submission_Address2"/>
      <sheetName val="Annual_Production3"/>
      <sheetName val="Fiel_List2"/>
      <sheetName val="New_DYNA2"/>
      <sheetName val="Report_for_CCD-Dec_052"/>
      <sheetName val="Sheet7_NEW2"/>
      <sheetName val="133NPR55_69_EC2"/>
      <sheetName val="_IB-PL-YTD2"/>
      <sheetName val="A2_9902"/>
      <sheetName val="99年度営担別拡販_(3)2"/>
      <sheetName val="_CV_ALL2"/>
      <sheetName val="Unit_Price2"/>
      <sheetName val="Honda_trading2"/>
      <sheetName val="Delivery_Schedule2"/>
      <sheetName val="_Sale_Order_-N2"/>
      <sheetName val="Gross_Prifit-N2"/>
      <sheetName val="190BODY_EMATRIX1"/>
      <sheetName val="Customize_Your_Purchase_Order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SPEC_LIST1"/>
      <sheetName val="条件表"/>
      <sheetName val="IMCT_Data"/>
      <sheetName val="4JA1"/>
      <sheetName val="OCT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選酋表 &amp;崪Ֆ??ചȂച2??ᓈ ᓎ ???"/>
      <sheetName val="COAT&amp;WRAP-QIOT-#3"/>
      <sheetName val="PNT-QUOT-#3"/>
      <sheetName val="星取表"/>
      <sheetName val="DatadiskEE0304FULLDATAVE_x0000_"/>
      <sheetName val="選酋表 &amp;崪Ֆ_x0000__x0000_ചȂച2_x0000"/>
      <sheetName val="Wv_"/>
      <sheetName val="DatadiskEE0304FULLDATAVE____聎"/>
      <sheetName val="MY03_Y5"/>
      <sheetName val="MY04Z_B5"/>
      <sheetName val="MY04Z_D5"/>
      <sheetName val="Table_Master4"/>
      <sheetName val="COST_O_K_4"/>
      <sheetName val="C3_N_DC改造投資3"/>
      <sheetName val="Euro4_部品管理表4"/>
      <sheetName val="Submission_Address3"/>
      <sheetName val="Annual_Production4"/>
      <sheetName val="Fiel_List3"/>
      <sheetName val="New_DYNA3"/>
      <sheetName val="Report_for_CCD-Dec_053"/>
      <sheetName val="Sheet7_NEW3"/>
      <sheetName val="_IB-PL-YTD3"/>
      <sheetName val="133NPR55_69_EC3"/>
      <sheetName val="A2_9903"/>
      <sheetName val="99年度営担別拡販_(3)3"/>
      <sheetName val="_CV_ALL3"/>
      <sheetName val="Unit_Price3"/>
      <sheetName val="Honda_trading3"/>
      <sheetName val="Delivery_Schedule3"/>
      <sheetName val="_Sale_Order_-N3"/>
      <sheetName val="Gross_Prifit-N3"/>
      <sheetName val="190BODY_EMATRIX2"/>
      <sheetName val="Customize_Your_Purchase_Order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SPEC_LIST2"/>
      <sheetName val="Pareto_Others_+_Daily_Graph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選酋表_&amp;崪Ֆ??ചȂച2??ᓈ_ᓎ_???"/>
      <sheetName val="MY03_Y6"/>
      <sheetName val="MY04Z_B6"/>
      <sheetName val="MY04Z_D6"/>
      <sheetName val="Table_Master5"/>
      <sheetName val="COST_O_K_5"/>
      <sheetName val="C3_N_DC改造投資4"/>
      <sheetName val="Euro4_部品管理表5"/>
      <sheetName val="Submission_Address4"/>
      <sheetName val="Annual_Production5"/>
      <sheetName val="Fiel_List4"/>
      <sheetName val="New_DYNA4"/>
      <sheetName val="Report_for_CCD-Dec_054"/>
      <sheetName val="Sheet7_NEW4"/>
      <sheetName val="_IB-PL-YTD4"/>
      <sheetName val="133NPR55_69_EC4"/>
      <sheetName val="A2_9904"/>
      <sheetName val="99年度営担別拡販_(3)4"/>
      <sheetName val="_CV_ALL4"/>
      <sheetName val="Unit_Price4"/>
      <sheetName val="Honda_trading4"/>
      <sheetName val="Delivery_Schedule4"/>
      <sheetName val="_Sale_Order_-N4"/>
      <sheetName val="Gross_Prifit-N4"/>
      <sheetName val="190BODY_EMATRIX3"/>
      <sheetName val="Customize_Your_Purchase_Order4"/>
      <sheetName val="List_Line4"/>
      <sheetName val="New_Target4"/>
      <sheetName val="B_Leadwire4"/>
      <sheetName val="Mg_switch4"/>
      <sheetName val="Yoke_assy4"/>
      <sheetName val="Field_coil4"/>
      <sheetName val="Lead_wire4"/>
      <sheetName val="Brush_Holder_4"/>
      <sheetName val="Motor_Gear4"/>
      <sheetName val="SPEC_LIST3"/>
      <sheetName val="Pareto_Others_+_Daily_Graph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選酋表_&amp;崪Ֆ??ചȂച2??ᓈ_ᓎ_???1"/>
      <sheetName val="DATA（仮）"/>
      <sheetName val="選酋表 _x0000__x0000__x0000__x0000__x0000__x0000_⇚_x0013__x0000__x0000__x0000__x0000__x0000_"/>
      <sheetName val="星取・"/>
      <sheetName val="サーバイメージ図"/>
      <sheetName val="(Pull-down)QTY"/>
      <sheetName val="MOULD"/>
      <sheetName val="選酋表 ??????⇚_x0013_?????"/>
      <sheetName val="Manpower"/>
      <sheetName val="ﾕﾆｯﾄｽﾍﾟｯｸ　85X69"/>
      <sheetName val="選酋表 _x0000__x0000_ᓈ ᓎ _x0000__x0000__x0000__x0000_ᓈ _x0000__x0000_"/>
      <sheetName val="ラミ"/>
      <sheetName val="p2-1"/>
      <sheetName val="2"/>
      <sheetName val="GLOBAL SALES  MARCH 2002"/>
      <sheetName val="表紙"/>
      <sheetName val="6SWRF_W"/>
      <sheetName val="ACT Cashflow"/>
      <sheetName val="LVMAY"/>
      <sheetName val="①Input一覧シート"/>
      <sheetName val="BS"/>
      <sheetName val="DefectDetails"/>
      <sheetName val="G Van - Price Build up"/>
      <sheetName val="HYO"/>
      <sheetName val="เงินกู้ธนชาติ"/>
      <sheetName val="เงินกู้ MGC"/>
      <sheetName val="DataIn"/>
      <sheetName val="GLOBAL_SALES__MARCH_2002"/>
      <sheetName val="ACT_Cashflow"/>
      <sheetName val="GLOBAL_SALES__MARCH_20021"/>
      <sheetName val="ACT_Cashflow1"/>
      <sheetName val="MY03_Y7"/>
      <sheetName val="MY04Z_B7"/>
      <sheetName val="MY04Z_D7"/>
      <sheetName val="Table_Master6"/>
      <sheetName val="COST_O_K_6"/>
      <sheetName val="C3_N_DC改造投資5"/>
      <sheetName val="Euro4_部品管理表6"/>
      <sheetName val="Submission_Address5"/>
      <sheetName val="Annual_Production6"/>
      <sheetName val="Fiel_List5"/>
      <sheetName val="New_DYNA5"/>
      <sheetName val="Report_for_CCD-Dec_055"/>
      <sheetName val="Sheet7_NEW5"/>
      <sheetName val="_IB-PL-YTD5"/>
      <sheetName val="133NPR55_69_EC5"/>
      <sheetName val="A2_9905"/>
      <sheetName val="99年度営担別拡販_(3)5"/>
      <sheetName val="_CV_ALL5"/>
      <sheetName val="Unit_Price5"/>
      <sheetName val="Honda_trading5"/>
      <sheetName val="Delivery_Schedule5"/>
      <sheetName val="_Sale_Order_-N5"/>
      <sheetName val="Gross_Prifit-N5"/>
      <sheetName val="190BODY_EMATRIX4"/>
      <sheetName val="Customize_Your_Purchase_Order5"/>
      <sheetName val="List_Line5"/>
      <sheetName val="New_Target5"/>
      <sheetName val="B_Leadwire5"/>
      <sheetName val="Mg_switch5"/>
      <sheetName val="Yoke_assy5"/>
      <sheetName val="Field_coil5"/>
      <sheetName val="Lead_wire5"/>
      <sheetName val="Brush_Holder_5"/>
      <sheetName val="Motor_Gear5"/>
      <sheetName val="SPEC_LIST4"/>
      <sheetName val="Pareto_Others_+_Daily_Graph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選酋表_&amp;崪Ֆ??ചȂച2??ᓈ_ᓎ_???2"/>
      <sheetName val="MY03_Y8"/>
      <sheetName val="MY04Z_B8"/>
      <sheetName val="MY04Z_D8"/>
      <sheetName val="Table_Master7"/>
      <sheetName val="COST_O_K_7"/>
      <sheetName val="C3_N_DC改造投資6"/>
      <sheetName val="Euro4_部品管理表7"/>
      <sheetName val="Submission_Address6"/>
      <sheetName val="Annual_Production7"/>
      <sheetName val="Fiel_List6"/>
      <sheetName val="New_DYNA6"/>
      <sheetName val="Report_for_CCD-Dec_056"/>
      <sheetName val="Sheet7_NEW6"/>
      <sheetName val="_IB-PL-YTD6"/>
      <sheetName val="133NPR55_69_EC6"/>
      <sheetName val="A2_9906"/>
      <sheetName val="99年度営担別拡販_(3)6"/>
      <sheetName val="_CV_ALL6"/>
      <sheetName val="Unit_Price6"/>
      <sheetName val="Honda_trading6"/>
      <sheetName val="Delivery_Schedule6"/>
      <sheetName val="_Sale_Order_-N6"/>
      <sheetName val="Gross_Prifit-N6"/>
      <sheetName val="190BODY_EMATRIX5"/>
      <sheetName val="Customize_Your_Purchase_Order6"/>
      <sheetName val="List_Line6"/>
      <sheetName val="New_Target6"/>
      <sheetName val="B_Leadwire6"/>
      <sheetName val="Mg_switch6"/>
      <sheetName val="Yoke_assy6"/>
      <sheetName val="Field_coil6"/>
      <sheetName val="Lead_wire6"/>
      <sheetName val="Brush_Holder_6"/>
      <sheetName val="Motor_Gear6"/>
      <sheetName val="SPEC_LIST5"/>
      <sheetName val="選酋表 &amp;崪Ֆ"/>
      <sheetName val="DatadiskEE0304FULLDATAVE"/>
      <sheetName val="Pareto_Others_+_Daily_Graph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選酋表_&amp;崪Ֆ??ചȂച2??ᓈ_ᓎ_???3"/>
      <sheetName val="MY03_Y9"/>
      <sheetName val="MY04Z_B9"/>
      <sheetName val="MY04Z_D9"/>
      <sheetName val="Table_Master8"/>
      <sheetName val="COST_O_K_8"/>
      <sheetName val="C3_N_DC改造投資7"/>
      <sheetName val="Euro4_部品管理表8"/>
      <sheetName val="Submission_Address7"/>
      <sheetName val="Annual_Production8"/>
      <sheetName val="Fiel_List7"/>
      <sheetName val="New_DYNA7"/>
      <sheetName val="Report_for_CCD-Dec_057"/>
      <sheetName val="Sheet7_NEW7"/>
      <sheetName val="_IB-PL-YTD7"/>
      <sheetName val="133NPR55_69_EC7"/>
      <sheetName val="A2_9907"/>
      <sheetName val="99年度営担別拡販_(3)7"/>
      <sheetName val="_CV_ALL7"/>
      <sheetName val="Unit_Price7"/>
      <sheetName val="Honda_trading7"/>
      <sheetName val="Delivery_Schedule7"/>
      <sheetName val="_Sale_Order_-N7"/>
      <sheetName val="Gross_Prifit-N7"/>
      <sheetName val="190BODY_EMATRIX6"/>
      <sheetName val="Customize_Your_Purchase_Order7"/>
      <sheetName val="List_Line7"/>
      <sheetName val="New_Target7"/>
      <sheetName val="B_Leadwire7"/>
      <sheetName val="Mg_switch7"/>
      <sheetName val="Yoke_assy7"/>
      <sheetName val="Field_coil7"/>
      <sheetName val="Lead_wire7"/>
      <sheetName val="Brush_Holder_7"/>
      <sheetName val="Motor_Gear7"/>
      <sheetName val="SPEC_LIST6"/>
      <sheetName val="Pareto_Others_+_Daily_Graph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選酋表_&amp;崪Ֆ??ചȂച2??ᓈ_ᓎ_???4"/>
      <sheetName val="MY03_Y10"/>
      <sheetName val="MY04Z_B10"/>
      <sheetName val="MY04Z_D10"/>
      <sheetName val="Table_Master9"/>
      <sheetName val="COST_O_K_9"/>
      <sheetName val="C3_N_DC改造投資8"/>
      <sheetName val="Euro4_部品管理表9"/>
      <sheetName val="Submission_Address8"/>
      <sheetName val="Annual_Production9"/>
      <sheetName val="Fiel_List8"/>
      <sheetName val="New_DYNA8"/>
      <sheetName val="Report_for_CCD-Dec_058"/>
      <sheetName val="Sheet7_NEW8"/>
      <sheetName val="_IB-PL-YTD8"/>
      <sheetName val="133NPR55_69_EC8"/>
      <sheetName val="A2_9908"/>
      <sheetName val="99年度営担別拡販_(3)8"/>
      <sheetName val="_CV_ALL8"/>
      <sheetName val="Unit_Price8"/>
      <sheetName val="Honda_trading8"/>
      <sheetName val="Delivery_Schedule8"/>
      <sheetName val="_Sale_Order_-N8"/>
      <sheetName val="Gross_Prifit-N8"/>
      <sheetName val="190BODY_EMATRIX7"/>
      <sheetName val="Customize_Your_Purchase_Order8"/>
      <sheetName val="List_Line8"/>
      <sheetName val="New_Target8"/>
      <sheetName val="B_Leadwire8"/>
      <sheetName val="Mg_switch8"/>
      <sheetName val="Yoke_assy8"/>
      <sheetName val="Field_coil8"/>
      <sheetName val="Lead_wire8"/>
      <sheetName val="Brush_Holder_8"/>
      <sheetName val="Motor_Gear8"/>
      <sheetName val="SPEC_LIST7"/>
      <sheetName val="Pareto_Others_+_Daily_Graph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選酋表_&amp;崪Ֆ??ചȂച2??ᓈ_ᓎ_???5"/>
      <sheetName val="MY03_Y11"/>
      <sheetName val="MY04Z_B11"/>
      <sheetName val="MY04Z_D11"/>
      <sheetName val="Table_Master10"/>
      <sheetName val="COST_O_K_10"/>
      <sheetName val="C3_N_DC改造投資9"/>
      <sheetName val="Euro4_部品管理表10"/>
      <sheetName val="Submission_Address9"/>
      <sheetName val="Annual_Production10"/>
      <sheetName val="Fiel_List9"/>
      <sheetName val="New_DYNA9"/>
      <sheetName val="Report_for_CCD-Dec_059"/>
      <sheetName val="Sheet7_NEW9"/>
      <sheetName val="_IB-PL-YTD9"/>
      <sheetName val="133NPR55_69_EC9"/>
      <sheetName val="A2_9909"/>
      <sheetName val="99年度営担別拡販_(3)9"/>
      <sheetName val="_CV_ALL9"/>
      <sheetName val="Unit_Price9"/>
      <sheetName val="Honda_trading9"/>
      <sheetName val="Delivery_Schedule9"/>
      <sheetName val="_Sale_Order_-N9"/>
      <sheetName val="Gross_Prifit-N9"/>
      <sheetName val="190BODY_EMATRIX8"/>
      <sheetName val="Customize_Your_Purchase_Order9"/>
      <sheetName val="List_Line9"/>
      <sheetName val="New_Target9"/>
      <sheetName val="B_Leadwire9"/>
      <sheetName val="Mg_switch9"/>
      <sheetName val="Yoke_assy9"/>
      <sheetName val="Field_coil9"/>
      <sheetName val="Lead_wire9"/>
      <sheetName val="Brush_Holder_9"/>
      <sheetName val="Motor_Gear9"/>
      <sheetName val="SPEC_LIST8"/>
      <sheetName val="Pareto_Others_+_Daily_Graph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選酋表_&amp;崪Ֆ??ചȂച2??ᓈ_ᓎ_???6"/>
      <sheetName val="MY03_Y12"/>
      <sheetName val="MY04Z_B12"/>
      <sheetName val="MY04Z_D12"/>
      <sheetName val="Table_Master11"/>
      <sheetName val="COST_O_K_11"/>
      <sheetName val="C3_N_DC改造投資10"/>
      <sheetName val="Euro4_部品管理表11"/>
      <sheetName val="Submission_Address10"/>
      <sheetName val="Annual_Production11"/>
      <sheetName val="Fiel_List10"/>
      <sheetName val="New_DYNA10"/>
      <sheetName val="Report_for_CCD-Dec_0510"/>
      <sheetName val="Sheet7_NEW10"/>
      <sheetName val="_IB-PL-YTD10"/>
      <sheetName val="133NPR55_69_EC10"/>
      <sheetName val="A2_99010"/>
      <sheetName val="99年度営担別拡販_(3)10"/>
      <sheetName val="_CV_ALL10"/>
      <sheetName val="Unit_Price10"/>
      <sheetName val="Honda_trading10"/>
      <sheetName val="Delivery_Schedule10"/>
      <sheetName val="_Sale_Order_-N10"/>
      <sheetName val="Gross_Prifit-N10"/>
      <sheetName val="190BODY_EMATRIX9"/>
      <sheetName val="Customize_Your_Purchase_Order10"/>
      <sheetName val="List_Line10"/>
      <sheetName val="New_Target10"/>
      <sheetName val="B_Leadwire10"/>
      <sheetName val="Mg_switch10"/>
      <sheetName val="Yoke_assy10"/>
      <sheetName val="Field_coil10"/>
      <sheetName val="Lead_wire10"/>
      <sheetName val="Brush_Holder_10"/>
      <sheetName val="Motor_Gear10"/>
      <sheetName val="SPEC_LIST9"/>
      <sheetName val="Pareto_Others_+_Daily_Graph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選酋表_&amp;崪Ֆ??ചȂച2??ᓈ_ᓎ_???7"/>
      <sheetName val="MY03_Y13"/>
      <sheetName val="MY04Z_B13"/>
      <sheetName val="MY04Z_D13"/>
      <sheetName val="Table_Master12"/>
      <sheetName val="COST_O_K_12"/>
      <sheetName val="C3_N_DC改造投資11"/>
      <sheetName val="Euro4_部品管理表12"/>
      <sheetName val="Submission_Address11"/>
      <sheetName val="Annual_Production12"/>
      <sheetName val="Fiel_List11"/>
      <sheetName val="New_DYNA11"/>
      <sheetName val="Report_for_CCD-Dec_0511"/>
      <sheetName val="Sheet7_NEW11"/>
      <sheetName val="_IB-PL-YTD11"/>
      <sheetName val="133NPR55_69_EC11"/>
      <sheetName val="A2_99011"/>
      <sheetName val="99年度営担別拡販_(3)11"/>
      <sheetName val="_CV_ALL11"/>
      <sheetName val="Unit_Price11"/>
      <sheetName val="Honda_trading11"/>
      <sheetName val="Delivery_Schedule11"/>
      <sheetName val="_Sale_Order_-N11"/>
      <sheetName val="Gross_Prifit-N11"/>
      <sheetName val="190BODY_EMATRIX10"/>
      <sheetName val="Customize_Your_Purchase_Order11"/>
      <sheetName val="List_Line11"/>
      <sheetName val="New_Target11"/>
      <sheetName val="B_Leadwire11"/>
      <sheetName val="Mg_switch11"/>
      <sheetName val="Yoke_assy11"/>
      <sheetName val="Field_coil11"/>
      <sheetName val="Lead_wire11"/>
      <sheetName val="Brush_Holder_11"/>
      <sheetName val="Motor_Gear11"/>
      <sheetName val="SPEC_LIST10"/>
      <sheetName val="Pareto_Others_+_Daily_Graph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選酋表_&amp;崪Ֆ??ചȂച2??ᓈ_ᓎ_???8"/>
      <sheetName val="MY03_Y14"/>
      <sheetName val="MY04Z_B14"/>
      <sheetName val="MY04Z_D14"/>
      <sheetName val="Table_Master13"/>
      <sheetName val="COST_O_K_13"/>
      <sheetName val="C3_N_DC改造投資12"/>
      <sheetName val="Euro4_部品管理表13"/>
      <sheetName val="Submission_Address12"/>
      <sheetName val="Annual_Production13"/>
      <sheetName val="Fiel_List12"/>
      <sheetName val="New_DYNA12"/>
      <sheetName val="Report_for_CCD-Dec_0512"/>
      <sheetName val="Sheet7_NEW12"/>
      <sheetName val="_IB-PL-YTD12"/>
      <sheetName val="133NPR55_69_EC12"/>
      <sheetName val="A2_99012"/>
      <sheetName val="99年度営担別拡販_(3)12"/>
      <sheetName val="_CV_ALL12"/>
      <sheetName val="Unit_Price12"/>
      <sheetName val="Honda_trading12"/>
      <sheetName val="Delivery_Schedule12"/>
      <sheetName val="_Sale_Order_-N12"/>
      <sheetName val="Gross_Prifit-N12"/>
      <sheetName val="190BODY_EMATRIX11"/>
      <sheetName val="Customize_Your_Purchase_Order12"/>
      <sheetName val="List_Line12"/>
      <sheetName val="New_Target12"/>
      <sheetName val="B_Leadwire12"/>
      <sheetName val="Mg_switch12"/>
      <sheetName val="Yoke_assy12"/>
      <sheetName val="Field_coil12"/>
      <sheetName val="Lead_wire12"/>
      <sheetName val="Brush_Holder_12"/>
      <sheetName val="Motor_Gear12"/>
      <sheetName val="SPEC_LIST11"/>
      <sheetName val="Pareto_Others_+_Daily_Graph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選酋表_&amp;崪Ֆ??ചȂച2??ᓈ_ᓎ_???9"/>
      <sheetName val="MY03_Y15"/>
      <sheetName val="MY04Z_B15"/>
      <sheetName val="MY04Z_D15"/>
      <sheetName val="Table_Master14"/>
      <sheetName val="COST_O_K_14"/>
      <sheetName val="C3_N_DC改造投資13"/>
      <sheetName val="Euro4_部品管理表14"/>
      <sheetName val="Submission_Address13"/>
      <sheetName val="Annual_Production14"/>
      <sheetName val="Fiel_List13"/>
      <sheetName val="New_DYNA13"/>
      <sheetName val="Report_for_CCD-Dec_0513"/>
      <sheetName val="Sheet7_NEW13"/>
      <sheetName val="_IB-PL-YTD13"/>
      <sheetName val="133NPR55_69_EC13"/>
      <sheetName val="A2_99013"/>
      <sheetName val="99年度営担別拡販_(3)13"/>
      <sheetName val="_CV_ALL13"/>
      <sheetName val="Unit_Price13"/>
      <sheetName val="Honda_trading13"/>
      <sheetName val="Delivery_Schedule13"/>
      <sheetName val="_Sale_Order_-N13"/>
      <sheetName val="Gross_Prifit-N13"/>
      <sheetName val="190BODY_EMATRIX12"/>
      <sheetName val="Customize_Your_Purchase_Order13"/>
      <sheetName val="List_Line13"/>
      <sheetName val="New_Target13"/>
      <sheetName val="B_Leadwire13"/>
      <sheetName val="Mg_switch13"/>
      <sheetName val="Yoke_assy13"/>
      <sheetName val="Field_coil13"/>
      <sheetName val="Lead_wire13"/>
      <sheetName val="Brush_Holder_13"/>
      <sheetName val="Motor_Gear13"/>
      <sheetName val="SPEC_LIST12"/>
      <sheetName val="Pareto_Others_+_Daily_Graph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選酋表_&amp;崪Ֆ??ചȂച2??ᓈ_ᓎ_???10"/>
      <sheetName val="MH"/>
      <sheetName val="_01_004"/>
      <sheetName val="SCH"/>
      <sheetName val="事務所引越見積書"/>
      <sheetName val="MY03_Y16"/>
      <sheetName val="MY04Z_B16"/>
      <sheetName val="MY04Z_D16"/>
      <sheetName val="Table_Master15"/>
      <sheetName val="COST_O_K_15"/>
      <sheetName val="C3_N_DC改造投資14"/>
      <sheetName val="Euro4_部品管理表15"/>
      <sheetName val="Submission_Address14"/>
      <sheetName val="Annual_Production15"/>
      <sheetName val="Fiel_List14"/>
      <sheetName val="New_DYNA14"/>
      <sheetName val="Report_for_CCD-Dec_0514"/>
      <sheetName val="Sheet7_NEW14"/>
      <sheetName val="_IB-PL-YTD14"/>
      <sheetName val="133NPR55_69_EC14"/>
      <sheetName val="A2_99014"/>
      <sheetName val="99年度営担別拡販_(3)14"/>
      <sheetName val="_CV_ALL14"/>
      <sheetName val="Unit_Price14"/>
      <sheetName val="Honda_trading14"/>
      <sheetName val="Delivery_Schedule14"/>
      <sheetName val="_Sale_Order_-N14"/>
      <sheetName val="Gross_Prifit-N14"/>
      <sheetName val="190BODY_EMATRIX13"/>
      <sheetName val="Customize_Your_Purchase_Order14"/>
      <sheetName val="List_Line14"/>
      <sheetName val="New_Target14"/>
      <sheetName val="B_Leadwire14"/>
      <sheetName val="Mg_switch14"/>
      <sheetName val="Yoke_assy14"/>
      <sheetName val="Field_coil14"/>
      <sheetName val="Lead_wire14"/>
      <sheetName val="Brush_Holder_14"/>
      <sheetName val="Motor_Gear14"/>
      <sheetName val="SPEC_LIST13"/>
      <sheetName val="Pareto_Others_+_Daily_Graph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選酋表_&amp;崪Ֆ??ചȂച2??ᓈ_ᓎ_???11"/>
      <sheetName val="選酋表 &amp;崪Ֆ__ചȂച2__ᓈ ᓎ ___"/>
      <sheetName val="選酋表 "/>
      <sheetName val="MAT-IN"/>
      <sheetName val="MY03_Y17"/>
      <sheetName val="MY04Z_B17"/>
      <sheetName val="MY04Z_D17"/>
      <sheetName val="Table_Master16"/>
      <sheetName val="COST_O_K_16"/>
      <sheetName val="C3_N_DC改造投資15"/>
      <sheetName val="Euro4_部品管理表16"/>
      <sheetName val="Submission_Address15"/>
      <sheetName val="Annual_Production16"/>
      <sheetName val="Fiel_List15"/>
      <sheetName val="New_DYNA15"/>
      <sheetName val="Report_for_CCD-Dec_0515"/>
      <sheetName val="Sheet7_NEW15"/>
      <sheetName val="_IB-PL-YTD15"/>
      <sheetName val="133NPR55_69_EC15"/>
      <sheetName val="A2_99015"/>
      <sheetName val="99年度営担別拡販_(3)15"/>
      <sheetName val="_CV_ALL15"/>
      <sheetName val="Unit_Price15"/>
      <sheetName val="Honda_trading15"/>
      <sheetName val="Delivery_Schedule15"/>
      <sheetName val="_Sale_Order_-N15"/>
      <sheetName val="Gross_Prifit-N15"/>
      <sheetName val="190BODY_EMATRIX14"/>
      <sheetName val="Customize_Your_Purchase_Order15"/>
      <sheetName val="List_Line15"/>
      <sheetName val="New_Target15"/>
      <sheetName val="B_Leadwire15"/>
      <sheetName val="Mg_switch15"/>
      <sheetName val="Yoke_assy15"/>
      <sheetName val="Field_coil15"/>
      <sheetName val="Lead_wire15"/>
      <sheetName val="Brush_Holder_15"/>
      <sheetName val="Motor_Gear15"/>
      <sheetName val="SPEC_LIST14"/>
      <sheetName val="Pareto_Others_+_Daily_Graph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選酋表_&amp;崪Ֆ??ചȂച2??ᓈ_ᓎ_???12"/>
      <sheetName val="選酋表_&amp;崪ՖചȂച2_x0000"/>
      <sheetName val="選酋表_⇚"/>
      <sheetName val="選酋表_??????⇚?????"/>
      <sheetName val="選酋表_ᓈ_ᓎ_ᓈ_"/>
      <sheetName val="GLOBAL_SALES__MARCH_20022"/>
      <sheetName val="ACT_Cashflow2"/>
      <sheetName val="G_Van_-_Price_Build_up"/>
      <sheetName val="เงินกู้_MGC"/>
      <sheetName val="選酋表_&amp;崪Ֆ"/>
      <sheetName val="TIRE読み替え表"/>
      <sheetName val="TFR2002MODEL'01actual"/>
      <sheetName val="2TUP"/>
      <sheetName val="Attachment-4(2)"/>
      <sheetName val="6B8MOD15"/>
      <sheetName val="AAC"/>
      <sheetName val="ABI"/>
      <sheetName val="ADI"/>
      <sheetName val="ALM"/>
      <sheetName val="AMI"/>
      <sheetName val="AUM"/>
      <sheetName val="AACT"/>
      <sheetName val="ACIN"/>
      <sheetName val="AEIL"/>
      <sheetName val=""/>
      <sheetName val="DatadiskEE0304FULLDATAVE_x005f_x005f_"/>
      <sheetName val="選酋表 &amp;崪Ֆ_x005f_x005f_x005f_x0000__x005f_x005f_x000"/>
      <sheetName val="MZX EPH暫定対策"/>
      <sheetName val="MZX現状（中央値）"/>
      <sheetName val="MZX新規SPRING ALT1"/>
      <sheetName val="MZX新規SPRING ALT2"/>
      <sheetName val="ASMｼﾌﾄ後"/>
      <sheetName val="投資･工数推移"/>
      <sheetName val="車会集約"/>
      <sheetName val="#REF"/>
      <sheetName val="PT1"/>
      <sheetName val="新規00上ｸﾞﾗﾌ"/>
      <sheetName val="生涯利益計画ｼｰﾄ"/>
      <sheetName val="実績推移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結果"/>
      <sheetName val="Table"/>
      <sheetName val="Annual Sales"/>
      <sheetName val="C3_N DC改造投資"/>
      <sheetName val="駆動展開 MACRO"/>
      <sheetName val="_B007"/>
      <sheetName val="Wv?"/>
      <sheetName val="計算結果"/>
      <sheetName val="集計用"/>
      <sheetName val="99"/>
      <sheetName val="10"/>
      <sheetName val="90-2"/>
      <sheetName val="101"/>
      <sheetName val="19"/>
      <sheetName val="57F"/>
      <sheetName val="ﾌﾟﾛﾄ_P772分解5号機"/>
      <sheetName val="(旧)LIST"/>
      <sheetName val="V6D"/>
      <sheetName val="B007(API)"/>
      <sheetName val="Production"/>
      <sheetName val="cover (FAD)"/>
      <sheetName val="Annual_Sales"/>
      <sheetName val="C3_N_DC改造投資"/>
      <sheetName val="駆動展開_MACRO"/>
      <sheetName val="ﾏﾙC改造投資詳細"/>
      <sheetName val="SMALL"/>
      <sheetName val="Wvð"/>
      <sheetName val="SPEC LIST"/>
      <sheetName val="2TUP"/>
      <sheetName val="ENG油洩れ"/>
      <sheetName val="ISO_250"/>
      <sheetName val="NCAB"/>
      <sheetName val="選酋表"/>
      <sheetName val="Wv_"/>
      <sheetName val="項目別投資工数-P1"/>
      <sheetName val="COST"/>
      <sheetName val="EPW 0630"/>
      <sheetName val="Sheet1"/>
      <sheetName val="º½Ä²¸ P-1"/>
      <sheetName val="リース台帳"/>
      <sheetName val="Table Master"/>
      <sheetName val="BL-T@"/>
      <sheetName val="O-S"/>
      <sheetName val=" CV ALL"/>
      <sheetName val="HärQ"/>
      <sheetName val="量産準備実施依頼書"/>
      <sheetName val="NK仕様21"/>
      <sheetName val="96期(川崎)"/>
      <sheetName val="ﾃﾞｰﾀ"/>
      <sheetName val="日程"/>
      <sheetName val="DATA01"/>
      <sheetName val="PartsRist"/>
      <sheetName val="車両寸法"/>
      <sheetName val="灯火器寸法"/>
      <sheetName val="DB"/>
      <sheetName val="New DYNA"/>
      <sheetName val="Sheet7 NEW"/>
      <sheetName val="A"/>
      <sheetName val="TIRE読み替え表"/>
      <sheetName val="疲労限B"/>
      <sheetName val="DID"/>
      <sheetName val="General ECU Information"/>
      <sheetName val="CPID"/>
      <sheetName val="Special ECU Information"/>
      <sheetName val="Tech 2 Menu"/>
      <sheetName val="座面面圧計算表の使用方法"/>
      <sheetName val="Annual Production"/>
      <sheetName val="124NKR55(ISUZU)"/>
      <sheetName val="sum"/>
      <sheetName val="_CONFIG-2"/>
      <sheetName val="LVMAY"/>
      <sheetName val="00年9月"/>
      <sheetName val="00-1"/>
      <sheetName val="一覧表報"/>
      <sheetName val="MOTO"/>
      <sheetName val="FTRQDKR10DI40"/>
      <sheetName val="業務計画"/>
      <sheetName val="EXD架装重量MTX"/>
      <sheetName val="EXDOS"/>
      <sheetName val="EXROS"/>
      <sheetName val="JATAMA"/>
      <sheetName val="EXR架装重量MTX"/>
      <sheetName val="FC"/>
      <sheetName val="Annual_Sales1"/>
      <sheetName val="C3_N_DC改造投資1"/>
      <sheetName val="駆動展開_MACRO1"/>
      <sheetName val="cover_(FAD)"/>
      <sheetName val="SPEC_LIST"/>
      <sheetName val="DATA（仮）"/>
      <sheetName val="入力シート"/>
      <sheetName val="メーカー検索"/>
      <sheetName val="TTI Data Dict"/>
      <sheetName val="選択肢"/>
      <sheetName val="A000"/>
      <sheetName val="TM"/>
      <sheetName val="º½Ä’²¸ P-1"/>
      <sheetName val="H””ärQ"/>
      <sheetName val="Schedule(detail)"/>
      <sheetName val="EPW_0630"/>
      <sheetName val="º½Ä²¸_P-1"/>
      <sheetName val="_CV_ALL"/>
      <sheetName val="Table_Master"/>
      <sheetName val="Sheet7_NEW"/>
      <sheetName val="New_DYNA"/>
      <sheetName val="General_ECU_Information"/>
      <sheetName val="Special_ECU_Information"/>
      <sheetName val="Tech_2_Menu"/>
      <sheetName val="Annual_Production"/>
      <sheetName val="表紙DATA"/>
      <sheetName val="16,7"/>
      <sheetName val="16_7"/>
      <sheetName val="F混流"/>
      <sheetName val="COVER"/>
      <sheetName val="創意工夫"/>
      <sheetName val="SCH"/>
      <sheetName val="capacity"/>
      <sheetName val="投資ﾌｫﾛｰ"/>
      <sheetName val="Man power"/>
      <sheetName val="差材料、表面处理及技术要求"/>
      <sheetName val="バス"/>
      <sheetName val="TOTAL"/>
      <sheetName val="PP_Letter 389N"/>
      <sheetName val="8D_ADのクロス集計"/>
      <sheetName val="プロジェクトステータス　4J(ELF)"/>
      <sheetName val="作業要素"/>
      <sheetName val="総合B"/>
      <sheetName val="ワークシート関数の使用例"/>
      <sheetName val="投資ﾘｽﾄ"/>
      <sheetName val="DATE"/>
      <sheetName val="1-A､B"/>
      <sheetName val="2-A､B 3-A"/>
      <sheetName val="PT1"/>
      <sheetName val="Annual_Sales2"/>
      <sheetName val="C3_N_DC改造投資2"/>
      <sheetName val="駆動展開_MACRO2"/>
      <sheetName val="cover_(FAD)1"/>
      <sheetName val="SPEC_LIST1"/>
      <sheetName val="EPW_06301"/>
      <sheetName val="º½Ä²¸_P-11"/>
      <sheetName val="Table_Master1"/>
      <sheetName val="_CV_ALL1"/>
      <sheetName val="New_DYNA1"/>
      <sheetName val="Sheet7_NEW1"/>
      <sheetName val="General_ECU_Information1"/>
      <sheetName val="Special_ECU_Information1"/>
      <sheetName val="Tech_2_Menu1"/>
      <sheetName val="Annual_Production1"/>
      <sheetName val="TTI_Data_Dict"/>
      <sheetName val="º½Ä’²¸_P-1"/>
      <sheetName val="Man_power"/>
      <sheetName val="Annual_Sales3"/>
      <sheetName val="C3_N_DC改造投資3"/>
      <sheetName val="駆動展開_MACRO3"/>
      <sheetName val="cover_(FAD)2"/>
      <sheetName val="SPEC_LIST2"/>
      <sheetName val="EPW_06302"/>
      <sheetName val="º½Ä²¸_P-12"/>
      <sheetName val="_CV_ALL2"/>
      <sheetName val="Table_Master2"/>
      <sheetName val="New_DYNA2"/>
      <sheetName val="Sheet7_NEW2"/>
      <sheetName val="General_ECU_Information2"/>
      <sheetName val="Special_ECU_Information2"/>
      <sheetName val="Tech_2_Menu2"/>
      <sheetName val="Annual_Production2"/>
      <sheetName val="TTI_Data_Dict1"/>
      <sheetName val="º½Ä’²¸_P-11"/>
      <sheetName val="Man_power1"/>
      <sheetName val="Pareto Others + Daily Graph"/>
      <sheetName val="GLOBAL SALES  MARCH 2002"/>
      <sheetName val="Sheet3"/>
      <sheetName val="附件4-2"/>
      <sheetName val="MH"/>
      <sheetName val="ＦＴＲ連結採算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Sheet1(3)"/>
      <sheetName val="849E15(20010)"/>
      <sheetName val="Annual_Sales4"/>
      <sheetName val="C3_N_DC改造投資4"/>
      <sheetName val="駆動展開_MACRO4"/>
      <sheetName val="cover_(FAD)3"/>
      <sheetName val="SPEC_LIST3"/>
      <sheetName val="EPW_06303"/>
      <sheetName val="º½Ä²¸_P-13"/>
      <sheetName val="Table_Master3"/>
      <sheetName val="_CV_ALL3"/>
      <sheetName val="Sheet7_NEW3"/>
      <sheetName val="New_DYNA3"/>
      <sheetName val="General_ECU_Information3"/>
      <sheetName val="Special_ECU_Information3"/>
      <sheetName val="Tech_2_Menu3"/>
      <sheetName val="Annual_Production3"/>
      <sheetName val="TTI_Data_Dict2"/>
      <sheetName val="º½Ä’²¸_P-12"/>
      <sheetName val="Man_power2"/>
      <sheetName val="PP_Letter_389N"/>
      <sheetName val="2-A､B_3-A"/>
      <sheetName val="Pareto_Others_+_Daily_Graph"/>
      <sheetName val="GLOBAL_SALES__MARCH_2002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Annual_Sales5"/>
      <sheetName val="C3_N_DC改造投資5"/>
      <sheetName val="駆動展開_MACRO5"/>
      <sheetName val="cover_(FAD)4"/>
      <sheetName val="SPEC_LIST4"/>
      <sheetName val="EPW_06304"/>
      <sheetName val="º½Ä²¸_P-14"/>
      <sheetName val="Table_Master4"/>
      <sheetName val="_CV_ALL4"/>
      <sheetName val="Sheet7_NEW4"/>
      <sheetName val="New_DYNA4"/>
      <sheetName val="General_ECU_Information4"/>
      <sheetName val="Special_ECU_Information4"/>
      <sheetName val="Tech_2_Menu4"/>
      <sheetName val="Annual_Production4"/>
      <sheetName val="TTI_Data_Dict3"/>
      <sheetName val="º½Ä’²¸_P-13"/>
      <sheetName val="Man_power3"/>
      <sheetName val="PP_Letter_389N1"/>
      <sheetName val="2-A､B_3-A1"/>
      <sheetName val="Pareto_Others_+_Daily_Graph1"/>
      <sheetName val="GLOBAL_SALES__MARCH_2002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Annual_Sales6"/>
      <sheetName val="C3_N_DC改造投資6"/>
      <sheetName val="駆動展開_MACRO6"/>
      <sheetName val="cover_(FAD)5"/>
      <sheetName val="SPEC_LIST5"/>
      <sheetName val="EPW_06305"/>
      <sheetName val="º½Ä²¸_P-15"/>
      <sheetName val="Table_Master5"/>
      <sheetName val="_CV_ALL5"/>
      <sheetName val="Sheet7_NEW5"/>
      <sheetName val="New_DYNA5"/>
      <sheetName val="General_ECU_Information5"/>
      <sheetName val="Special_ECU_Information5"/>
      <sheetName val="Tech_2_Menu5"/>
      <sheetName val="Annual_Production5"/>
      <sheetName val="TTI_Data_Dict4"/>
      <sheetName val="º½Ä’²¸_P-14"/>
      <sheetName val="Man_power4"/>
      <sheetName val="PP_Letter_389N2"/>
      <sheetName val="2-A､B_3-A2"/>
      <sheetName val="Pareto_Others_+_Daily_Graph2"/>
      <sheetName val="GLOBAL_SALES__MARCH_2002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Annual_Sales7"/>
      <sheetName val="C3_N_DC改造投資7"/>
      <sheetName val="駆動展開_MACRO7"/>
      <sheetName val="cover_(FAD)6"/>
      <sheetName val="SPEC_LIST6"/>
      <sheetName val="EPW_06306"/>
      <sheetName val="º½Ä²¸_P-16"/>
      <sheetName val="Table_Master6"/>
      <sheetName val="_CV_ALL6"/>
      <sheetName val="Sheet7_NEW6"/>
      <sheetName val="New_DYNA6"/>
      <sheetName val="General_ECU_Information6"/>
      <sheetName val="Special_ECU_Information6"/>
      <sheetName val="Tech_2_Menu6"/>
      <sheetName val="Annual_Production6"/>
      <sheetName val="TTI_Data_Dict5"/>
      <sheetName val="º½Ä’²¸_P-15"/>
      <sheetName val="Man_power5"/>
      <sheetName val="PP_Letter_389N3"/>
      <sheetName val="2-A､B_3-A3"/>
      <sheetName val="Pareto_Others_+_Daily_Graph3"/>
      <sheetName val="GLOBAL_SALES__MARCH_2002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Annual_Sales8"/>
      <sheetName val="C3_N_DC改造投資8"/>
      <sheetName val="駆動展開_MACRO8"/>
      <sheetName val="cover_(FAD)7"/>
      <sheetName val="SPEC_LIST7"/>
      <sheetName val="EPW_06307"/>
      <sheetName val="º½Ä²¸_P-17"/>
      <sheetName val="Table_Master7"/>
      <sheetName val="_CV_ALL7"/>
      <sheetName val="Sheet7_NEW7"/>
      <sheetName val="New_DYNA7"/>
      <sheetName val="General_ECU_Information7"/>
      <sheetName val="Special_ECU_Information7"/>
      <sheetName val="Tech_2_Menu7"/>
      <sheetName val="Annual_Production7"/>
      <sheetName val="TTI_Data_Dict6"/>
      <sheetName val="º½Ä’²¸_P-16"/>
      <sheetName val="Man_power6"/>
      <sheetName val="PP_Letter_389N4"/>
      <sheetName val="2-A､B_3-A4"/>
      <sheetName val="Pareto_Others_+_Daily_Graph4"/>
      <sheetName val="GLOBAL_SALES__MARCH_2002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Annual_Sales11"/>
      <sheetName val="C3_N_DC改造投資11"/>
      <sheetName val="駆動展開_MACRO11"/>
      <sheetName val="cover_(FAD)10"/>
      <sheetName val="SPEC_LIST10"/>
      <sheetName val="EPW_063010"/>
      <sheetName val="º½Ä²¸_P-110"/>
      <sheetName val="Table_Master10"/>
      <sheetName val="_CV_ALL10"/>
      <sheetName val="Sheet7_NEW10"/>
      <sheetName val="New_DYNA10"/>
      <sheetName val="General_ECU_Information10"/>
      <sheetName val="Special_ECU_Information10"/>
      <sheetName val="Tech_2_Menu10"/>
      <sheetName val="Annual_Production10"/>
      <sheetName val="TTI_Data_Dict9"/>
      <sheetName val="º½Ä’²¸_P-19"/>
      <sheetName val="Man_power9"/>
      <sheetName val="PP_Letter_389N7"/>
      <sheetName val="2-A､B_3-A7"/>
      <sheetName val="Pareto_Others_+_Daily_Graph7"/>
      <sheetName val="GLOBAL_SALES__MARCH_2002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Annual_Sales9"/>
      <sheetName val="C3_N_DC改造投資9"/>
      <sheetName val="駆動展開_MACRO9"/>
      <sheetName val="cover_(FAD)8"/>
      <sheetName val="SPEC_LIST8"/>
      <sheetName val="EPW_06308"/>
      <sheetName val="º½Ä²¸_P-18"/>
      <sheetName val="Table_Master8"/>
      <sheetName val="_CV_ALL8"/>
      <sheetName val="Sheet7_NEW8"/>
      <sheetName val="New_DYNA8"/>
      <sheetName val="General_ECU_Information8"/>
      <sheetName val="Special_ECU_Information8"/>
      <sheetName val="Tech_2_Menu8"/>
      <sheetName val="Annual_Production8"/>
      <sheetName val="TTI_Data_Dict7"/>
      <sheetName val="º½Ä’²¸_P-17"/>
      <sheetName val="Man_power7"/>
      <sheetName val="PP_Letter_389N5"/>
      <sheetName val="2-A､B_3-A5"/>
      <sheetName val="Pareto_Others_+_Daily_Graph5"/>
      <sheetName val="GLOBAL_SALES__MARCH_2002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Annual_Sales10"/>
      <sheetName val="C3_N_DC改造投資10"/>
      <sheetName val="駆動展開_MACRO10"/>
      <sheetName val="cover_(FAD)9"/>
      <sheetName val="SPEC_LIST9"/>
      <sheetName val="EPW_06309"/>
      <sheetName val="º½Ä²¸_P-19"/>
      <sheetName val="Table_Master9"/>
      <sheetName val="_CV_ALL9"/>
      <sheetName val="Sheet7_NEW9"/>
      <sheetName val="New_DYNA9"/>
      <sheetName val="General_ECU_Information9"/>
      <sheetName val="Special_ECU_Information9"/>
      <sheetName val="Tech_2_Menu9"/>
      <sheetName val="Annual_Production9"/>
      <sheetName val="TTI_Data_Dict8"/>
      <sheetName val="º½Ä’²¸_P-18"/>
      <sheetName val="Man_power8"/>
      <sheetName val="PP_Letter_389N6"/>
      <sheetName val="2-A､B_3-A6"/>
      <sheetName val="Pareto_Others_+_Daily_Graph6"/>
      <sheetName val="GLOBAL_SALES__MARCH_2002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Annual_Sales12"/>
      <sheetName val="C3_N_DC改造投資12"/>
      <sheetName val="駆動展開_MACRO12"/>
      <sheetName val="cover_(FAD)11"/>
      <sheetName val="SPEC_LIST11"/>
      <sheetName val="EPW_063011"/>
      <sheetName val="º½Ä²¸_P-111"/>
      <sheetName val="Table_Master11"/>
      <sheetName val="_CV_ALL11"/>
      <sheetName val="Sheet7_NEW11"/>
      <sheetName val="New_DYNA11"/>
      <sheetName val="General_ECU_Information11"/>
      <sheetName val="Special_ECU_Information11"/>
      <sheetName val="Tech_2_Menu11"/>
      <sheetName val="Annual_Production11"/>
      <sheetName val="TTI_Data_Dict10"/>
      <sheetName val="º½Ä’²¸_P-110"/>
      <sheetName val="Man_power10"/>
      <sheetName val="PP_Letter_389N8"/>
      <sheetName val="2-A､B_3-A8"/>
      <sheetName val="Pareto_Others_+_Daily_Graph8"/>
      <sheetName val="GLOBAL_SALES__MARCH_2002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Annual_Sales13"/>
      <sheetName val="C3_N_DC改造投資13"/>
      <sheetName val="駆動展開_MACRO13"/>
      <sheetName val="cover_(FAD)12"/>
      <sheetName val="SPEC_LIST12"/>
      <sheetName val="EPW_063012"/>
      <sheetName val="002(4)"/>
      <sheetName val="96・(・・)"/>
      <sheetName val="º½Ä²¸_P-112"/>
      <sheetName val="Table_Master12"/>
      <sheetName val="_CV_ALL12"/>
      <sheetName val="Sheet7_NEW12"/>
      <sheetName val="New_DYNA12"/>
      <sheetName val="General_ECU_Information12"/>
      <sheetName val="Special_ECU_Information12"/>
      <sheetName val="Tech_2_Menu12"/>
      <sheetName val="Annual_Production12"/>
      <sheetName val="TTI_Data_Dict11"/>
      <sheetName val="º½Ä’²¸_P-111"/>
      <sheetName val="Man_power11"/>
      <sheetName val="PP_Letter_389N9"/>
      <sheetName val="2-A､B_3-A9"/>
      <sheetName val="Pareto_Others_+_Daily_Graph9"/>
      <sheetName val="GLOBAL_SALES__MARCH_2002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Annual_Sales14"/>
      <sheetName val="C3_N_DC改造投資14"/>
      <sheetName val="駆動展開_MACRO14"/>
      <sheetName val="cover_(FAD)13"/>
      <sheetName val="SPEC_LIST13"/>
      <sheetName val="EPW_063013"/>
      <sheetName val="º½Ä²¸_P-113"/>
      <sheetName val="Table_Master13"/>
      <sheetName val="_CV_ALL13"/>
      <sheetName val="Sheet7_NEW13"/>
      <sheetName val="New_DYNA13"/>
      <sheetName val="General_ECU_Information13"/>
      <sheetName val="Special_ECU_Information13"/>
      <sheetName val="Tech_2_Menu13"/>
      <sheetName val="Annual_Production13"/>
      <sheetName val="TTI_Data_Dict12"/>
      <sheetName val="º½Ä’²¸_P-112"/>
      <sheetName val="Man_power12"/>
      <sheetName val="PP_Letter_389N10"/>
      <sheetName val="2-A､B_3-A10"/>
      <sheetName val="Pareto_Others_+_Daily_Graph10"/>
      <sheetName val="GLOBAL_SALES__MARCH_2002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Annual_Sales15"/>
      <sheetName val="C3_N_DC改造投資15"/>
      <sheetName val="駆動展開_MACRO15"/>
      <sheetName val="cover_(FAD)14"/>
      <sheetName val="SPEC_LIST14"/>
      <sheetName val="EPW_063014"/>
      <sheetName val="º½Ä²¸_P-114"/>
      <sheetName val="Table_Master14"/>
      <sheetName val="_CV_ALL14"/>
      <sheetName val="Sheet7_NEW14"/>
      <sheetName val="New_DYNA14"/>
      <sheetName val="General_ECU_Information14"/>
      <sheetName val="Special_ECU_Information14"/>
      <sheetName val="Tech_2_Menu14"/>
      <sheetName val="Annual_Production14"/>
      <sheetName val="TTI_Data_Dict13"/>
      <sheetName val="º½Ä’²¸_P-113"/>
      <sheetName val="Man_power13"/>
      <sheetName val="PP_Letter_389N11"/>
      <sheetName val="2-A､B_3-A11"/>
      <sheetName val="Pareto_Others_+_Daily_Graph11"/>
      <sheetName val="GLOBAL_SALES__MARCH_2002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ラミ"/>
      <sheetName val="150K-1"/>
      <sheetName val="Annual_Sales16"/>
      <sheetName val="C3_N_DC改造投資16"/>
      <sheetName val="駆動展開_MACRO16"/>
      <sheetName val="cover_(FAD)15"/>
      <sheetName val="SPEC_LIST15"/>
      <sheetName val="EPW_063015"/>
      <sheetName val="º½Ä²¸_P-115"/>
      <sheetName val="Table_Master15"/>
      <sheetName val="_CV_ALL15"/>
      <sheetName val="Sheet7_NEW15"/>
      <sheetName val="New_DYNA15"/>
      <sheetName val="General_ECU_Information15"/>
      <sheetName val="Special_ECU_Information15"/>
      <sheetName val="Tech_2_Menu15"/>
      <sheetName val="Annual_Production15"/>
      <sheetName val="TTI_Data_Dict14"/>
      <sheetName val="º½Ä’²¸_P-114"/>
      <sheetName val="Man_power14"/>
      <sheetName val="PP_Letter_389N12"/>
      <sheetName val="2-A､B_3-A12"/>
      <sheetName val="Pareto_Others_+_Daily_Graph12"/>
      <sheetName val="GLOBAL_SALES__MARCH_2002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A2 990"/>
      <sheetName val="制造费用、管理费用"/>
      <sheetName val="PSM"/>
      <sheetName val="計画表"/>
      <sheetName val="SVASM"/>
      <sheetName val="ライン別負荷"/>
      <sheetName val="SV単品"/>
      <sheetName val="日当表"/>
      <sheetName val="見積依頼書(日文)"/>
      <sheetName val=""/>
      <sheetName val="MISSON月末実績"/>
      <sheetName val="プルダウ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2">
          <cell r="O2">
            <v>0</v>
          </cell>
        </row>
      </sheetData>
      <sheetData sheetId="133">
        <row r="2">
          <cell r="O2">
            <v>0</v>
          </cell>
        </row>
      </sheetData>
      <sheetData sheetId="134">
        <row r="2">
          <cell r="O2">
            <v>0</v>
          </cell>
        </row>
      </sheetData>
      <sheetData sheetId="135">
        <row r="2">
          <cell r="O2">
            <v>0</v>
          </cell>
        </row>
      </sheetData>
      <sheetData sheetId="136">
        <row r="2">
          <cell r="O2">
            <v>0</v>
          </cell>
        </row>
      </sheetData>
      <sheetData sheetId="137">
        <row r="2">
          <cell r="O2">
            <v>0</v>
          </cell>
        </row>
      </sheetData>
      <sheetData sheetId="138">
        <row r="2">
          <cell r="O2">
            <v>0</v>
          </cell>
        </row>
      </sheetData>
      <sheetData sheetId="139">
        <row r="2">
          <cell r="O2">
            <v>0</v>
          </cell>
        </row>
      </sheetData>
      <sheetData sheetId="140">
        <row r="2">
          <cell r="O2">
            <v>0</v>
          </cell>
        </row>
      </sheetData>
      <sheetData sheetId="141">
        <row r="2">
          <cell r="O2">
            <v>0</v>
          </cell>
        </row>
      </sheetData>
      <sheetData sheetId="142">
        <row r="2">
          <cell r="O2">
            <v>0</v>
          </cell>
        </row>
      </sheetData>
      <sheetData sheetId="143">
        <row r="2">
          <cell r="O2">
            <v>0</v>
          </cell>
        </row>
      </sheetData>
      <sheetData sheetId="144">
        <row r="2">
          <cell r="O2">
            <v>0</v>
          </cell>
        </row>
      </sheetData>
      <sheetData sheetId="145">
        <row r="2">
          <cell r="O2">
            <v>0</v>
          </cell>
        </row>
      </sheetData>
      <sheetData sheetId="146">
        <row r="2">
          <cell r="O2">
            <v>0</v>
          </cell>
        </row>
      </sheetData>
      <sheetData sheetId="147">
        <row r="2">
          <cell r="O2">
            <v>0</v>
          </cell>
        </row>
      </sheetData>
      <sheetData sheetId="148">
        <row r="2">
          <cell r="O2">
            <v>0</v>
          </cell>
        </row>
      </sheetData>
      <sheetData sheetId="149">
        <row r="2">
          <cell r="O2">
            <v>0</v>
          </cell>
        </row>
      </sheetData>
      <sheetData sheetId="150">
        <row r="2">
          <cell r="O2">
            <v>0</v>
          </cell>
        </row>
      </sheetData>
      <sheetData sheetId="151">
        <row r="2">
          <cell r="O2">
            <v>0</v>
          </cell>
        </row>
      </sheetData>
      <sheetData sheetId="152">
        <row r="2">
          <cell r="O2">
            <v>0</v>
          </cell>
        </row>
      </sheetData>
      <sheetData sheetId="153">
        <row r="2">
          <cell r="O2">
            <v>0</v>
          </cell>
        </row>
      </sheetData>
      <sheetData sheetId="154">
        <row r="2">
          <cell r="O2">
            <v>0</v>
          </cell>
        </row>
      </sheetData>
      <sheetData sheetId="155">
        <row r="2">
          <cell r="O2">
            <v>0</v>
          </cell>
        </row>
      </sheetData>
      <sheetData sheetId="156">
        <row r="2">
          <cell r="O2">
            <v>0</v>
          </cell>
        </row>
      </sheetData>
      <sheetData sheetId="157">
        <row r="2">
          <cell r="O2">
            <v>0</v>
          </cell>
        </row>
      </sheetData>
      <sheetData sheetId="158">
        <row r="2">
          <cell r="O2">
            <v>0</v>
          </cell>
        </row>
      </sheetData>
      <sheetData sheetId="159">
        <row r="2">
          <cell r="O2">
            <v>0</v>
          </cell>
        </row>
      </sheetData>
      <sheetData sheetId="160">
        <row r="2">
          <cell r="O2">
            <v>0</v>
          </cell>
        </row>
      </sheetData>
      <sheetData sheetId="161">
        <row r="2">
          <cell r="O2">
            <v>0</v>
          </cell>
        </row>
      </sheetData>
      <sheetData sheetId="162">
        <row r="2">
          <cell r="O2">
            <v>0</v>
          </cell>
        </row>
      </sheetData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2">
          <cell r="O2">
            <v>0</v>
          </cell>
        </row>
      </sheetData>
      <sheetData sheetId="175">
        <row r="2">
          <cell r="O2">
            <v>0</v>
          </cell>
        </row>
      </sheetData>
      <sheetData sheetId="176">
        <row r="2">
          <cell r="O2">
            <v>0</v>
          </cell>
        </row>
      </sheetData>
      <sheetData sheetId="177">
        <row r="2">
          <cell r="O2">
            <v>0</v>
          </cell>
        </row>
      </sheetData>
      <sheetData sheetId="178">
        <row r="2">
          <cell r="O2">
            <v>0</v>
          </cell>
        </row>
      </sheetData>
      <sheetData sheetId="179">
        <row r="2">
          <cell r="O2">
            <v>0</v>
          </cell>
        </row>
      </sheetData>
      <sheetData sheetId="180">
        <row r="2">
          <cell r="O2">
            <v>0</v>
          </cell>
        </row>
      </sheetData>
      <sheetData sheetId="181" refreshError="1"/>
      <sheetData sheetId="182" refreshError="1"/>
      <sheetData sheetId="183">
        <row r="2">
          <cell r="O2">
            <v>0</v>
          </cell>
        </row>
      </sheetData>
      <sheetData sheetId="184">
        <row r="2">
          <cell r="O2">
            <v>0</v>
          </cell>
        </row>
      </sheetData>
      <sheetData sheetId="185">
        <row r="2">
          <cell r="O2">
            <v>0</v>
          </cell>
        </row>
      </sheetData>
      <sheetData sheetId="186">
        <row r="2">
          <cell r="O2">
            <v>0</v>
          </cell>
        </row>
      </sheetData>
      <sheetData sheetId="187">
        <row r="2">
          <cell r="O2">
            <v>0</v>
          </cell>
        </row>
      </sheetData>
      <sheetData sheetId="188">
        <row r="2">
          <cell r="O2">
            <v>0</v>
          </cell>
        </row>
      </sheetData>
      <sheetData sheetId="189">
        <row r="2">
          <cell r="O2">
            <v>0</v>
          </cell>
        </row>
      </sheetData>
      <sheetData sheetId="190">
        <row r="2">
          <cell r="O2">
            <v>0</v>
          </cell>
        </row>
      </sheetData>
      <sheetData sheetId="191">
        <row r="2">
          <cell r="O2">
            <v>0</v>
          </cell>
        </row>
      </sheetData>
      <sheetData sheetId="192">
        <row r="2">
          <cell r="O2">
            <v>0</v>
          </cell>
        </row>
      </sheetData>
      <sheetData sheetId="193">
        <row r="2">
          <cell r="O2">
            <v>0</v>
          </cell>
        </row>
      </sheetData>
      <sheetData sheetId="194">
        <row r="2">
          <cell r="O2">
            <v>0</v>
          </cell>
        </row>
      </sheetData>
      <sheetData sheetId="195">
        <row r="2">
          <cell r="O2">
            <v>0</v>
          </cell>
        </row>
      </sheetData>
      <sheetData sheetId="196">
        <row r="2">
          <cell r="O2">
            <v>0</v>
          </cell>
        </row>
      </sheetData>
      <sheetData sheetId="197">
        <row r="2">
          <cell r="O2">
            <v>0</v>
          </cell>
        </row>
      </sheetData>
      <sheetData sheetId="198">
        <row r="2">
          <cell r="O2">
            <v>0</v>
          </cell>
        </row>
      </sheetData>
      <sheetData sheetId="199">
        <row r="2">
          <cell r="O2">
            <v>0</v>
          </cell>
        </row>
      </sheetData>
      <sheetData sheetId="200">
        <row r="2">
          <cell r="O2">
            <v>0</v>
          </cell>
        </row>
      </sheetData>
      <sheetData sheetId="201">
        <row r="2">
          <cell r="O2">
            <v>0</v>
          </cell>
        </row>
      </sheetData>
      <sheetData sheetId="202">
        <row r="2">
          <cell r="O2">
            <v>0</v>
          </cell>
        </row>
      </sheetData>
      <sheetData sheetId="203">
        <row r="2">
          <cell r="O2">
            <v>0</v>
          </cell>
        </row>
      </sheetData>
      <sheetData sheetId="204">
        <row r="2">
          <cell r="O2">
            <v>0</v>
          </cell>
        </row>
      </sheetData>
      <sheetData sheetId="205">
        <row r="2">
          <cell r="O2">
            <v>0</v>
          </cell>
        </row>
      </sheetData>
      <sheetData sheetId="206">
        <row r="2">
          <cell r="O2">
            <v>0</v>
          </cell>
        </row>
      </sheetData>
      <sheetData sheetId="207">
        <row r="2">
          <cell r="O2">
            <v>0</v>
          </cell>
        </row>
      </sheetData>
      <sheetData sheetId="208">
        <row r="2">
          <cell r="O2">
            <v>0</v>
          </cell>
        </row>
      </sheetData>
      <sheetData sheetId="209">
        <row r="2">
          <cell r="O2">
            <v>0</v>
          </cell>
        </row>
      </sheetData>
      <sheetData sheetId="210">
        <row r="2">
          <cell r="O2">
            <v>0</v>
          </cell>
        </row>
      </sheetData>
      <sheetData sheetId="211">
        <row r="2">
          <cell r="O2">
            <v>0</v>
          </cell>
        </row>
      </sheetData>
      <sheetData sheetId="212">
        <row r="2">
          <cell r="O2">
            <v>0</v>
          </cell>
        </row>
      </sheetData>
      <sheetData sheetId="213">
        <row r="2">
          <cell r="O2">
            <v>0</v>
          </cell>
        </row>
      </sheetData>
      <sheetData sheetId="214">
        <row r="2">
          <cell r="O2">
            <v>0</v>
          </cell>
        </row>
      </sheetData>
      <sheetData sheetId="215">
        <row r="2">
          <cell r="O2">
            <v>0</v>
          </cell>
        </row>
      </sheetData>
      <sheetData sheetId="216">
        <row r="2">
          <cell r="O2">
            <v>0</v>
          </cell>
        </row>
      </sheetData>
      <sheetData sheetId="217">
        <row r="2">
          <cell r="O2">
            <v>0</v>
          </cell>
        </row>
      </sheetData>
      <sheetData sheetId="218">
        <row r="2">
          <cell r="O2">
            <v>0</v>
          </cell>
        </row>
      </sheetData>
      <sheetData sheetId="219">
        <row r="2">
          <cell r="O2">
            <v>0</v>
          </cell>
        </row>
      </sheetData>
      <sheetData sheetId="220">
        <row r="2">
          <cell r="O2">
            <v>0</v>
          </cell>
        </row>
      </sheetData>
      <sheetData sheetId="221">
        <row r="2">
          <cell r="O2">
            <v>0</v>
          </cell>
        </row>
      </sheetData>
      <sheetData sheetId="222">
        <row r="2">
          <cell r="O2">
            <v>0</v>
          </cell>
        </row>
      </sheetData>
      <sheetData sheetId="223">
        <row r="2">
          <cell r="O2">
            <v>0</v>
          </cell>
        </row>
      </sheetData>
      <sheetData sheetId="224">
        <row r="2">
          <cell r="O2">
            <v>0</v>
          </cell>
        </row>
      </sheetData>
      <sheetData sheetId="225">
        <row r="2">
          <cell r="O2">
            <v>0</v>
          </cell>
        </row>
      </sheetData>
      <sheetData sheetId="226">
        <row r="2">
          <cell r="O2">
            <v>0</v>
          </cell>
        </row>
      </sheetData>
      <sheetData sheetId="227">
        <row r="2">
          <cell r="O2">
            <v>0</v>
          </cell>
        </row>
      </sheetData>
      <sheetData sheetId="228">
        <row r="2">
          <cell r="O2">
            <v>0</v>
          </cell>
        </row>
      </sheetData>
      <sheetData sheetId="229">
        <row r="2">
          <cell r="O2">
            <v>0</v>
          </cell>
        </row>
      </sheetData>
      <sheetData sheetId="230">
        <row r="2">
          <cell r="O2">
            <v>0</v>
          </cell>
        </row>
      </sheetData>
      <sheetData sheetId="231">
        <row r="2">
          <cell r="O2">
            <v>0</v>
          </cell>
        </row>
      </sheetData>
      <sheetData sheetId="232">
        <row r="2">
          <cell r="O2">
            <v>0</v>
          </cell>
        </row>
      </sheetData>
      <sheetData sheetId="233">
        <row r="2">
          <cell r="O2">
            <v>0</v>
          </cell>
        </row>
      </sheetData>
      <sheetData sheetId="234">
        <row r="2">
          <cell r="O2">
            <v>0</v>
          </cell>
        </row>
      </sheetData>
      <sheetData sheetId="235">
        <row r="2">
          <cell r="O2">
            <v>0</v>
          </cell>
        </row>
      </sheetData>
      <sheetData sheetId="236">
        <row r="2">
          <cell r="O2">
            <v>0</v>
          </cell>
        </row>
      </sheetData>
      <sheetData sheetId="237">
        <row r="2">
          <cell r="O2">
            <v>0</v>
          </cell>
        </row>
      </sheetData>
      <sheetData sheetId="238">
        <row r="2">
          <cell r="O2">
            <v>0</v>
          </cell>
        </row>
      </sheetData>
      <sheetData sheetId="239">
        <row r="2">
          <cell r="O2">
            <v>0</v>
          </cell>
        </row>
      </sheetData>
      <sheetData sheetId="240"/>
      <sheetData sheetId="241" refreshError="1"/>
      <sheetData sheetId="242">
        <row r="2">
          <cell r="O2">
            <v>0</v>
          </cell>
        </row>
      </sheetData>
      <sheetData sheetId="243">
        <row r="2">
          <cell r="O2">
            <v>0</v>
          </cell>
        </row>
      </sheetData>
      <sheetData sheetId="244">
        <row r="2">
          <cell r="O2">
            <v>0</v>
          </cell>
        </row>
      </sheetData>
      <sheetData sheetId="245">
        <row r="2">
          <cell r="O2">
            <v>0</v>
          </cell>
        </row>
      </sheetData>
      <sheetData sheetId="246">
        <row r="2">
          <cell r="O2">
            <v>0</v>
          </cell>
        </row>
      </sheetData>
      <sheetData sheetId="247">
        <row r="2">
          <cell r="O2">
            <v>0</v>
          </cell>
        </row>
      </sheetData>
      <sheetData sheetId="248">
        <row r="2">
          <cell r="O2">
            <v>0</v>
          </cell>
        </row>
      </sheetData>
      <sheetData sheetId="249">
        <row r="2">
          <cell r="O2">
            <v>0</v>
          </cell>
        </row>
      </sheetData>
      <sheetData sheetId="250">
        <row r="2">
          <cell r="O2">
            <v>0</v>
          </cell>
        </row>
      </sheetData>
      <sheetData sheetId="251">
        <row r="2">
          <cell r="O2">
            <v>0</v>
          </cell>
        </row>
      </sheetData>
      <sheetData sheetId="252">
        <row r="2">
          <cell r="O2">
            <v>0</v>
          </cell>
        </row>
      </sheetData>
      <sheetData sheetId="253">
        <row r="2">
          <cell r="O2">
            <v>0</v>
          </cell>
        </row>
      </sheetData>
      <sheetData sheetId="254">
        <row r="2">
          <cell r="O2">
            <v>0</v>
          </cell>
        </row>
      </sheetData>
      <sheetData sheetId="255">
        <row r="2">
          <cell r="O2">
            <v>0</v>
          </cell>
        </row>
      </sheetData>
      <sheetData sheetId="256">
        <row r="2">
          <cell r="O2">
            <v>0</v>
          </cell>
        </row>
      </sheetData>
      <sheetData sheetId="257">
        <row r="2">
          <cell r="O2">
            <v>0</v>
          </cell>
        </row>
      </sheetData>
      <sheetData sheetId="258">
        <row r="2">
          <cell r="O2">
            <v>0</v>
          </cell>
        </row>
      </sheetData>
      <sheetData sheetId="259">
        <row r="2">
          <cell r="O2">
            <v>0</v>
          </cell>
        </row>
      </sheetData>
      <sheetData sheetId="260">
        <row r="2">
          <cell r="O2">
            <v>0</v>
          </cell>
        </row>
      </sheetData>
      <sheetData sheetId="261">
        <row r="2">
          <cell r="O2">
            <v>0</v>
          </cell>
        </row>
      </sheetData>
      <sheetData sheetId="262">
        <row r="2">
          <cell r="O2">
            <v>0</v>
          </cell>
        </row>
      </sheetData>
      <sheetData sheetId="263">
        <row r="2">
          <cell r="O2">
            <v>0</v>
          </cell>
        </row>
      </sheetData>
      <sheetData sheetId="264">
        <row r="2">
          <cell r="O2">
            <v>0</v>
          </cell>
        </row>
      </sheetData>
      <sheetData sheetId="265">
        <row r="2">
          <cell r="O2">
            <v>0</v>
          </cell>
        </row>
      </sheetData>
      <sheetData sheetId="266">
        <row r="2">
          <cell r="O2">
            <v>0</v>
          </cell>
        </row>
      </sheetData>
      <sheetData sheetId="267">
        <row r="2">
          <cell r="O2">
            <v>0</v>
          </cell>
        </row>
      </sheetData>
      <sheetData sheetId="268">
        <row r="2">
          <cell r="O2">
            <v>0</v>
          </cell>
        </row>
      </sheetData>
      <sheetData sheetId="269">
        <row r="2">
          <cell r="O2">
            <v>0</v>
          </cell>
        </row>
      </sheetData>
      <sheetData sheetId="270">
        <row r="2">
          <cell r="O2">
            <v>0</v>
          </cell>
        </row>
      </sheetData>
      <sheetData sheetId="271">
        <row r="2">
          <cell r="O2">
            <v>0</v>
          </cell>
        </row>
      </sheetData>
      <sheetData sheetId="272">
        <row r="2">
          <cell r="O2">
            <v>0</v>
          </cell>
        </row>
      </sheetData>
      <sheetData sheetId="273">
        <row r="2">
          <cell r="O2">
            <v>0</v>
          </cell>
        </row>
      </sheetData>
      <sheetData sheetId="274">
        <row r="2">
          <cell r="O2">
            <v>0</v>
          </cell>
        </row>
      </sheetData>
      <sheetData sheetId="275">
        <row r="2">
          <cell r="O2">
            <v>0</v>
          </cell>
        </row>
      </sheetData>
      <sheetData sheetId="276">
        <row r="2">
          <cell r="O2">
            <v>0</v>
          </cell>
        </row>
      </sheetData>
      <sheetData sheetId="277">
        <row r="2">
          <cell r="O2">
            <v>0</v>
          </cell>
        </row>
      </sheetData>
      <sheetData sheetId="278">
        <row r="2">
          <cell r="O2">
            <v>0</v>
          </cell>
        </row>
      </sheetData>
      <sheetData sheetId="279">
        <row r="2">
          <cell r="O2">
            <v>0</v>
          </cell>
        </row>
      </sheetData>
      <sheetData sheetId="280">
        <row r="2">
          <cell r="O2">
            <v>0</v>
          </cell>
        </row>
      </sheetData>
      <sheetData sheetId="281">
        <row r="2">
          <cell r="O2">
            <v>0</v>
          </cell>
        </row>
      </sheetData>
      <sheetData sheetId="282">
        <row r="2">
          <cell r="O2">
            <v>0</v>
          </cell>
        </row>
      </sheetData>
      <sheetData sheetId="283">
        <row r="2">
          <cell r="O2">
            <v>0</v>
          </cell>
        </row>
      </sheetData>
      <sheetData sheetId="284">
        <row r="2">
          <cell r="O2">
            <v>0</v>
          </cell>
        </row>
      </sheetData>
      <sheetData sheetId="285">
        <row r="2">
          <cell r="O2">
            <v>0</v>
          </cell>
        </row>
      </sheetData>
      <sheetData sheetId="286">
        <row r="2">
          <cell r="O2">
            <v>0</v>
          </cell>
        </row>
      </sheetData>
      <sheetData sheetId="287">
        <row r="2">
          <cell r="O2">
            <v>0</v>
          </cell>
        </row>
      </sheetData>
      <sheetData sheetId="288">
        <row r="2">
          <cell r="O2">
            <v>0</v>
          </cell>
        </row>
      </sheetData>
      <sheetData sheetId="289">
        <row r="2">
          <cell r="O2">
            <v>0</v>
          </cell>
        </row>
      </sheetData>
      <sheetData sheetId="290">
        <row r="2">
          <cell r="O2">
            <v>0</v>
          </cell>
        </row>
      </sheetData>
      <sheetData sheetId="291">
        <row r="2">
          <cell r="O2">
            <v>0</v>
          </cell>
        </row>
      </sheetData>
      <sheetData sheetId="292">
        <row r="2">
          <cell r="O2">
            <v>0</v>
          </cell>
        </row>
      </sheetData>
      <sheetData sheetId="293">
        <row r="2">
          <cell r="O2">
            <v>0</v>
          </cell>
        </row>
      </sheetData>
      <sheetData sheetId="294">
        <row r="2">
          <cell r="O2">
            <v>0</v>
          </cell>
        </row>
      </sheetData>
      <sheetData sheetId="295">
        <row r="2">
          <cell r="O2">
            <v>0</v>
          </cell>
        </row>
      </sheetData>
      <sheetData sheetId="296">
        <row r="2">
          <cell r="O2">
            <v>0</v>
          </cell>
        </row>
      </sheetData>
      <sheetData sheetId="297">
        <row r="2">
          <cell r="O2">
            <v>0</v>
          </cell>
        </row>
      </sheetData>
      <sheetData sheetId="298">
        <row r="2">
          <cell r="O2">
            <v>0</v>
          </cell>
        </row>
      </sheetData>
      <sheetData sheetId="299">
        <row r="2">
          <cell r="O2">
            <v>0</v>
          </cell>
        </row>
      </sheetData>
      <sheetData sheetId="300">
        <row r="2">
          <cell r="O2">
            <v>0</v>
          </cell>
        </row>
      </sheetData>
      <sheetData sheetId="301">
        <row r="2">
          <cell r="O2">
            <v>0</v>
          </cell>
        </row>
      </sheetData>
      <sheetData sheetId="302">
        <row r="2">
          <cell r="O2">
            <v>0</v>
          </cell>
        </row>
      </sheetData>
      <sheetData sheetId="303">
        <row r="2">
          <cell r="O2">
            <v>0</v>
          </cell>
        </row>
      </sheetData>
      <sheetData sheetId="304">
        <row r="2">
          <cell r="O2">
            <v>0</v>
          </cell>
        </row>
      </sheetData>
      <sheetData sheetId="305">
        <row r="2">
          <cell r="O2">
            <v>0</v>
          </cell>
        </row>
      </sheetData>
      <sheetData sheetId="306">
        <row r="2">
          <cell r="O2">
            <v>0</v>
          </cell>
        </row>
      </sheetData>
      <sheetData sheetId="307">
        <row r="2">
          <cell r="O2">
            <v>0</v>
          </cell>
        </row>
      </sheetData>
      <sheetData sheetId="308">
        <row r="2">
          <cell r="O2">
            <v>0</v>
          </cell>
        </row>
      </sheetData>
      <sheetData sheetId="309">
        <row r="2">
          <cell r="O2">
            <v>0</v>
          </cell>
        </row>
      </sheetData>
      <sheetData sheetId="310">
        <row r="2">
          <cell r="O2">
            <v>0</v>
          </cell>
        </row>
      </sheetData>
      <sheetData sheetId="311">
        <row r="2">
          <cell r="O2">
            <v>0</v>
          </cell>
        </row>
      </sheetData>
      <sheetData sheetId="312">
        <row r="2">
          <cell r="O2">
            <v>0</v>
          </cell>
        </row>
      </sheetData>
      <sheetData sheetId="313">
        <row r="2">
          <cell r="O2">
            <v>0</v>
          </cell>
        </row>
      </sheetData>
      <sheetData sheetId="314">
        <row r="2">
          <cell r="O2">
            <v>0</v>
          </cell>
        </row>
      </sheetData>
      <sheetData sheetId="315">
        <row r="2">
          <cell r="O2">
            <v>0</v>
          </cell>
        </row>
      </sheetData>
      <sheetData sheetId="316">
        <row r="2">
          <cell r="O2">
            <v>0</v>
          </cell>
        </row>
      </sheetData>
      <sheetData sheetId="317">
        <row r="2">
          <cell r="O2">
            <v>0</v>
          </cell>
        </row>
      </sheetData>
      <sheetData sheetId="318">
        <row r="2">
          <cell r="O2">
            <v>0</v>
          </cell>
        </row>
      </sheetData>
      <sheetData sheetId="319">
        <row r="2">
          <cell r="O2">
            <v>0</v>
          </cell>
        </row>
      </sheetData>
      <sheetData sheetId="320">
        <row r="2">
          <cell r="O2">
            <v>0</v>
          </cell>
        </row>
      </sheetData>
      <sheetData sheetId="321">
        <row r="2">
          <cell r="O2">
            <v>0</v>
          </cell>
        </row>
      </sheetData>
      <sheetData sheetId="322">
        <row r="2">
          <cell r="O2">
            <v>0</v>
          </cell>
        </row>
      </sheetData>
      <sheetData sheetId="323">
        <row r="2">
          <cell r="O2">
            <v>0</v>
          </cell>
        </row>
      </sheetData>
      <sheetData sheetId="324">
        <row r="2">
          <cell r="O2">
            <v>0</v>
          </cell>
        </row>
      </sheetData>
      <sheetData sheetId="325">
        <row r="2">
          <cell r="O2">
            <v>0</v>
          </cell>
        </row>
      </sheetData>
      <sheetData sheetId="326">
        <row r="2">
          <cell r="O2">
            <v>0</v>
          </cell>
        </row>
      </sheetData>
      <sheetData sheetId="327">
        <row r="2">
          <cell r="O2">
            <v>0</v>
          </cell>
        </row>
      </sheetData>
      <sheetData sheetId="328">
        <row r="2">
          <cell r="O2">
            <v>0</v>
          </cell>
        </row>
      </sheetData>
      <sheetData sheetId="329">
        <row r="2">
          <cell r="O2">
            <v>0</v>
          </cell>
        </row>
      </sheetData>
      <sheetData sheetId="330">
        <row r="2">
          <cell r="O2">
            <v>0</v>
          </cell>
        </row>
      </sheetData>
      <sheetData sheetId="331">
        <row r="2">
          <cell r="O2">
            <v>0</v>
          </cell>
        </row>
      </sheetData>
      <sheetData sheetId="332">
        <row r="2">
          <cell r="O2">
            <v>0</v>
          </cell>
        </row>
      </sheetData>
      <sheetData sheetId="333">
        <row r="2">
          <cell r="O2">
            <v>0</v>
          </cell>
        </row>
      </sheetData>
      <sheetData sheetId="334">
        <row r="2">
          <cell r="O2">
            <v>0</v>
          </cell>
        </row>
      </sheetData>
      <sheetData sheetId="335">
        <row r="2">
          <cell r="O2">
            <v>0</v>
          </cell>
        </row>
      </sheetData>
      <sheetData sheetId="336">
        <row r="2">
          <cell r="O2">
            <v>0</v>
          </cell>
        </row>
      </sheetData>
      <sheetData sheetId="337">
        <row r="2">
          <cell r="O2">
            <v>0</v>
          </cell>
        </row>
      </sheetData>
      <sheetData sheetId="338">
        <row r="2">
          <cell r="O2">
            <v>0</v>
          </cell>
        </row>
      </sheetData>
      <sheetData sheetId="339">
        <row r="2">
          <cell r="O2">
            <v>0</v>
          </cell>
        </row>
      </sheetData>
      <sheetData sheetId="340">
        <row r="2">
          <cell r="O2">
            <v>0</v>
          </cell>
        </row>
      </sheetData>
      <sheetData sheetId="341">
        <row r="2">
          <cell r="O2">
            <v>0</v>
          </cell>
        </row>
      </sheetData>
      <sheetData sheetId="342">
        <row r="2">
          <cell r="O2">
            <v>0</v>
          </cell>
        </row>
      </sheetData>
      <sheetData sheetId="343">
        <row r="2">
          <cell r="O2">
            <v>0</v>
          </cell>
        </row>
      </sheetData>
      <sheetData sheetId="344">
        <row r="2">
          <cell r="O2">
            <v>0</v>
          </cell>
        </row>
      </sheetData>
      <sheetData sheetId="345">
        <row r="2">
          <cell r="O2">
            <v>0</v>
          </cell>
        </row>
      </sheetData>
      <sheetData sheetId="346">
        <row r="2">
          <cell r="O2">
            <v>0</v>
          </cell>
        </row>
      </sheetData>
      <sheetData sheetId="347">
        <row r="2">
          <cell r="O2">
            <v>0</v>
          </cell>
        </row>
      </sheetData>
      <sheetData sheetId="348">
        <row r="2">
          <cell r="O2">
            <v>0</v>
          </cell>
        </row>
      </sheetData>
      <sheetData sheetId="349">
        <row r="2">
          <cell r="O2">
            <v>0</v>
          </cell>
        </row>
      </sheetData>
      <sheetData sheetId="350">
        <row r="2">
          <cell r="O2">
            <v>0</v>
          </cell>
        </row>
      </sheetData>
      <sheetData sheetId="351">
        <row r="2">
          <cell r="O2">
            <v>0</v>
          </cell>
        </row>
      </sheetData>
      <sheetData sheetId="352">
        <row r="2">
          <cell r="O2">
            <v>0</v>
          </cell>
        </row>
      </sheetData>
      <sheetData sheetId="353">
        <row r="2">
          <cell r="O2">
            <v>0</v>
          </cell>
        </row>
      </sheetData>
      <sheetData sheetId="354">
        <row r="2">
          <cell r="O2">
            <v>0</v>
          </cell>
        </row>
      </sheetData>
      <sheetData sheetId="355">
        <row r="2">
          <cell r="O2">
            <v>0</v>
          </cell>
        </row>
      </sheetData>
      <sheetData sheetId="356">
        <row r="2">
          <cell r="O2">
            <v>0</v>
          </cell>
        </row>
      </sheetData>
      <sheetData sheetId="357">
        <row r="2">
          <cell r="O2">
            <v>0</v>
          </cell>
        </row>
      </sheetData>
      <sheetData sheetId="358">
        <row r="2">
          <cell r="O2">
            <v>0</v>
          </cell>
        </row>
      </sheetData>
      <sheetData sheetId="359">
        <row r="2">
          <cell r="O2">
            <v>0</v>
          </cell>
        </row>
      </sheetData>
      <sheetData sheetId="360">
        <row r="2">
          <cell r="O2">
            <v>0</v>
          </cell>
        </row>
      </sheetData>
      <sheetData sheetId="361">
        <row r="2">
          <cell r="O2">
            <v>0</v>
          </cell>
        </row>
      </sheetData>
      <sheetData sheetId="362">
        <row r="2">
          <cell r="O2">
            <v>0</v>
          </cell>
        </row>
      </sheetData>
      <sheetData sheetId="363">
        <row r="2">
          <cell r="O2">
            <v>0</v>
          </cell>
        </row>
      </sheetData>
      <sheetData sheetId="364">
        <row r="2">
          <cell r="O2">
            <v>0</v>
          </cell>
        </row>
      </sheetData>
      <sheetData sheetId="365">
        <row r="2">
          <cell r="O2">
            <v>0</v>
          </cell>
        </row>
      </sheetData>
      <sheetData sheetId="366">
        <row r="2">
          <cell r="O2">
            <v>0</v>
          </cell>
        </row>
      </sheetData>
      <sheetData sheetId="367">
        <row r="2">
          <cell r="O2">
            <v>0</v>
          </cell>
        </row>
      </sheetData>
      <sheetData sheetId="368">
        <row r="2">
          <cell r="O2">
            <v>0</v>
          </cell>
        </row>
      </sheetData>
      <sheetData sheetId="369">
        <row r="2">
          <cell r="O2">
            <v>0</v>
          </cell>
        </row>
      </sheetData>
      <sheetData sheetId="370">
        <row r="2">
          <cell r="O2">
            <v>0</v>
          </cell>
        </row>
      </sheetData>
      <sheetData sheetId="371">
        <row r="2">
          <cell r="O2">
            <v>0</v>
          </cell>
        </row>
      </sheetData>
      <sheetData sheetId="372">
        <row r="2">
          <cell r="O2">
            <v>0</v>
          </cell>
        </row>
      </sheetData>
      <sheetData sheetId="373">
        <row r="2">
          <cell r="O2">
            <v>0</v>
          </cell>
        </row>
      </sheetData>
      <sheetData sheetId="374">
        <row r="2">
          <cell r="O2">
            <v>0</v>
          </cell>
        </row>
      </sheetData>
      <sheetData sheetId="375">
        <row r="2">
          <cell r="O2">
            <v>0</v>
          </cell>
        </row>
      </sheetData>
      <sheetData sheetId="376">
        <row r="2">
          <cell r="O2">
            <v>0</v>
          </cell>
        </row>
      </sheetData>
      <sheetData sheetId="377">
        <row r="2">
          <cell r="O2">
            <v>0</v>
          </cell>
        </row>
      </sheetData>
      <sheetData sheetId="378">
        <row r="2">
          <cell r="O2">
            <v>0</v>
          </cell>
        </row>
      </sheetData>
      <sheetData sheetId="379">
        <row r="2">
          <cell r="O2">
            <v>0</v>
          </cell>
        </row>
      </sheetData>
      <sheetData sheetId="380">
        <row r="2">
          <cell r="O2">
            <v>0</v>
          </cell>
        </row>
      </sheetData>
      <sheetData sheetId="381">
        <row r="2">
          <cell r="O2">
            <v>0</v>
          </cell>
        </row>
      </sheetData>
      <sheetData sheetId="382">
        <row r="2">
          <cell r="O2">
            <v>0</v>
          </cell>
        </row>
      </sheetData>
      <sheetData sheetId="383">
        <row r="2">
          <cell r="O2">
            <v>0</v>
          </cell>
        </row>
      </sheetData>
      <sheetData sheetId="384">
        <row r="2">
          <cell r="O2">
            <v>0</v>
          </cell>
        </row>
      </sheetData>
      <sheetData sheetId="385">
        <row r="2">
          <cell r="O2">
            <v>0</v>
          </cell>
        </row>
      </sheetData>
      <sheetData sheetId="386">
        <row r="2">
          <cell r="O2">
            <v>0</v>
          </cell>
        </row>
      </sheetData>
      <sheetData sheetId="387">
        <row r="2">
          <cell r="O2">
            <v>0</v>
          </cell>
        </row>
      </sheetData>
      <sheetData sheetId="388">
        <row r="2">
          <cell r="O2">
            <v>0</v>
          </cell>
        </row>
      </sheetData>
      <sheetData sheetId="389">
        <row r="2">
          <cell r="O2">
            <v>0</v>
          </cell>
        </row>
      </sheetData>
      <sheetData sheetId="390">
        <row r="2">
          <cell r="O2">
            <v>0</v>
          </cell>
        </row>
      </sheetData>
      <sheetData sheetId="391">
        <row r="2">
          <cell r="O2">
            <v>0</v>
          </cell>
        </row>
      </sheetData>
      <sheetData sheetId="392">
        <row r="2">
          <cell r="O2">
            <v>0</v>
          </cell>
        </row>
      </sheetData>
      <sheetData sheetId="393">
        <row r="2">
          <cell r="O2">
            <v>0</v>
          </cell>
        </row>
      </sheetData>
      <sheetData sheetId="394">
        <row r="2">
          <cell r="O2">
            <v>0</v>
          </cell>
        </row>
      </sheetData>
      <sheetData sheetId="395">
        <row r="2">
          <cell r="O2">
            <v>0</v>
          </cell>
        </row>
      </sheetData>
      <sheetData sheetId="396">
        <row r="2">
          <cell r="O2">
            <v>0</v>
          </cell>
        </row>
      </sheetData>
      <sheetData sheetId="397">
        <row r="2">
          <cell r="O2">
            <v>0</v>
          </cell>
        </row>
      </sheetData>
      <sheetData sheetId="398">
        <row r="2">
          <cell r="O2">
            <v>0</v>
          </cell>
        </row>
      </sheetData>
      <sheetData sheetId="399">
        <row r="2">
          <cell r="O2">
            <v>0</v>
          </cell>
        </row>
      </sheetData>
      <sheetData sheetId="400">
        <row r="2">
          <cell r="O2">
            <v>0</v>
          </cell>
        </row>
      </sheetData>
      <sheetData sheetId="401">
        <row r="2">
          <cell r="O2">
            <v>0</v>
          </cell>
        </row>
      </sheetData>
      <sheetData sheetId="402">
        <row r="2">
          <cell r="O2">
            <v>0</v>
          </cell>
        </row>
      </sheetData>
      <sheetData sheetId="403">
        <row r="2">
          <cell r="O2">
            <v>0</v>
          </cell>
        </row>
      </sheetData>
      <sheetData sheetId="404">
        <row r="2">
          <cell r="O2">
            <v>0</v>
          </cell>
        </row>
      </sheetData>
      <sheetData sheetId="405">
        <row r="2">
          <cell r="O2">
            <v>0</v>
          </cell>
        </row>
      </sheetData>
      <sheetData sheetId="406">
        <row r="2">
          <cell r="O2">
            <v>0</v>
          </cell>
        </row>
      </sheetData>
      <sheetData sheetId="407">
        <row r="2">
          <cell r="O2">
            <v>0</v>
          </cell>
        </row>
      </sheetData>
      <sheetData sheetId="408">
        <row r="2">
          <cell r="O2">
            <v>0</v>
          </cell>
        </row>
      </sheetData>
      <sheetData sheetId="409">
        <row r="2">
          <cell r="O2">
            <v>0</v>
          </cell>
        </row>
      </sheetData>
      <sheetData sheetId="410">
        <row r="2">
          <cell r="O2">
            <v>0</v>
          </cell>
        </row>
      </sheetData>
      <sheetData sheetId="411">
        <row r="2">
          <cell r="O2">
            <v>0</v>
          </cell>
        </row>
      </sheetData>
      <sheetData sheetId="412">
        <row r="2">
          <cell r="O2">
            <v>0</v>
          </cell>
        </row>
      </sheetData>
      <sheetData sheetId="413">
        <row r="2">
          <cell r="O2">
            <v>0</v>
          </cell>
        </row>
      </sheetData>
      <sheetData sheetId="414">
        <row r="2">
          <cell r="O2">
            <v>0</v>
          </cell>
        </row>
      </sheetData>
      <sheetData sheetId="415">
        <row r="2">
          <cell r="O2">
            <v>0</v>
          </cell>
        </row>
      </sheetData>
      <sheetData sheetId="416">
        <row r="2">
          <cell r="O2">
            <v>0</v>
          </cell>
        </row>
      </sheetData>
      <sheetData sheetId="417">
        <row r="2">
          <cell r="O2">
            <v>0</v>
          </cell>
        </row>
      </sheetData>
      <sheetData sheetId="418">
        <row r="2">
          <cell r="O2">
            <v>0</v>
          </cell>
        </row>
      </sheetData>
      <sheetData sheetId="419">
        <row r="2">
          <cell r="O2">
            <v>0</v>
          </cell>
        </row>
      </sheetData>
      <sheetData sheetId="420">
        <row r="2">
          <cell r="O2">
            <v>0</v>
          </cell>
        </row>
      </sheetData>
      <sheetData sheetId="421">
        <row r="2">
          <cell r="O2">
            <v>0</v>
          </cell>
        </row>
      </sheetData>
      <sheetData sheetId="422">
        <row r="2">
          <cell r="O2">
            <v>0</v>
          </cell>
        </row>
      </sheetData>
      <sheetData sheetId="423">
        <row r="2">
          <cell r="O2">
            <v>0</v>
          </cell>
        </row>
      </sheetData>
      <sheetData sheetId="424">
        <row r="2">
          <cell r="O2">
            <v>0</v>
          </cell>
        </row>
      </sheetData>
      <sheetData sheetId="425">
        <row r="2">
          <cell r="O2">
            <v>0</v>
          </cell>
        </row>
      </sheetData>
      <sheetData sheetId="426">
        <row r="2">
          <cell r="O2">
            <v>0</v>
          </cell>
        </row>
      </sheetData>
      <sheetData sheetId="427">
        <row r="2">
          <cell r="O2">
            <v>0</v>
          </cell>
        </row>
      </sheetData>
      <sheetData sheetId="428">
        <row r="2">
          <cell r="O2">
            <v>0</v>
          </cell>
        </row>
      </sheetData>
      <sheetData sheetId="429">
        <row r="2">
          <cell r="O2">
            <v>0</v>
          </cell>
        </row>
      </sheetData>
      <sheetData sheetId="430">
        <row r="2">
          <cell r="O2">
            <v>0</v>
          </cell>
        </row>
      </sheetData>
      <sheetData sheetId="431">
        <row r="2">
          <cell r="O2">
            <v>0</v>
          </cell>
        </row>
      </sheetData>
      <sheetData sheetId="432">
        <row r="2">
          <cell r="O2">
            <v>0</v>
          </cell>
        </row>
      </sheetData>
      <sheetData sheetId="433">
        <row r="2">
          <cell r="O2">
            <v>0</v>
          </cell>
        </row>
      </sheetData>
      <sheetData sheetId="434">
        <row r="2">
          <cell r="O2">
            <v>0</v>
          </cell>
        </row>
      </sheetData>
      <sheetData sheetId="435">
        <row r="2">
          <cell r="O2">
            <v>0</v>
          </cell>
        </row>
      </sheetData>
      <sheetData sheetId="436">
        <row r="2">
          <cell r="O2">
            <v>0</v>
          </cell>
        </row>
      </sheetData>
      <sheetData sheetId="437">
        <row r="2">
          <cell r="O2">
            <v>0</v>
          </cell>
        </row>
      </sheetData>
      <sheetData sheetId="438">
        <row r="2">
          <cell r="O2">
            <v>0</v>
          </cell>
        </row>
      </sheetData>
      <sheetData sheetId="439">
        <row r="2">
          <cell r="O2">
            <v>0</v>
          </cell>
        </row>
      </sheetData>
      <sheetData sheetId="440">
        <row r="2">
          <cell r="O2">
            <v>0</v>
          </cell>
        </row>
      </sheetData>
      <sheetData sheetId="441">
        <row r="2">
          <cell r="O2">
            <v>0</v>
          </cell>
        </row>
      </sheetData>
      <sheetData sheetId="442">
        <row r="2">
          <cell r="O2">
            <v>0</v>
          </cell>
        </row>
      </sheetData>
      <sheetData sheetId="443">
        <row r="2">
          <cell r="O2">
            <v>0</v>
          </cell>
        </row>
      </sheetData>
      <sheetData sheetId="444">
        <row r="2">
          <cell r="O2">
            <v>0</v>
          </cell>
        </row>
      </sheetData>
      <sheetData sheetId="445">
        <row r="2">
          <cell r="O2">
            <v>0</v>
          </cell>
        </row>
      </sheetData>
      <sheetData sheetId="446">
        <row r="2">
          <cell r="O2">
            <v>0</v>
          </cell>
        </row>
      </sheetData>
      <sheetData sheetId="447">
        <row r="2">
          <cell r="O2">
            <v>0</v>
          </cell>
        </row>
      </sheetData>
      <sheetData sheetId="448">
        <row r="2">
          <cell r="O2">
            <v>0</v>
          </cell>
        </row>
      </sheetData>
      <sheetData sheetId="449">
        <row r="2">
          <cell r="O2">
            <v>0</v>
          </cell>
        </row>
      </sheetData>
      <sheetData sheetId="450">
        <row r="2">
          <cell r="O2">
            <v>0</v>
          </cell>
        </row>
      </sheetData>
      <sheetData sheetId="451">
        <row r="2">
          <cell r="O2">
            <v>0</v>
          </cell>
        </row>
      </sheetData>
      <sheetData sheetId="452" refreshError="1"/>
      <sheetData sheetId="453">
        <row r="2">
          <cell r="O2">
            <v>0</v>
          </cell>
        </row>
      </sheetData>
      <sheetData sheetId="454">
        <row r="2">
          <cell r="O2">
            <v>0</v>
          </cell>
        </row>
      </sheetData>
      <sheetData sheetId="455">
        <row r="2">
          <cell r="O2">
            <v>0</v>
          </cell>
        </row>
      </sheetData>
      <sheetData sheetId="456">
        <row r="2">
          <cell r="O2">
            <v>0</v>
          </cell>
        </row>
      </sheetData>
      <sheetData sheetId="457">
        <row r="2">
          <cell r="O2">
            <v>0</v>
          </cell>
        </row>
      </sheetData>
      <sheetData sheetId="458">
        <row r="2">
          <cell r="O2">
            <v>0</v>
          </cell>
        </row>
      </sheetData>
      <sheetData sheetId="459">
        <row r="2">
          <cell r="O2">
            <v>0</v>
          </cell>
        </row>
      </sheetData>
      <sheetData sheetId="460">
        <row r="2">
          <cell r="O2">
            <v>0</v>
          </cell>
        </row>
      </sheetData>
      <sheetData sheetId="461">
        <row r="2">
          <cell r="O2">
            <v>0</v>
          </cell>
        </row>
      </sheetData>
      <sheetData sheetId="462">
        <row r="2">
          <cell r="O2">
            <v>0</v>
          </cell>
        </row>
      </sheetData>
      <sheetData sheetId="463">
        <row r="2">
          <cell r="O2">
            <v>0</v>
          </cell>
        </row>
      </sheetData>
      <sheetData sheetId="464">
        <row r="2">
          <cell r="O2">
            <v>0</v>
          </cell>
        </row>
      </sheetData>
      <sheetData sheetId="465">
        <row r="2">
          <cell r="O2">
            <v>0</v>
          </cell>
        </row>
      </sheetData>
      <sheetData sheetId="466">
        <row r="2">
          <cell r="O2">
            <v>0</v>
          </cell>
        </row>
      </sheetData>
      <sheetData sheetId="467">
        <row r="2">
          <cell r="O2">
            <v>0</v>
          </cell>
        </row>
      </sheetData>
      <sheetData sheetId="468">
        <row r="2">
          <cell r="O2">
            <v>0</v>
          </cell>
        </row>
      </sheetData>
      <sheetData sheetId="469">
        <row r="2">
          <cell r="O2">
            <v>0</v>
          </cell>
        </row>
      </sheetData>
      <sheetData sheetId="470">
        <row r="2">
          <cell r="O2">
            <v>0</v>
          </cell>
        </row>
      </sheetData>
      <sheetData sheetId="471">
        <row r="2">
          <cell r="O2">
            <v>0</v>
          </cell>
        </row>
      </sheetData>
      <sheetData sheetId="472">
        <row r="2">
          <cell r="O2">
            <v>0</v>
          </cell>
        </row>
      </sheetData>
      <sheetData sheetId="473">
        <row r="2">
          <cell r="O2">
            <v>0</v>
          </cell>
        </row>
      </sheetData>
      <sheetData sheetId="474">
        <row r="2">
          <cell r="O2">
            <v>0</v>
          </cell>
        </row>
      </sheetData>
      <sheetData sheetId="475">
        <row r="2">
          <cell r="O2">
            <v>0</v>
          </cell>
        </row>
      </sheetData>
      <sheetData sheetId="476">
        <row r="2">
          <cell r="O2">
            <v>0</v>
          </cell>
        </row>
      </sheetData>
      <sheetData sheetId="477">
        <row r="2">
          <cell r="O2">
            <v>0</v>
          </cell>
        </row>
      </sheetData>
      <sheetData sheetId="478"/>
      <sheetData sheetId="479">
        <row r="2">
          <cell r="O2">
            <v>0</v>
          </cell>
        </row>
      </sheetData>
      <sheetData sheetId="480">
        <row r="2">
          <cell r="O2">
            <v>0</v>
          </cell>
        </row>
      </sheetData>
      <sheetData sheetId="481">
        <row r="2">
          <cell r="O2">
            <v>0</v>
          </cell>
        </row>
      </sheetData>
      <sheetData sheetId="482">
        <row r="2">
          <cell r="O2">
            <v>0</v>
          </cell>
        </row>
      </sheetData>
      <sheetData sheetId="483">
        <row r="2">
          <cell r="O2">
            <v>0</v>
          </cell>
        </row>
      </sheetData>
      <sheetData sheetId="484">
        <row r="2">
          <cell r="O2">
            <v>0</v>
          </cell>
        </row>
      </sheetData>
      <sheetData sheetId="485">
        <row r="2">
          <cell r="O2">
            <v>0</v>
          </cell>
        </row>
      </sheetData>
      <sheetData sheetId="486">
        <row r="2">
          <cell r="O2">
            <v>0</v>
          </cell>
        </row>
      </sheetData>
      <sheetData sheetId="487">
        <row r="2">
          <cell r="O2">
            <v>0</v>
          </cell>
        </row>
      </sheetData>
      <sheetData sheetId="488">
        <row r="2">
          <cell r="O2">
            <v>0</v>
          </cell>
        </row>
      </sheetData>
      <sheetData sheetId="489">
        <row r="2">
          <cell r="O2">
            <v>0</v>
          </cell>
        </row>
      </sheetData>
      <sheetData sheetId="490">
        <row r="2">
          <cell r="O2">
            <v>0</v>
          </cell>
        </row>
      </sheetData>
      <sheetData sheetId="491">
        <row r="2">
          <cell r="O2">
            <v>0</v>
          </cell>
        </row>
      </sheetData>
      <sheetData sheetId="492">
        <row r="2">
          <cell r="O2">
            <v>0</v>
          </cell>
        </row>
      </sheetData>
      <sheetData sheetId="493">
        <row r="2">
          <cell r="O2">
            <v>0</v>
          </cell>
        </row>
      </sheetData>
      <sheetData sheetId="494">
        <row r="2">
          <cell r="O2">
            <v>0</v>
          </cell>
        </row>
      </sheetData>
      <sheetData sheetId="495">
        <row r="2">
          <cell r="O2">
            <v>0</v>
          </cell>
        </row>
      </sheetData>
      <sheetData sheetId="496">
        <row r="2">
          <cell r="O2">
            <v>0</v>
          </cell>
        </row>
      </sheetData>
      <sheetData sheetId="497">
        <row r="2">
          <cell r="O2">
            <v>0</v>
          </cell>
        </row>
      </sheetData>
      <sheetData sheetId="498">
        <row r="2">
          <cell r="O2">
            <v>0</v>
          </cell>
        </row>
      </sheetData>
      <sheetData sheetId="499">
        <row r="2">
          <cell r="O2">
            <v>0</v>
          </cell>
        </row>
      </sheetData>
      <sheetData sheetId="500">
        <row r="2">
          <cell r="O2">
            <v>0</v>
          </cell>
        </row>
      </sheetData>
      <sheetData sheetId="501">
        <row r="2">
          <cell r="O2">
            <v>0</v>
          </cell>
        </row>
      </sheetData>
      <sheetData sheetId="502">
        <row r="2">
          <cell r="O2">
            <v>0</v>
          </cell>
        </row>
      </sheetData>
      <sheetData sheetId="503">
        <row r="2">
          <cell r="O2">
            <v>0</v>
          </cell>
        </row>
      </sheetData>
      <sheetData sheetId="504">
        <row r="2">
          <cell r="O2">
            <v>0</v>
          </cell>
        </row>
      </sheetData>
      <sheetData sheetId="505">
        <row r="2">
          <cell r="O2">
            <v>0</v>
          </cell>
        </row>
      </sheetData>
      <sheetData sheetId="506">
        <row r="2">
          <cell r="O2">
            <v>0</v>
          </cell>
        </row>
      </sheetData>
      <sheetData sheetId="507">
        <row r="2">
          <cell r="O2">
            <v>0</v>
          </cell>
        </row>
      </sheetData>
      <sheetData sheetId="508">
        <row r="2">
          <cell r="O2">
            <v>0</v>
          </cell>
        </row>
      </sheetData>
      <sheetData sheetId="509">
        <row r="2">
          <cell r="O2">
            <v>0</v>
          </cell>
        </row>
      </sheetData>
      <sheetData sheetId="510">
        <row r="2">
          <cell r="O2">
            <v>0</v>
          </cell>
        </row>
      </sheetData>
      <sheetData sheetId="511">
        <row r="2">
          <cell r="O2">
            <v>0</v>
          </cell>
        </row>
      </sheetData>
      <sheetData sheetId="512">
        <row r="2">
          <cell r="O2">
            <v>0</v>
          </cell>
        </row>
      </sheetData>
      <sheetData sheetId="513">
        <row r="2">
          <cell r="O2">
            <v>0</v>
          </cell>
        </row>
      </sheetData>
      <sheetData sheetId="514">
        <row r="2">
          <cell r="O2">
            <v>0</v>
          </cell>
        </row>
      </sheetData>
      <sheetData sheetId="515">
        <row r="2">
          <cell r="O2">
            <v>0</v>
          </cell>
        </row>
      </sheetData>
      <sheetData sheetId="516">
        <row r="2">
          <cell r="O2">
            <v>0</v>
          </cell>
        </row>
      </sheetData>
      <sheetData sheetId="517">
        <row r="2">
          <cell r="O2">
            <v>0</v>
          </cell>
        </row>
      </sheetData>
      <sheetData sheetId="518">
        <row r="2">
          <cell r="O2">
            <v>0</v>
          </cell>
        </row>
      </sheetData>
      <sheetData sheetId="519">
        <row r="2">
          <cell r="O2">
            <v>0</v>
          </cell>
        </row>
      </sheetData>
      <sheetData sheetId="520">
        <row r="2">
          <cell r="O2">
            <v>0</v>
          </cell>
        </row>
      </sheetData>
      <sheetData sheetId="521">
        <row r="2">
          <cell r="O2">
            <v>0</v>
          </cell>
        </row>
      </sheetData>
      <sheetData sheetId="522">
        <row r="2">
          <cell r="O2">
            <v>0</v>
          </cell>
        </row>
      </sheetData>
      <sheetData sheetId="523">
        <row r="2">
          <cell r="O2">
            <v>0</v>
          </cell>
        </row>
      </sheetData>
      <sheetData sheetId="524">
        <row r="2">
          <cell r="O2">
            <v>0</v>
          </cell>
        </row>
      </sheetData>
      <sheetData sheetId="525">
        <row r="2">
          <cell r="O2">
            <v>0</v>
          </cell>
        </row>
      </sheetData>
      <sheetData sheetId="526">
        <row r="2">
          <cell r="O2">
            <v>0</v>
          </cell>
        </row>
      </sheetData>
      <sheetData sheetId="527">
        <row r="2">
          <cell r="O2">
            <v>0</v>
          </cell>
        </row>
      </sheetData>
      <sheetData sheetId="528">
        <row r="2">
          <cell r="O2">
            <v>0</v>
          </cell>
        </row>
      </sheetData>
      <sheetData sheetId="529">
        <row r="2">
          <cell r="O2">
            <v>0</v>
          </cell>
        </row>
      </sheetData>
      <sheetData sheetId="530">
        <row r="2">
          <cell r="O2">
            <v>0</v>
          </cell>
        </row>
      </sheetData>
      <sheetData sheetId="531">
        <row r="2">
          <cell r="O2">
            <v>0</v>
          </cell>
        </row>
      </sheetData>
      <sheetData sheetId="532">
        <row r="2">
          <cell r="O2">
            <v>0</v>
          </cell>
        </row>
      </sheetData>
      <sheetData sheetId="533">
        <row r="2">
          <cell r="O2">
            <v>0</v>
          </cell>
        </row>
      </sheetData>
      <sheetData sheetId="534">
        <row r="2">
          <cell r="O2">
            <v>0</v>
          </cell>
        </row>
      </sheetData>
      <sheetData sheetId="535">
        <row r="2">
          <cell r="O2">
            <v>0</v>
          </cell>
        </row>
      </sheetData>
      <sheetData sheetId="536">
        <row r="2">
          <cell r="O2">
            <v>0</v>
          </cell>
        </row>
      </sheetData>
      <sheetData sheetId="537">
        <row r="2">
          <cell r="O2">
            <v>0</v>
          </cell>
        </row>
      </sheetData>
      <sheetData sheetId="538">
        <row r="2">
          <cell r="O2">
            <v>0</v>
          </cell>
        </row>
      </sheetData>
      <sheetData sheetId="539">
        <row r="2">
          <cell r="O2">
            <v>0</v>
          </cell>
        </row>
      </sheetData>
      <sheetData sheetId="540">
        <row r="2">
          <cell r="O2">
            <v>0</v>
          </cell>
        </row>
      </sheetData>
      <sheetData sheetId="541">
        <row r="2">
          <cell r="O2">
            <v>0</v>
          </cell>
        </row>
      </sheetData>
      <sheetData sheetId="542">
        <row r="2">
          <cell r="O2">
            <v>0</v>
          </cell>
        </row>
      </sheetData>
      <sheetData sheetId="543">
        <row r="2">
          <cell r="O2">
            <v>0</v>
          </cell>
        </row>
      </sheetData>
      <sheetData sheetId="544">
        <row r="2">
          <cell r="O2">
            <v>0</v>
          </cell>
        </row>
      </sheetData>
      <sheetData sheetId="545">
        <row r="2">
          <cell r="O2">
            <v>0</v>
          </cell>
        </row>
      </sheetData>
      <sheetData sheetId="546">
        <row r="2">
          <cell r="O2">
            <v>0</v>
          </cell>
        </row>
      </sheetData>
      <sheetData sheetId="547">
        <row r="2">
          <cell r="O2">
            <v>0</v>
          </cell>
        </row>
      </sheetData>
      <sheetData sheetId="548">
        <row r="2">
          <cell r="O2">
            <v>0</v>
          </cell>
        </row>
      </sheetData>
      <sheetData sheetId="549">
        <row r="2">
          <cell r="O2">
            <v>0</v>
          </cell>
        </row>
      </sheetData>
      <sheetData sheetId="550">
        <row r="2">
          <cell r="O2">
            <v>0</v>
          </cell>
        </row>
      </sheetData>
      <sheetData sheetId="551">
        <row r="2">
          <cell r="O2">
            <v>0</v>
          </cell>
        </row>
      </sheetData>
      <sheetData sheetId="552">
        <row r="2">
          <cell r="O2">
            <v>0</v>
          </cell>
        </row>
      </sheetData>
      <sheetData sheetId="553">
        <row r="2">
          <cell r="O2">
            <v>0</v>
          </cell>
        </row>
      </sheetData>
      <sheetData sheetId="554">
        <row r="2">
          <cell r="O2">
            <v>0</v>
          </cell>
        </row>
      </sheetData>
      <sheetData sheetId="555">
        <row r="2">
          <cell r="O2">
            <v>0</v>
          </cell>
        </row>
      </sheetData>
      <sheetData sheetId="556">
        <row r="2">
          <cell r="O2">
            <v>0</v>
          </cell>
        </row>
      </sheetData>
      <sheetData sheetId="557">
        <row r="2">
          <cell r="O2">
            <v>0</v>
          </cell>
        </row>
      </sheetData>
      <sheetData sheetId="558">
        <row r="2">
          <cell r="O2">
            <v>0</v>
          </cell>
        </row>
      </sheetData>
      <sheetData sheetId="559">
        <row r="2">
          <cell r="O2">
            <v>0</v>
          </cell>
        </row>
      </sheetData>
      <sheetData sheetId="560">
        <row r="2">
          <cell r="O2">
            <v>0</v>
          </cell>
        </row>
      </sheetData>
      <sheetData sheetId="561">
        <row r="2">
          <cell r="O2">
            <v>0</v>
          </cell>
        </row>
      </sheetData>
      <sheetData sheetId="562">
        <row r="2">
          <cell r="O2">
            <v>0</v>
          </cell>
        </row>
      </sheetData>
      <sheetData sheetId="563">
        <row r="2">
          <cell r="O2">
            <v>0</v>
          </cell>
        </row>
      </sheetData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結果"/>
      <sheetName val="ENG油洩れ"/>
      <sheetName val="96期(川崎)"/>
      <sheetName val="選酋表"/>
      <sheetName val="Years_Input"/>
      <sheetName val="OD"/>
      <sheetName val="資料_700部品点数設定"/>
      <sheetName val="Production Database 399"/>
      <sheetName val="forecast"/>
      <sheetName val="KD2.９月月報"/>
      <sheetName val="HUNIT"/>
      <sheetName val="車会集約"/>
      <sheetName val="#REF"/>
      <sheetName val="sheet5"/>
      <sheetName val="計算結果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98UBS"/>
      <sheetName val="【資料】730改造投資"/>
      <sheetName val="ocean voyage"/>
      <sheetName val="業務計画"/>
      <sheetName val="投資･工数推移"/>
      <sheetName val="Production Da_x005f_x0004_abase 399"/>
      <sheetName val="投資ﾌｫﾛｰ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1"/>
      <sheetName val="REP-2"/>
      <sheetName val="00年9月"/>
      <sheetName val="計算ｼｰﾄ"/>
      <sheetName val="Price確認"/>
      <sheetName val="再調査荷姿表"/>
      <sheetName val="GMTH"/>
      <sheetName val="DOM"/>
      <sheetName val="Sheet1"/>
      <sheetName val="〈参考〉_P.7_シフトINディテント力"/>
      <sheetName val="Production Da_x005f_x005f_x005f_x0004_abase"/>
      <sheetName val=""/>
      <sheetName val="ｲﾝﾄﾞﾈｼｱ"/>
      <sheetName val="J94A-WT"/>
      <sheetName val="iso_250"/>
      <sheetName val="fin-smry"/>
      <sheetName val="Production Da_x005f_x0004_abase"/>
      <sheetName val="IMCT_Data"/>
      <sheetName val="Production Da_x0004_abase"/>
      <sheetName val="ラミナー計算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Sheet3"/>
      <sheetName val="星取・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702"/>
      <sheetName val="第1期"/>
      <sheetName val="02MY"/>
      <sheetName val="150K-1"/>
      <sheetName val="150K-2"/>
      <sheetName val="180K投資"/>
      <sheetName val="Present"/>
      <sheetName val="TS Report-Production KYOSHIN"/>
      <sheetName val="Coming"/>
      <sheetName val="Co. Code"/>
      <sheetName val="dongia (2)"/>
      <sheetName val="一覧"/>
      <sheetName val="A800-RR"/>
    </sheetNames>
    <sheetDataSet>
      <sheetData sheetId="0" refreshError="1">
        <row r="25">
          <cell r="B25">
            <v>33.930655199240519</v>
          </cell>
          <cell r="C25">
            <v>53.226485871280204</v>
          </cell>
          <cell r="D25">
            <v>0</v>
          </cell>
          <cell r="E25">
            <v>60.18090824720359</v>
          </cell>
          <cell r="F25">
            <v>5.8884365535558914</v>
          </cell>
        </row>
        <row r="26">
          <cell r="C26">
            <v>57.342048119840726</v>
          </cell>
          <cell r="D26">
            <v>0</v>
          </cell>
          <cell r="E26">
            <v>63.381476025404481</v>
          </cell>
          <cell r="F26">
            <v>7.4131024130091703</v>
          </cell>
        </row>
        <row r="27">
          <cell r="C27">
            <v>57.34204811984074</v>
          </cell>
          <cell r="D27">
            <v>0</v>
          </cell>
          <cell r="E27">
            <v>63.531086626161652</v>
          </cell>
          <cell r="F27">
            <v>8.9125093813374576</v>
          </cell>
        </row>
        <row r="28">
          <cell r="C28">
            <v>59.261972219588721</v>
          </cell>
          <cell r="D28">
            <v>0</v>
          </cell>
          <cell r="E28">
            <v>67.391781740061688</v>
          </cell>
          <cell r="F28">
            <v>10.232929922807571</v>
          </cell>
        </row>
        <row r="29">
          <cell r="C29">
            <v>63.692194522989979</v>
          </cell>
          <cell r="D29">
            <v>0</v>
          </cell>
          <cell r="E29">
            <v>71.950508608439804</v>
          </cell>
          <cell r="F29">
            <v>9.332543007969889</v>
          </cell>
        </row>
        <row r="30">
          <cell r="C30">
            <v>61.095485500572067</v>
          </cell>
          <cell r="D30">
            <v>0</v>
          </cell>
          <cell r="E30">
            <v>66.65992970143742</v>
          </cell>
          <cell r="F30">
            <v>10.964781961431839</v>
          </cell>
        </row>
        <row r="36">
          <cell r="A36">
            <v>700</v>
          </cell>
        </row>
        <row r="37">
          <cell r="A37">
            <v>750</v>
          </cell>
        </row>
        <row r="38">
          <cell r="A38">
            <v>800</v>
          </cell>
        </row>
        <row r="39">
          <cell r="A39">
            <v>850</v>
          </cell>
        </row>
        <row r="40">
          <cell r="A40">
            <v>900</v>
          </cell>
        </row>
        <row r="41">
          <cell r="A41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MH"/>
      <sheetName val="Sheet1"/>
      <sheetName val="C3_N DC改造投資"/>
      <sheetName val="選酋表"/>
      <sheetName val="ﾌﾟﾛﾄ_P772分解5号機"/>
      <sheetName val="Vehicle Number"/>
      <sheetName val="EQﾏ､HQﾏ-GA18DE"/>
      <sheetName val="Submission Address"/>
      <sheetName val="DATA"/>
      <sheetName val="Vehicle_Number"/>
      <sheetName val="Submission_Address"/>
      <sheetName val="A"/>
      <sheetName val="SPEC LIST"/>
      <sheetName val="#REF"/>
      <sheetName val="W-현원가"/>
      <sheetName val="98 Price Nego(Dec Price)"/>
      <sheetName val="Wvð"/>
      <sheetName val="(旧)LIST"/>
      <sheetName val="ELF"/>
      <sheetName val="New DYNA"/>
      <sheetName val="作業要素"/>
      <sheetName val="_MISSION"/>
      <sheetName val="工数比較２"/>
      <sheetName val="Annual Production"/>
      <sheetName val="Unit Price"/>
      <sheetName val="生産台数内訳"/>
      <sheetName val="クライテリア"/>
      <sheetName val="346Proj日程991124"/>
      <sheetName val="NEW003"/>
      <sheetName val="HärQ"/>
      <sheetName val="Report for CCD-Dec.05"/>
      <sheetName val="ENG油洩れ"/>
      <sheetName val="00-1"/>
      <sheetName val="PJN"/>
      <sheetName val="I190 Requirement _ CGO"/>
      <sheetName val="I190 Requirement _ NGR"/>
      <sheetName val="fs0708"/>
      <sheetName val="FS0408"/>
      <sheetName val="FS0508"/>
      <sheetName val="FS0608"/>
      <sheetName val="【資料】730改造投資"/>
      <sheetName val="NCeA"/>
      <sheetName val="Wv?"/>
      <sheetName val="投資ﾘｽﾄ"/>
      <sheetName val="項目別投資工数-P1"/>
      <sheetName val="DatadiskEE0304FULLDATAVERSION"/>
      <sheetName val="ISO_250"/>
      <sheetName val="W&amp;WL2005"/>
      <sheetName val="Annual_Production"/>
      <sheetName val="I190_Requirement___CGO"/>
      <sheetName val="I190_Requirement___NGR"/>
      <sheetName val="業務計画"/>
      <sheetName val="MOTO"/>
      <sheetName val="FB sepa S2"/>
      <sheetName val="OD"/>
      <sheetName val="BL-T@"/>
      <sheetName val="TR250"/>
      <sheetName val="TF2"/>
      <sheetName val="TF3"/>
      <sheetName val="TD1"/>
      <sheetName val="132下実施期GAP"/>
      <sheetName val="_B007"/>
      <sheetName val="長計対比"/>
      <sheetName val="C3_N_DC改造投資2"/>
      <sheetName val="FB_sepa_S22"/>
      <sheetName val="SPEC_LIST2"/>
      <sheetName val="Vehicle_Number3"/>
      <sheetName val="Submission_Address3"/>
      <sheetName val="98_Price_Nego(Dec_Price)2"/>
      <sheetName val="New_DYNA2"/>
      <sheetName val="Annual_Production3"/>
      <sheetName val="Unit_Price2"/>
      <sheetName val="Report_for_CCD-Dec_052"/>
      <sheetName val="I190_Requirement___CGO3"/>
      <sheetName val="I190_Requirement___NGR3"/>
      <sheetName val="C3_N_DC改造投資"/>
      <sheetName val="FB_sepa_S2"/>
      <sheetName val="SPEC_LIST"/>
      <sheetName val="Vehicle_Number1"/>
      <sheetName val="Submission_Address1"/>
      <sheetName val="98_Price_Nego(Dec_Price)"/>
      <sheetName val="New_DYNA"/>
      <sheetName val="Annual_Production1"/>
      <sheetName val="Unit_Price"/>
      <sheetName val="Report_for_CCD-Dec_05"/>
      <sheetName val="I190_Requirement___CGO1"/>
      <sheetName val="I190_Requirement___NGR1"/>
      <sheetName val="C3_N_DC改造投資1"/>
      <sheetName val="FB_sepa_S21"/>
      <sheetName val="SPEC_LIST1"/>
      <sheetName val="Vehicle_Number2"/>
      <sheetName val="Submission_Address2"/>
      <sheetName val="98_Price_Nego(Dec_Price)1"/>
      <sheetName val="New_DYNA1"/>
      <sheetName val="Annual_Production2"/>
      <sheetName val="Unit_Price1"/>
      <sheetName val="Report_for_CCD-Dec_051"/>
      <sheetName val="I190_Requirement___CGO2"/>
      <sheetName val="I190_Requirement___NGR2"/>
      <sheetName val="C3_N_DC改造投資8"/>
      <sheetName val="FB_sepa_S28"/>
      <sheetName val="SPEC_LIST8"/>
      <sheetName val="Vehicle_Number9"/>
      <sheetName val="Submission_Address9"/>
      <sheetName val="98_Price_Nego(Dec_Price)8"/>
      <sheetName val="New_DYNA8"/>
      <sheetName val="Annual_Production9"/>
      <sheetName val="Unit_Price8"/>
      <sheetName val="Report_for_CCD-Dec_058"/>
      <sheetName val="I190_Requirement___CGO9"/>
      <sheetName val="I190_Requirement___NGR9"/>
      <sheetName val="C3_N_DC改造投資7"/>
      <sheetName val="FB_sepa_S27"/>
      <sheetName val="SPEC_LIST7"/>
      <sheetName val="Vehicle_Number8"/>
      <sheetName val="Submission_Address8"/>
      <sheetName val="98_Price_Nego(Dec_Price)7"/>
      <sheetName val="New_DYNA7"/>
      <sheetName val="Annual_Production8"/>
      <sheetName val="Unit_Price7"/>
      <sheetName val="Report_for_CCD-Dec_057"/>
      <sheetName val="I190_Requirement___CGO8"/>
      <sheetName val="I190_Requirement___NGR8"/>
      <sheetName val="C3_N_DC改造投資5"/>
      <sheetName val="FB_sepa_S25"/>
      <sheetName val="SPEC_LIST5"/>
      <sheetName val="Vehicle_Number6"/>
      <sheetName val="Submission_Address6"/>
      <sheetName val="98_Price_Nego(Dec_Price)5"/>
      <sheetName val="New_DYNA5"/>
      <sheetName val="Annual_Production6"/>
      <sheetName val="Unit_Price5"/>
      <sheetName val="Report_for_CCD-Dec_055"/>
      <sheetName val="I190_Requirement___CGO6"/>
      <sheetName val="I190_Requirement___NGR6"/>
      <sheetName val="C3_N_DC改造投資3"/>
      <sheetName val="FB_sepa_S23"/>
      <sheetName val="SPEC_LIST3"/>
      <sheetName val="Vehicle_Number4"/>
      <sheetName val="Submission_Address4"/>
      <sheetName val="98_Price_Nego(Dec_Price)3"/>
      <sheetName val="New_DYNA3"/>
      <sheetName val="Annual_Production4"/>
      <sheetName val="Unit_Price3"/>
      <sheetName val="Report_for_CCD-Dec_053"/>
      <sheetName val="I190_Requirement___CGO4"/>
      <sheetName val="I190_Requirement___NGR4"/>
      <sheetName val="C3_N_DC改造投資4"/>
      <sheetName val="FB_sepa_S24"/>
      <sheetName val="SPEC_LIST4"/>
      <sheetName val="Vehicle_Number5"/>
      <sheetName val="Submission_Address5"/>
      <sheetName val="98_Price_Nego(Dec_Price)4"/>
      <sheetName val="New_DYNA4"/>
      <sheetName val="Annual_Production5"/>
      <sheetName val="Unit_Price4"/>
      <sheetName val="Report_for_CCD-Dec_054"/>
      <sheetName val="I190_Requirement___CGO5"/>
      <sheetName val="I190_Requirement___NGR5"/>
      <sheetName val="C3_N_DC改造投資6"/>
      <sheetName val="FB_sepa_S26"/>
      <sheetName val="SPEC_LIST6"/>
      <sheetName val="Vehicle_Number7"/>
      <sheetName val="Submission_Address7"/>
      <sheetName val="98_Price_Nego(Dec_Price)6"/>
      <sheetName val="New_DYNA6"/>
      <sheetName val="Annual_Production7"/>
      <sheetName val="Unit_Price6"/>
      <sheetName val="Report_for_CCD-Dec_056"/>
      <sheetName val="I190_Requirement___CGO7"/>
      <sheetName val="I190_Requirement___NGR7"/>
      <sheetName val="C3_N_DC改造投資9"/>
      <sheetName val="FB_sepa_S29"/>
      <sheetName val="SPEC_LIST9"/>
      <sheetName val="Vehicle_Number10"/>
      <sheetName val="Submission_Address10"/>
      <sheetName val="98_Price_Nego(Dec_Price)9"/>
      <sheetName val="New_DYNA9"/>
      <sheetName val="Annual_Production10"/>
      <sheetName val="Unit_Price9"/>
      <sheetName val="Report_for_CCD-Dec_059"/>
      <sheetName val="I190_Requirement___CGO10"/>
      <sheetName val="I190_Requirement___NGR10"/>
      <sheetName val="C3_N_DC改造投資10"/>
      <sheetName val="FB_sepa_S210"/>
      <sheetName val="SPEC_LIST10"/>
      <sheetName val="Vehicle_Number11"/>
      <sheetName val="Submission_Address11"/>
      <sheetName val="98_Price_Nego(Dec_Price)10"/>
      <sheetName val="New_DYNA10"/>
      <sheetName val="Annual_Production11"/>
      <sheetName val="Unit_Price10"/>
      <sheetName val="Report_for_CCD-Dec_0510"/>
      <sheetName val="I190_Requirement___CGO11"/>
      <sheetName val="I190_Requirement___NGR11"/>
      <sheetName val="C3_N_DC改造投資11"/>
      <sheetName val="FB_sepa_S211"/>
      <sheetName val="SPEC_LIST11"/>
      <sheetName val="Vehicle_Number12"/>
      <sheetName val="Submission_Address12"/>
      <sheetName val="98_Price_Nego(Dec_Price)11"/>
      <sheetName val="New_DYNA11"/>
      <sheetName val="Annual_Production12"/>
      <sheetName val="Unit_Price11"/>
      <sheetName val="Report_for_CCD-Dec_0511"/>
      <sheetName val="I190_Requirement___CGO12"/>
      <sheetName val="I190_Requirement___NGR1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"/>
      <sheetName val="Wvð"/>
      <sheetName val="MH"/>
      <sheetName val="(旧)LIST"/>
      <sheetName val="WŒvðŒ"/>
      <sheetName val="結果"/>
      <sheetName val="選酋表"/>
      <sheetName val="2TUP"/>
      <sheetName val="SPEC LIST"/>
      <sheetName val="NCeA"/>
      <sheetName val="ISO_250"/>
      <sheetName val="_B007"/>
      <sheetName val="SPEC_LIST"/>
      <sheetName val="26th_FEB99_Bud"/>
      <sheetName val="ﾌﾟﾛﾄ_P772分解5号機"/>
      <sheetName val="COST"/>
      <sheetName val="COST O.K."/>
      <sheetName val="#REF"/>
      <sheetName val="Japan Data（実）"/>
      <sheetName val="追浜（済）"/>
      <sheetName val="Table"/>
      <sheetName val="Annual Production"/>
      <sheetName val="CASHFLOW"/>
      <sheetName val="C3_N DC改造投資"/>
      <sheetName val="ITEM"/>
      <sheetName val="ENG油洩れ"/>
      <sheetName val="P.1"/>
      <sheetName val="資料_700部品点数設定"/>
      <sheetName val="BELT検討"/>
      <sheetName val="Sheet1"/>
      <sheetName val="HärQ"/>
      <sheetName val="Unit Price"/>
      <sheetName val="¶Yäàó"/>
      <sheetName val="LVMAY"/>
      <sheetName val="MOTO"/>
      <sheetName val="00年9月"/>
      <sheetName val="8D_ADのクロス集計"/>
      <sheetName val="Data"/>
      <sheetName val="Side &amp; Pole"/>
      <sheetName val="Assumptions"/>
      <sheetName val="愛知・日デ"/>
      <sheetName val="NEW003"/>
      <sheetName val="96・(・・)"/>
      <sheetName val="Car Input"/>
      <sheetName val="Production Database 399"/>
      <sheetName val="Table Master"/>
      <sheetName val="BT_CALC"/>
      <sheetName val="Calculated"/>
      <sheetName val="BT_Monthly_Darft"/>
      <sheetName val="Working_time"/>
      <sheetName val="Production_Seq_data"/>
      <sheetName val="97-11"/>
      <sheetName val="投資･工数推移"/>
      <sheetName val="ﾏﾙC改造投資詳細"/>
      <sheetName val="Header"/>
      <sheetName val="FTRQDKR10DI40"/>
      <sheetName val="SPEC_LIST1"/>
      <sheetName val="COST_O_K_"/>
      <sheetName val="Japan_Data（実）"/>
      <sheetName val="Annual_Production"/>
      <sheetName val="C3_N_DC改造投資"/>
      <sheetName val="P_1"/>
      <sheetName val="Unit_Price"/>
      <sheetName val="Side_&amp;_Pole"/>
      <sheetName val="H””ärQ"/>
      <sheetName val="¶Y‘ä”“à–ó"/>
      <sheetName val="P_NAME_DWG"/>
      <sheetName val="Ref"/>
      <sheetName val="Car_Input"/>
      <sheetName val="Production_Database_399"/>
      <sheetName val="投資ﾌｫﾛｰ"/>
      <sheetName val=""/>
      <sheetName val="132下実施期GAP"/>
      <sheetName val="IMV"/>
      <sheetName val="クエリ2"/>
      <sheetName val="原単位"/>
      <sheetName val="?8?N????"/>
      <sheetName val="2005"/>
      <sheetName val="CRITERIA1"/>
      <sheetName val="SPEC_LIST2"/>
      <sheetName val="COST_O_K_1"/>
      <sheetName val="Japan_Data（実）1"/>
      <sheetName val="Annual_Production1"/>
      <sheetName val="C3_N_DC改造投資1"/>
      <sheetName val="P_11"/>
      <sheetName val="Unit_Price1"/>
      <sheetName val="Side_&amp;_Pole1"/>
      <sheetName val="Car_Input1"/>
      <sheetName val="Production_Database_3991"/>
      <sheetName val="Table_Master"/>
      <sheetName val="SPEC_LIST3"/>
      <sheetName val="COST_O_K_2"/>
      <sheetName val="Japan_Data（実）2"/>
      <sheetName val="Annual_Production2"/>
      <sheetName val="C3_N_DC改造投資2"/>
      <sheetName val="P_12"/>
      <sheetName val="Unit_Price2"/>
      <sheetName val="Side_&amp;_Pole2"/>
      <sheetName val="Car_Input2"/>
      <sheetName val="Production_Database_3992"/>
      <sheetName val="Table_Master1"/>
      <sheetName val="切れ角計算"/>
      <sheetName val="Pln Pdt"/>
      <sheetName val="SPEC_LIST4"/>
      <sheetName val="COST_O_K_3"/>
      <sheetName val="Japan_Data（実）3"/>
      <sheetName val="Annual_Production3"/>
      <sheetName val="C3_N_DC改造投資3"/>
      <sheetName val="P_13"/>
      <sheetName val="Unit_Price3"/>
      <sheetName val="Side_&amp;_Pole3"/>
      <sheetName val="Car_Input3"/>
      <sheetName val="Production_Database_3993"/>
      <sheetName val="Table_Master2"/>
      <sheetName val="Pln_Pdt"/>
      <sheetName val="SPEC_LIST5"/>
      <sheetName val="COST_O_K_4"/>
      <sheetName val="Japan_Data（実）4"/>
      <sheetName val="Annual_Production4"/>
      <sheetName val="C3_N_DC改造投資4"/>
      <sheetName val="P_14"/>
      <sheetName val="Unit_Price4"/>
      <sheetName val="Side_&amp;_Pole4"/>
      <sheetName val="Car_Input4"/>
      <sheetName val="Production_Database_3994"/>
      <sheetName val="Table_Master3"/>
      <sheetName val="Pln_Pdt1"/>
      <sheetName val="SPEC_LIST6"/>
      <sheetName val="COST_O_K_5"/>
      <sheetName val="Japan_Data（実）5"/>
      <sheetName val="Annual_Production5"/>
      <sheetName val="C3_N_DC改造投資5"/>
      <sheetName val="P_15"/>
      <sheetName val="Unit_Price5"/>
      <sheetName val="Side_&amp;_Pole5"/>
      <sheetName val="Car_Input5"/>
      <sheetName val="Production_Database_3995"/>
      <sheetName val="Table_Master4"/>
      <sheetName val="Pln_Pdt2"/>
      <sheetName val="SPEC_LIST7"/>
      <sheetName val="COST_O_K_6"/>
      <sheetName val="Japan_Data（実）6"/>
      <sheetName val="Annual_Production6"/>
      <sheetName val="C3_N_DC改造投資6"/>
      <sheetName val="P_16"/>
      <sheetName val="Unit_Price6"/>
      <sheetName val="Side_&amp;_Pole6"/>
      <sheetName val="Car_Input6"/>
      <sheetName val="Production_Database_3996"/>
      <sheetName val="Table_Master5"/>
      <sheetName val="Pln_Pdt3"/>
      <sheetName val="SPEC_LIST8"/>
      <sheetName val="COST_O_K_7"/>
      <sheetName val="Japan_Data（実）7"/>
      <sheetName val="Annual_Production7"/>
      <sheetName val="C3_N_DC改造投資7"/>
      <sheetName val="P_17"/>
      <sheetName val="Unit_Price7"/>
      <sheetName val="Side_&amp;_Pole7"/>
      <sheetName val="Car_Input7"/>
      <sheetName val="Production_Database_3997"/>
      <sheetName val="Table_Master6"/>
      <sheetName val="Pln_Pdt4"/>
      <sheetName val="SPEC_LIST9"/>
      <sheetName val="COST_O_K_8"/>
      <sheetName val="Japan_Data（実）8"/>
      <sheetName val="Annual_Production8"/>
      <sheetName val="C3_N_DC改造投資8"/>
      <sheetName val="P_18"/>
      <sheetName val="Unit_Price8"/>
      <sheetName val="Side_&amp;_Pole8"/>
      <sheetName val="Car_Input8"/>
      <sheetName val="Production_Database_3998"/>
      <sheetName val="Table_Master7"/>
      <sheetName val="Pln_Pdt5"/>
      <sheetName val="SPEC_LIST10"/>
      <sheetName val="COST_O_K_9"/>
      <sheetName val="Japan_Data（実）9"/>
      <sheetName val="Annual_Production9"/>
      <sheetName val="C3_N_DC改造投資9"/>
      <sheetName val="P_19"/>
      <sheetName val="Unit_Price9"/>
      <sheetName val="Side_&amp;_Pole9"/>
      <sheetName val="Car_Input9"/>
      <sheetName val="Production_Database_3999"/>
      <sheetName val="Table_Master8"/>
      <sheetName val="Pln_Pdt6"/>
      <sheetName val="SPEC_LIST11"/>
      <sheetName val="COST_O_K_10"/>
      <sheetName val="Japan_Data（実）10"/>
      <sheetName val="Annual_Production10"/>
      <sheetName val="C3_N_DC改造投資10"/>
      <sheetName val="P_110"/>
      <sheetName val="Unit_Price10"/>
      <sheetName val="Side_&amp;_Pole10"/>
      <sheetName val="Car_Input10"/>
      <sheetName val="Production_Database_39910"/>
      <sheetName val="Table_Master9"/>
      <sheetName val="Pln_Pdt7"/>
      <sheetName val="SPEC_LIST12"/>
      <sheetName val="COST_O_K_11"/>
      <sheetName val="Japan_Data（実）11"/>
      <sheetName val="Annual_Production11"/>
      <sheetName val="C3_N_DC改造投資11"/>
      <sheetName val="P_111"/>
      <sheetName val="Unit_Price11"/>
      <sheetName val="Side_&amp;_Pole11"/>
      <sheetName val="Car_Input11"/>
      <sheetName val="Production_Database_39911"/>
      <sheetName val="Table_Master10"/>
      <sheetName val="Pln_Pdt8"/>
      <sheetName val="SPEC_LIST13"/>
      <sheetName val="COST_O_K_12"/>
      <sheetName val="Japan_Data（実）12"/>
      <sheetName val="Annual_Production12"/>
      <sheetName val="C3_N_DC改造投資12"/>
      <sheetName val="P_112"/>
      <sheetName val="Unit_Price12"/>
      <sheetName val="Side_&amp;_Pole12"/>
      <sheetName val="Car_Input12"/>
      <sheetName val="Production_Database_39912"/>
      <sheetName val="Table_Master11"/>
      <sheetName val="Pln_Pdt9"/>
      <sheetName val="SPEC_LIST14"/>
      <sheetName val="COST_O_K_13"/>
      <sheetName val="Japan_Data（実）13"/>
      <sheetName val="Annual_Production13"/>
      <sheetName val="C3_N_DC改造投資13"/>
      <sheetName val="P_113"/>
      <sheetName val="Unit_Price13"/>
      <sheetName val="Side_&amp;_Pole13"/>
      <sheetName val="Car_Input13"/>
      <sheetName val="Production_Database_39913"/>
      <sheetName val="Table_Master12"/>
      <sheetName val="Pln_Pdt10"/>
      <sheetName val="COMPARE SHEET"/>
      <sheetName val="137#04-UB??"/>
      <sheetName val="SPEC_LIST15"/>
      <sheetName val="COST_O_K_14"/>
      <sheetName val="Japan_Data（実）14"/>
      <sheetName val="Annual_Production14"/>
      <sheetName val="C3_N_DC改造投資14"/>
      <sheetName val="P_114"/>
      <sheetName val="Unit_Price14"/>
      <sheetName val="Side_&amp;_Pole14"/>
      <sheetName val="Car_Input14"/>
      <sheetName val="Production_Database_39914"/>
      <sheetName val="Table_Master13"/>
      <sheetName val="Pln_Pdt11"/>
      <sheetName val="_8_N____"/>
      <sheetName val="A"/>
      <sheetName val="Aug'99 "/>
      <sheetName val="SPEC_LIST16"/>
      <sheetName val="COST_O_K_15"/>
      <sheetName val="Japan_Data（実）15"/>
      <sheetName val="Annual_Production15"/>
      <sheetName val="C3_N_DC改造投資15"/>
      <sheetName val="P_115"/>
      <sheetName val="Unit_Price15"/>
      <sheetName val="Side_&amp;_Pole15"/>
      <sheetName val="Car_Input15"/>
      <sheetName val="Production_Database_39915"/>
      <sheetName val="Table_Master14"/>
      <sheetName val="Pln_Pdt12"/>
      <sheetName val="COMPARE_SHEET"/>
      <sheetName val="Stock_Nov05"/>
      <sheetName val="神奈川生産部"/>
      <sheetName val="REP-2"/>
      <sheetName val="137#04-UB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B007"/>
      <sheetName val="0001"/>
      <sheetName val="0002"/>
      <sheetName val="0003"/>
      <sheetName val="0004"/>
      <sheetName val="0005"/>
      <sheetName val="0006"/>
      <sheetName val="0007"/>
      <sheetName val="0008"/>
      <sheetName val="HärQ"/>
      <sheetName val="SMALL"/>
      <sheetName val="選酋表"/>
      <sheetName val="B007(API)"/>
      <sheetName val="MH"/>
      <sheetName val="H””äŠr‚Q"/>
      <sheetName val="SPEC LIST"/>
      <sheetName val="Report for CCD-Dec.05"/>
      <sheetName val="(旧)LIST"/>
      <sheetName val="Wv?"/>
      <sheetName val="99"/>
      <sheetName val="集計用"/>
      <sheetName val="10"/>
      <sheetName val="90-2"/>
      <sheetName val="101"/>
      <sheetName val="19"/>
      <sheetName val="57F"/>
      <sheetName val="Wvð"/>
      <sheetName val="SPEC_LIST"/>
      <sheetName val="Report_for_CCD-Dec_05"/>
      <sheetName val="計算結果"/>
      <sheetName val="2TUP"/>
      <sheetName val="第1期"/>
      <sheetName val="Purchase Order"/>
      <sheetName val="Customize Your Purchase Order"/>
      <sheetName val="_旧_LIST"/>
      <sheetName val="Wv_"/>
      <sheetName val="ﾌﾟﾛﾄ_P772分解5号機"/>
      <sheetName val="Sheet1"/>
      <sheetName val="COMPARE SHEET"/>
      <sheetName val="RT34 07TFUC XF4¶õvæ MH©"/>
      <sheetName val="Attachment"/>
      <sheetName val="paint mtrl"/>
      <sheetName val="Reply Sheet-Front Seat"/>
      <sheetName val="Reply Sheet-2nd"/>
      <sheetName val="Reply Sheet-Jump Seat"/>
      <sheetName val="MOTO"/>
      <sheetName val="Frame BPH-HES (BG)"/>
      <sheetName val="DATA"/>
      <sheetName val="TRCW見積り詳細"/>
      <sheetName val="作業要素"/>
      <sheetName val="ELF"/>
      <sheetName val="New DYNA"/>
      <sheetName val="????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TIS"/>
      <sheetName val="星取・"/>
      <sheetName val="00年9月"/>
      <sheetName val="cost"/>
      <sheetName val="WŒv?Œ"/>
      <sheetName val="年次点検（ﾌｫｰｸﾘﾌﾄ）"/>
      <sheetName val="年次点検（ﾓｰﾄﾗ）"/>
      <sheetName val="修理（ﾌｫｰｸﾘﾌﾄ）"/>
      <sheetName val="Value Analysis - Sheet 1"/>
      <sheetName val="SPEC_LIST1"/>
      <sheetName val="Report_for_CCD-Dec_051"/>
      <sheetName val="Purchase_Order"/>
      <sheetName val="Customize_Your_Purchase_Order"/>
      <sheetName val="paint_mtrl"/>
      <sheetName val="COMPARE_SHEET"/>
      <sheetName val="RT34_07TFUC_XF4¶õvæ_MH©"/>
      <sheetName val="New_DYNA"/>
      <sheetName val="Reply_Sheet-Front_Seat"/>
      <sheetName val="Reply_Sheet-2nd"/>
      <sheetName val="Reply_Sheet-Jump_Seat"/>
      <sheetName val="Frame_BPH-HES_(BG)"/>
      <sheetName val="PJ別_3"/>
      <sheetName val="PJ別_2"/>
      <sheetName val="PJ別_1"/>
      <sheetName val="96・(・・)"/>
      <sheetName val="s-code"/>
      <sheetName val="国ｺｰﾄﾞ"/>
      <sheetName val="分類"/>
      <sheetName val="【資料】730改造投資"/>
      <sheetName val="WŒv_Œ"/>
      <sheetName val="NCeA"/>
      <sheetName val="Value_Analysis_-_Sheet_1"/>
      <sheetName val="Report_for_CCD-Dec_052"/>
      <sheetName val="SPEC_LIST2"/>
      <sheetName val="Purchase_Order1"/>
      <sheetName val="Customize_Your_Purchase_Order1"/>
      <sheetName val="COMPARE_SHEET1"/>
      <sheetName val="paint_mtrl1"/>
      <sheetName val="RT34_07TFUC_XF4¶õvæ_MH©1"/>
      <sheetName val="New_DYNA1"/>
      <sheetName val="Reply_Sheet-Front_Seat1"/>
      <sheetName val="Reply_Sheet-2nd1"/>
      <sheetName val="Reply_Sheet-Jump_Seat1"/>
      <sheetName val="Frame_BPH-HES_(BG)1"/>
      <sheetName val="PJ別_31"/>
      <sheetName val="PJ別_21"/>
      <sheetName val="PJ別_11"/>
      <sheetName val="Report_for_CCD-Dec_053"/>
      <sheetName val="SPEC_LIST3"/>
      <sheetName val="Purchase_Order2"/>
      <sheetName val="Customize_Your_Purchase_Order2"/>
      <sheetName val="COMPARE_SHEET2"/>
      <sheetName val="paint_mtrl2"/>
      <sheetName val="RT34_07TFUC_XF4¶õvæ_MH©2"/>
      <sheetName val="New_DYNA2"/>
      <sheetName val="Reply_Sheet-Front_Seat2"/>
      <sheetName val="Reply_Sheet-2nd2"/>
      <sheetName val="Reply_Sheet-Jump_Seat2"/>
      <sheetName val="Frame_BPH-HES_(BG)2"/>
      <sheetName val="PJ別_32"/>
      <sheetName val="PJ別_22"/>
      <sheetName val="PJ別_12"/>
      <sheetName val="H””ärQ"/>
      <sheetName val="RT34 07TFUC XF4¶€”õvæ MH©"/>
      <sheetName val="星取表"/>
      <sheetName val="#REF"/>
      <sheetName val="見積集計"/>
      <sheetName val="CRITERIA1"/>
      <sheetName val="(原単位)"/>
      <sheetName val="16,7"/>
      <sheetName val="F混流"/>
      <sheetName val="57"/>
      <sheetName val="REJECT3"/>
      <sheetName val="MPL 技連"/>
      <sheetName val="342E BLOCK"/>
      <sheetName val="ทำข้อมูล"/>
      <sheetName val="A"/>
      <sheetName val="工数比較２"/>
      <sheetName val="Report_for_CCD-Dec_054"/>
      <sheetName val="SPEC_LIST4"/>
      <sheetName val="Purchase_Order3"/>
      <sheetName val="Customize_Your_Purchase_Order3"/>
      <sheetName val="COMPARE_SHEET3"/>
      <sheetName val="paint_mtrl3"/>
      <sheetName val="RT34_07TFUC_XF4¶õvæ_MH©3"/>
      <sheetName val="PJ別_33"/>
      <sheetName val="PJ別_23"/>
      <sheetName val="PJ別_13"/>
      <sheetName val="New_DYNA3"/>
      <sheetName val="Reply_Sheet-Front_Seat3"/>
      <sheetName val="Reply_Sheet-2nd3"/>
      <sheetName val="Reply_Sheet-Jump_Seat3"/>
      <sheetName val="Frame_BPH-HES_(BG)3"/>
      <sheetName val="Value_Analysis_-_Sheet_11"/>
      <sheetName val="RT34_07TFUC_XF4¶€”õvæ_MH©"/>
      <sheetName val="SPEC_LIST5"/>
      <sheetName val="Report_for_CCD-Dec_055"/>
      <sheetName val="Purchase_Order4"/>
      <sheetName val="Customize_Your_Purchase_Order4"/>
      <sheetName val="COMPARE_SHEET4"/>
      <sheetName val="paint_mtrl4"/>
      <sheetName val="New_DYNA4"/>
      <sheetName val="RT34_07TFUC_XF4¶õvæ_MH©4"/>
      <sheetName val="Reply_Sheet-Front_Seat4"/>
      <sheetName val="Reply_Sheet-2nd4"/>
      <sheetName val="Reply_Sheet-Jump_Seat4"/>
      <sheetName val="Frame_BPH-HES_(BG)4"/>
      <sheetName val="PJ別_34"/>
      <sheetName val="PJ別_24"/>
      <sheetName val="PJ別_14"/>
      <sheetName val="Value_Analysis_-_Sheet_12"/>
      <sheetName val="RT34_07TFUC_XF4¶€”õvæ_MH©1"/>
      <sheetName val="____"/>
      <sheetName val=""/>
      <sheetName val="実績推移"/>
      <sheetName val="SPEC_LIST6"/>
      <sheetName val="Report_for_CCD-Dec_056"/>
      <sheetName val="Purchase_Order5"/>
      <sheetName val="Customize_Your_Purchase_Order5"/>
      <sheetName val="COMPARE_SHEET5"/>
      <sheetName val="paint_mtrl5"/>
      <sheetName val="RT34_07TFUC_XF4¶õvæ_MH©5"/>
      <sheetName val="New_DYNA5"/>
      <sheetName val="Reply_Sheet-Front_Seat5"/>
      <sheetName val="Reply_Sheet-2nd5"/>
      <sheetName val="Reply_Sheet-Jump_Seat5"/>
      <sheetName val="Frame_BPH-HES_(BG)5"/>
      <sheetName val="PJ別_35"/>
      <sheetName val="PJ別_25"/>
      <sheetName val="PJ別_15"/>
      <sheetName val="Value_Analysis_-_Sheet_13"/>
      <sheetName val="RT34_07TFUC_XF4¶€”õvæ_MH©2"/>
      <sheetName val="MPL_技連"/>
      <sheetName val="342E_BLOCK"/>
      <sheetName val="SPEC_LIST7"/>
      <sheetName val="Report_for_CCD-Dec_057"/>
      <sheetName val="Purchase_Order6"/>
      <sheetName val="Customize_Your_Purchase_Order6"/>
      <sheetName val="COMPARE_SHEET6"/>
      <sheetName val="paint_mtrl6"/>
      <sheetName val="RT34_07TFUC_XF4¶õvæ_MH©6"/>
      <sheetName val="New_DYNA6"/>
      <sheetName val="Reply_Sheet-Front_Seat6"/>
      <sheetName val="Reply_Sheet-2nd6"/>
      <sheetName val="Reply_Sheet-Jump_Seat6"/>
      <sheetName val="Frame_BPH-HES_(BG)6"/>
      <sheetName val="PJ別_36"/>
      <sheetName val="PJ別_26"/>
      <sheetName val="PJ別_16"/>
      <sheetName val="Value_Analysis_-_Sheet_14"/>
      <sheetName val="RT34_07TFUC_XF4¶€”õvæ_MH©3"/>
      <sheetName val="MPL_技連1"/>
      <sheetName val="342E_BLOCK1"/>
      <sheetName val="日程"/>
      <sheetName val="SPEC_LIST8"/>
      <sheetName val="Report_for_CCD-Dec_058"/>
      <sheetName val="Purchase_Order7"/>
      <sheetName val="Customize_Your_Purchase_Order7"/>
      <sheetName val="COMPARE_SHEET7"/>
      <sheetName val="paint_mtrl7"/>
      <sheetName val="RT34_07TFUC_XF4¶õvæ_MH©7"/>
      <sheetName val="New_DYNA7"/>
      <sheetName val="Reply_Sheet-Front_Seat7"/>
      <sheetName val="Reply_Sheet-2nd7"/>
      <sheetName val="Reply_Sheet-Jump_Seat7"/>
      <sheetName val="Frame_BPH-HES_(BG)7"/>
      <sheetName val="PJ別_37"/>
      <sheetName val="PJ別_27"/>
      <sheetName val="PJ別_17"/>
      <sheetName val="Value_Analysis_-_Sheet_15"/>
      <sheetName val="RT34_07TFUC_XF4¶€”õvæ_MH©4"/>
      <sheetName val="MPL_技連2"/>
      <sheetName val="342E_BLOCK2"/>
      <sheetName val="SPEC_LIST9"/>
      <sheetName val="Report_for_CCD-Dec_059"/>
      <sheetName val="Purchase_Order8"/>
      <sheetName val="Customize_Your_Purchase_Order8"/>
      <sheetName val="COMPARE_SHEET8"/>
      <sheetName val="paint_mtrl8"/>
      <sheetName val="RT34_07TFUC_XF4¶õvæ_MH©8"/>
      <sheetName val="New_DYNA8"/>
      <sheetName val="Reply_Sheet-Front_Seat8"/>
      <sheetName val="Reply_Sheet-2nd8"/>
      <sheetName val="Reply_Sheet-Jump_Seat8"/>
      <sheetName val="Frame_BPH-HES_(BG)8"/>
      <sheetName val="PJ別_38"/>
      <sheetName val="PJ別_28"/>
      <sheetName val="PJ別_18"/>
      <sheetName val="Value_Analysis_-_Sheet_16"/>
      <sheetName val="RT34_07TFUC_XF4¶€”õvæ_MH©5"/>
      <sheetName val="MPL_技連3"/>
      <sheetName val="342E_BLOCK3"/>
      <sheetName val="SPEC_LIST10"/>
      <sheetName val="Report_for_CCD-Dec_0510"/>
      <sheetName val="Purchase_Order9"/>
      <sheetName val="Customize_Your_Purchase_Order9"/>
      <sheetName val="COMPARE_SHEET9"/>
      <sheetName val="paint_mtrl9"/>
      <sheetName val="RT34_07TFUC_XF4¶õvæ_MH©9"/>
      <sheetName val="New_DYNA9"/>
      <sheetName val="Reply_Sheet-Front_Seat9"/>
      <sheetName val="Reply_Sheet-2nd9"/>
      <sheetName val="Reply_Sheet-Jump_Seat9"/>
      <sheetName val="Frame_BPH-HES_(BG)9"/>
      <sheetName val="PJ別_39"/>
      <sheetName val="PJ別_29"/>
      <sheetName val="PJ別_19"/>
      <sheetName val="Value_Analysis_-_Sheet_17"/>
      <sheetName val="RT34_07TFUC_XF4¶€”õvæ_MH©6"/>
      <sheetName val="MPL_技連4"/>
      <sheetName val="342E_BLOCK4"/>
      <sheetName val="SPEC_LIST13"/>
      <sheetName val="Report_for_CCD-Dec_0513"/>
      <sheetName val="Purchase_Order12"/>
      <sheetName val="Customize_Your_Purchase_Order12"/>
      <sheetName val="COMPARE_SHEET12"/>
      <sheetName val="paint_mtrl12"/>
      <sheetName val="RT34_07TFUC_XF4¶õvæ_MH12"/>
      <sheetName val="New_DYNA12"/>
      <sheetName val="Reply_Sheet-Front_Seat12"/>
      <sheetName val="Reply_Sheet-2nd12"/>
      <sheetName val="Reply_Sheet-Jump_Seat12"/>
      <sheetName val="Frame_BPH-HES_(BG)12"/>
      <sheetName val="PJ別_312"/>
      <sheetName val="PJ別_212"/>
      <sheetName val="PJ別_112"/>
      <sheetName val="Value_Analysis_-_Sheet_110"/>
      <sheetName val="RT34_07TFUC_XF4¶€”õvæ_MH©9"/>
      <sheetName val="MPL_技連7"/>
      <sheetName val="342E_BLOCK7"/>
      <sheetName val="SPEC_LIST11"/>
      <sheetName val="Report_for_CCD-Dec_0511"/>
      <sheetName val="Purchase_Order10"/>
      <sheetName val="Customize_Your_Purchase_Order10"/>
      <sheetName val="COMPARE_SHEET10"/>
      <sheetName val="paint_mtrl10"/>
      <sheetName val="RT34_07TFUC_XF4¶õvæ_MH10"/>
      <sheetName val="New_DYNA10"/>
      <sheetName val="Reply_Sheet-Front_Seat10"/>
      <sheetName val="Reply_Sheet-2nd10"/>
      <sheetName val="Reply_Sheet-Jump_Seat10"/>
      <sheetName val="Frame_BPH-HES_(BG)10"/>
      <sheetName val="PJ別_310"/>
      <sheetName val="PJ別_210"/>
      <sheetName val="PJ別_110"/>
      <sheetName val="Value_Analysis_-_Sheet_18"/>
      <sheetName val="RT34_07TFUC_XF4¶€”õvæ_MH©7"/>
      <sheetName val="MPL_技連5"/>
      <sheetName val="342E_BLOCK5"/>
      <sheetName val="SPEC_LIST12"/>
      <sheetName val="Report_for_CCD-Dec_0512"/>
      <sheetName val="Purchase_Order11"/>
      <sheetName val="Customize_Your_Purchase_Order11"/>
      <sheetName val="COMPARE_SHEET11"/>
      <sheetName val="paint_mtrl11"/>
      <sheetName val="RT34_07TFUC_XF4¶õvæ_MH11"/>
      <sheetName val="New_DYNA11"/>
      <sheetName val="Reply_Sheet-Front_Seat11"/>
      <sheetName val="Reply_Sheet-2nd11"/>
      <sheetName val="Reply_Sheet-Jump_Seat11"/>
      <sheetName val="Frame_BPH-HES_(BG)11"/>
      <sheetName val="PJ別_311"/>
      <sheetName val="PJ別_211"/>
      <sheetName val="PJ別_111"/>
      <sheetName val="Value_Analysis_-_Sheet_19"/>
      <sheetName val="RT34_07TFUC_XF4¶€”õvæ_MH©8"/>
      <sheetName val="MPL_技連6"/>
      <sheetName val="342E_BLOCK6"/>
      <sheetName val="SPEC_LIST14"/>
      <sheetName val="Report_for_CCD-Dec_0514"/>
      <sheetName val="Purchase_Order13"/>
      <sheetName val="Customize_Your_Purchase_Order13"/>
      <sheetName val="COMPARE_SHEET13"/>
      <sheetName val="paint_mtrl13"/>
      <sheetName val="RT34_07TFUC_XF4¶õvæ_MH13"/>
      <sheetName val="New_DYNA13"/>
      <sheetName val="Reply_Sheet-Front_Seat13"/>
      <sheetName val="Reply_Sheet-2nd13"/>
      <sheetName val="Reply_Sheet-Jump_Seat13"/>
      <sheetName val="Frame_BPH-HES_(BG)13"/>
      <sheetName val="PJ別_313"/>
      <sheetName val="PJ別_213"/>
      <sheetName val="PJ別_113"/>
      <sheetName val="Value_Analysis_-_Sheet_111"/>
      <sheetName val="RT34_07TFUC_XF4¶€”õvæ_MH10"/>
      <sheetName val="MPL_技連8"/>
      <sheetName val="342E_BLOCK8"/>
      <sheetName val="SPEC_LIST15"/>
      <sheetName val="Report_for_CCD-Dec_0515"/>
      <sheetName val="Purchase_Order14"/>
      <sheetName val="Customize_Your_Purchase_Order14"/>
      <sheetName val="COMPARE_SHEET14"/>
      <sheetName val="paint_mtrl14"/>
      <sheetName val="RT34_07TFUC_XF4¶õvæ_MH14"/>
      <sheetName val="New_DYNA14"/>
      <sheetName val="Reply_Sheet-Front_Seat14"/>
      <sheetName val="Reply_Sheet-2nd14"/>
      <sheetName val="Reply_Sheet-Jump_Seat14"/>
      <sheetName val="Frame_BPH-HES_(BG)14"/>
      <sheetName val="PJ別_314"/>
      <sheetName val="PJ別_214"/>
      <sheetName val="PJ別_114"/>
      <sheetName val="Value_Analysis_-_Sheet_112"/>
      <sheetName val="RT34_07TFUC_XF4¶€”õvæ_MH11"/>
      <sheetName val="MPL_技連9"/>
      <sheetName val="342E_BLOCK9"/>
      <sheetName val="スクラップ"/>
      <sheetName val="SPEC_LIST16"/>
      <sheetName val="Report_for_CCD-Dec_0516"/>
      <sheetName val="Purchase_Order15"/>
      <sheetName val="Customize_Your_Purchase_Order15"/>
      <sheetName val="COMPARE_SHEET15"/>
      <sheetName val="paint_mtrl15"/>
      <sheetName val="RT34_07TFUC_XF4¶õvæ_MH15"/>
      <sheetName val="New_DYNA15"/>
      <sheetName val="Reply_Sheet-Front_Seat15"/>
      <sheetName val="Reply_Sheet-2nd15"/>
      <sheetName val="Reply_Sheet-Jump_Seat15"/>
      <sheetName val="Frame_BPH-HES_(BG)15"/>
      <sheetName val="PJ別_315"/>
      <sheetName val="PJ別_215"/>
      <sheetName val="PJ別_115"/>
      <sheetName val="Value_Analysis_-_Sheet_113"/>
      <sheetName val="RT34_07TFUC_XF4¶€”õvæ_MH12"/>
      <sheetName val="MPL_技連10"/>
      <sheetName val="342E_BLOCK10"/>
      <sheetName val="SPEC_LIST17"/>
      <sheetName val="Report_for_CCD-Dec_0517"/>
      <sheetName val="Purchase_Order16"/>
      <sheetName val="Customize_Your_Purchase_Order16"/>
      <sheetName val="COMPARE_SHEET16"/>
      <sheetName val="paint_mtrl16"/>
      <sheetName val="RT34_07TFUC_XF4¶õvæ_MH16"/>
      <sheetName val="New_DYNA16"/>
      <sheetName val="Reply_Sheet-Front_Seat16"/>
      <sheetName val="Reply_Sheet-2nd16"/>
      <sheetName val="Reply_Sheet-Jump_Seat16"/>
      <sheetName val="Frame_BPH-HES_(BG)16"/>
      <sheetName val="PJ別_316"/>
      <sheetName val="PJ別_216"/>
      <sheetName val="PJ別_116"/>
      <sheetName val="Value_Analysis_-_Sheet_114"/>
      <sheetName val="RT34_07TFUC_XF4¶€”õvæ_MH13"/>
      <sheetName val="MPL_技連11"/>
      <sheetName val="342E_BLOCK11"/>
      <sheetName val="Table Master"/>
      <sheetName val="SPEC_LIST18"/>
      <sheetName val="Report_for_CCD-Dec_0518"/>
      <sheetName val="Purchase_Order17"/>
      <sheetName val="Customize_Your_Purchase_Order17"/>
      <sheetName val="COMPARE_SHEET17"/>
      <sheetName val="paint_mtrl17"/>
      <sheetName val="RT34_07TFUC_XF4¶õvæ_MH17"/>
      <sheetName val="New_DYNA17"/>
      <sheetName val="Reply_Sheet-Front_Seat17"/>
      <sheetName val="Reply_Sheet-2nd17"/>
      <sheetName val="Reply_Sheet-Jump_Seat17"/>
      <sheetName val="Frame_BPH-HES_(BG)17"/>
      <sheetName val="PJ別_317"/>
      <sheetName val="PJ別_217"/>
      <sheetName val="PJ別_117"/>
      <sheetName val="Value_Analysis_-_Sheet_115"/>
      <sheetName val="RT34_07TFUC_XF4¶€”õvæ_MH14"/>
      <sheetName val="MPL_技連12"/>
      <sheetName val="342E_BLOCK12"/>
      <sheetName val="MARCH_APRIL_ 03"/>
      <sheetName val="Absorber RR - RT75"/>
    </sheetNames>
    <sheetDataSet>
      <sheetData sheetId="0" refreshError="1">
        <row r="1">
          <cell r="B1" t="str">
            <v>P-NO(ISZ10)</v>
          </cell>
          <cell r="C1" t="str">
            <v>P-NO(ISZ9)</v>
          </cell>
          <cell r="D1" t="str">
            <v>P-NO(GMT)</v>
          </cell>
          <cell r="E1" t="str">
            <v>P-NAME</v>
          </cell>
          <cell r="F1" t="str">
            <v>CODE</v>
          </cell>
          <cell r="G1" t="str">
            <v>BOX CODE</v>
          </cell>
          <cell r="H1" t="str">
            <v>VENDER CODE</v>
          </cell>
          <cell r="I1" t="str">
            <v>VENDER NAME</v>
          </cell>
          <cell r="J1" t="str">
            <v>U/L</v>
          </cell>
          <cell r="K1" t="str">
            <v>SNP</v>
          </cell>
          <cell r="L1" t="str">
            <v>PART WEIGHT</v>
          </cell>
          <cell r="M1" t="str">
            <v>BOX WEIGHT</v>
          </cell>
          <cell r="N1" t="str">
            <v>GROSS WEIGHT</v>
          </cell>
          <cell r="O1" t="str">
            <v>L</v>
          </cell>
          <cell r="P1" t="str">
            <v>W</v>
          </cell>
          <cell r="Q1" t="str">
            <v>H</v>
          </cell>
        </row>
        <row r="2">
          <cell r="B2" t="str">
            <v>8972347492</v>
          </cell>
          <cell r="C2" t="str">
            <v>897234749</v>
          </cell>
          <cell r="D2" t="str">
            <v>97234749</v>
          </cell>
          <cell r="E2" t="str">
            <v>LAMP;COMBINATION</v>
          </cell>
          <cell r="F2" t="str">
            <v>B007</v>
          </cell>
          <cell r="G2" t="str">
            <v>B0070001</v>
          </cell>
          <cell r="H2" t="str">
            <v>API</v>
          </cell>
          <cell r="I2" t="str">
            <v>ICHIKO</v>
          </cell>
          <cell r="K2" t="str">
            <v>3</v>
          </cell>
          <cell r="L2" t="str">
            <v>0.683</v>
          </cell>
          <cell r="M2" t="str">
            <v>3.051</v>
          </cell>
          <cell r="N2" t="str">
            <v>5.1</v>
          </cell>
          <cell r="O2" t="str">
            <v>650</v>
          </cell>
          <cell r="P2" t="str">
            <v>430</v>
          </cell>
          <cell r="Q2" t="str">
            <v>230</v>
          </cell>
        </row>
        <row r="3">
          <cell r="B3" t="str">
            <v>8972347502</v>
          </cell>
          <cell r="C3" t="str">
            <v>897234750</v>
          </cell>
          <cell r="D3" t="str">
            <v>97234750</v>
          </cell>
          <cell r="E3" t="str">
            <v>LAMP;COMBINATION</v>
          </cell>
          <cell r="F3" t="str">
            <v>B007</v>
          </cell>
          <cell r="G3" t="str">
            <v>B0070002</v>
          </cell>
          <cell r="H3" t="str">
            <v>API</v>
          </cell>
          <cell r="I3" t="str">
            <v>ICHIKO</v>
          </cell>
          <cell r="K3" t="str">
            <v>3</v>
          </cell>
          <cell r="L3" t="str">
            <v>0.683</v>
          </cell>
          <cell r="M3" t="str">
            <v>3.051</v>
          </cell>
          <cell r="N3" t="str">
            <v>5.1</v>
          </cell>
          <cell r="O3" t="str">
            <v>650</v>
          </cell>
          <cell r="P3" t="str">
            <v>430</v>
          </cell>
          <cell r="Q3" t="str">
            <v>230</v>
          </cell>
        </row>
        <row r="4">
          <cell r="B4" t="str">
            <v>8972373781</v>
          </cell>
          <cell r="C4" t="str">
            <v>897237378</v>
          </cell>
          <cell r="D4" t="str">
            <v>97237378</v>
          </cell>
          <cell r="E4" t="str">
            <v>LAMP;FLASHER,SID</v>
          </cell>
          <cell r="F4" t="str">
            <v>B007</v>
          </cell>
          <cell r="G4" t="str">
            <v>B0070005</v>
          </cell>
          <cell r="H4" t="str">
            <v>API</v>
          </cell>
          <cell r="I4" t="str">
            <v>ICHIKO</v>
          </cell>
          <cell r="K4" t="str">
            <v>30</v>
          </cell>
          <cell r="L4" t="str">
            <v>0.024</v>
          </cell>
          <cell r="M4" t="str">
            <v>1.24</v>
          </cell>
          <cell r="N4" t="str">
            <v>1.96</v>
          </cell>
          <cell r="O4" t="str">
            <v>555</v>
          </cell>
          <cell r="P4" t="str">
            <v>355</v>
          </cell>
          <cell r="Q4" t="str">
            <v>95</v>
          </cell>
        </row>
        <row r="5">
          <cell r="B5" t="str">
            <v>8972348492</v>
          </cell>
          <cell r="C5" t="str">
            <v>897234849</v>
          </cell>
          <cell r="D5" t="str">
            <v>97234849</v>
          </cell>
          <cell r="E5" t="str">
            <v>LAMP;ROOM,SPOT</v>
          </cell>
          <cell r="F5" t="str">
            <v>B007</v>
          </cell>
          <cell r="G5" t="str">
            <v>B0070003</v>
          </cell>
          <cell r="H5" t="str">
            <v>API</v>
          </cell>
          <cell r="I5" t="str">
            <v>ICHIKO</v>
          </cell>
        </row>
        <row r="6">
          <cell r="B6" t="str">
            <v>8972348593</v>
          </cell>
          <cell r="C6" t="str">
            <v>897234859</v>
          </cell>
          <cell r="D6" t="str">
            <v>97234859</v>
          </cell>
          <cell r="E6" t="str">
            <v>LAMP;ROOM,SPOT</v>
          </cell>
          <cell r="F6" t="str">
            <v>B007</v>
          </cell>
          <cell r="G6" t="str">
            <v>B0070004</v>
          </cell>
          <cell r="H6" t="str">
            <v>API</v>
          </cell>
          <cell r="I6" t="str">
            <v>ICHIKO</v>
          </cell>
        </row>
        <row r="7">
          <cell r="B7" t="str">
            <v>8972940702</v>
          </cell>
          <cell r="C7" t="str">
            <v>897294070</v>
          </cell>
          <cell r="D7" t="str">
            <v>97294070</v>
          </cell>
          <cell r="E7" t="str">
            <v>LAMP;ROOM,SPOT</v>
          </cell>
          <cell r="F7" t="str">
            <v>B007</v>
          </cell>
          <cell r="G7" t="str">
            <v>B0070006</v>
          </cell>
          <cell r="H7" t="str">
            <v>API</v>
          </cell>
          <cell r="I7" t="str">
            <v>ICHIKO</v>
          </cell>
          <cell r="K7" t="str">
            <v>15</v>
          </cell>
          <cell r="L7" t="str">
            <v>0.072</v>
          </cell>
          <cell r="M7" t="str">
            <v>1.6</v>
          </cell>
          <cell r="N7" t="str">
            <v>2.68</v>
          </cell>
          <cell r="O7" t="str">
            <v>555</v>
          </cell>
          <cell r="P7" t="str">
            <v>355</v>
          </cell>
          <cell r="Q7" t="str">
            <v>145</v>
          </cell>
        </row>
        <row r="8">
          <cell r="B8" t="str">
            <v>8972940713</v>
          </cell>
          <cell r="C8" t="str">
            <v>897294071</v>
          </cell>
          <cell r="D8" t="str">
            <v>97294071</v>
          </cell>
          <cell r="E8" t="str">
            <v>LAMP;ROOM,SPOT</v>
          </cell>
          <cell r="F8" t="str">
            <v>B007</v>
          </cell>
          <cell r="G8" t="str">
            <v>B0070007</v>
          </cell>
          <cell r="H8" t="str">
            <v>API</v>
          </cell>
          <cell r="I8" t="str">
            <v>ICHIKO</v>
          </cell>
          <cell r="K8" t="str">
            <v>15</v>
          </cell>
          <cell r="L8" t="str">
            <v>0.136</v>
          </cell>
          <cell r="M8" t="str">
            <v>2.05</v>
          </cell>
          <cell r="N8" t="str">
            <v>4.09</v>
          </cell>
          <cell r="O8" t="str">
            <v>610</v>
          </cell>
          <cell r="P8" t="str">
            <v>415</v>
          </cell>
          <cell r="Q8" t="str">
            <v>145</v>
          </cell>
        </row>
        <row r="9">
          <cell r="B9" t="str">
            <v>8973012560</v>
          </cell>
          <cell r="C9" t="str">
            <v>897301256</v>
          </cell>
          <cell r="D9" t="str">
            <v>97301256</v>
          </cell>
          <cell r="E9" t="str">
            <v>MIRROR ASM;INSID</v>
          </cell>
          <cell r="F9" t="str">
            <v>B007</v>
          </cell>
          <cell r="G9" t="str">
            <v>B0070008</v>
          </cell>
          <cell r="H9" t="str">
            <v>API</v>
          </cell>
          <cell r="I9" t="str">
            <v>ICHIKO</v>
          </cell>
          <cell r="K9" t="str">
            <v>15</v>
          </cell>
          <cell r="L9" t="str">
            <v>0.350</v>
          </cell>
          <cell r="M9" t="str">
            <v>1.95</v>
          </cell>
          <cell r="N9" t="str">
            <v>7.2</v>
          </cell>
          <cell r="O9" t="str">
            <v>455</v>
          </cell>
          <cell r="P9" t="str">
            <v>320</v>
          </cell>
          <cell r="Q9" t="str">
            <v>285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Vehicle Number (3)"/>
      <sheetName val="Sheet1"/>
      <sheetName val="Vehicle Number (2)"/>
      <sheetName val="Vehicle Number"/>
      <sheetName val="ﾌﾟﾛﾄ_P772分解5号機"/>
      <sheetName val="Vehicle_Number_(3)"/>
      <sheetName val="Vehicle_Number_(2)"/>
      <sheetName val="Vehicle_Number"/>
      <sheetName val="Submission Address"/>
      <sheetName val="DATA"/>
      <sheetName val="ELF"/>
      <sheetName val="作業要素"/>
      <sheetName val="New DYNA"/>
      <sheetName val="投資ﾘｽﾄ"/>
      <sheetName val="Common_TC_Start_List_2"/>
      <sheetName val="Annual Production"/>
      <sheetName val="EQﾏ､HQﾏ-GA18DE"/>
      <sheetName val="PT1"/>
      <sheetName val="名簿データ"/>
      <sheetName val="Vehicle_Number_(3)1"/>
      <sheetName val="Vehicle_Number_(2)1"/>
      <sheetName val="Vehicle_Number1"/>
      <sheetName val="Submission_Address"/>
      <sheetName val="New_DYNA"/>
      <sheetName val="Annual_Production"/>
      <sheetName val="A000"/>
      <sheetName val="_B007"/>
      <sheetName val="E配布２"/>
      <sheetName val="Ｄ配布１"/>
      <sheetName val="C3_N DC改造投資"/>
      <sheetName val="ﾏﾙC改造投資詳細"/>
      <sheetName val="ISO_250"/>
      <sheetName val="結果"/>
      <sheetName val="PSM"/>
      <sheetName val="SVASM"/>
      <sheetName val="ライン別負荷"/>
      <sheetName val="計画表"/>
      <sheetName val="SV単品"/>
      <sheetName val="日当表"/>
      <sheetName val="(旧)LIST"/>
      <sheetName val="MH"/>
      <sheetName val="Wvð"/>
      <sheetName val="HärQ"/>
      <sheetName val="Production"/>
      <sheetName val="星取表"/>
      <sheetName val="A"/>
      <sheetName val="BUD05_ISU"/>
      <sheetName val="96期(川崎)"/>
      <sheetName val="6SWRF_W"/>
      <sheetName val="日程"/>
      <sheetName val="MARU"/>
      <sheetName val="計算結果"/>
      <sheetName val="第1期投資実績"/>
      <sheetName val="02MY投資実績"/>
      <sheetName val="150K-1投資"/>
      <sheetName val="150K-2投資"/>
      <sheetName val="1-C,D"/>
      <sheetName val="MASTER DATA"/>
      <sheetName val="ENG油洩れ"/>
      <sheetName val="00年9月"/>
      <sheetName val="SMALL"/>
      <sheetName val="2TUP"/>
      <sheetName val="MOTO"/>
      <sheetName val="Frame BPH-HES (BG)"/>
      <sheetName val="Karyawan"/>
      <sheetName val="update 17.03.2014 (2)"/>
      <sheetName val="DATA BASE"/>
      <sheetName val="MPL 技連"/>
      <sheetName val="342E BLOCK"/>
      <sheetName val="Annual Sales"/>
      <sheetName val="仕上１"/>
      <sheetName val="MRP"/>
      <sheetName val="WIP (new)"/>
      <sheetName val="シャープアイ実績"/>
      <sheetName val="マスター"/>
      <sheetName val="効率UP目論見"/>
      <sheetName val="1P200 (แหลมฉบัง)"/>
      <sheetName val="AIDA SLAB3"/>
      <sheetName val="Vehicle_Number_(3)2"/>
      <sheetName val="Vehicle_Number_(2)2"/>
      <sheetName val="Vehicle_Number2"/>
      <sheetName val="Submission_Address1"/>
      <sheetName val="New_DYNA1"/>
      <sheetName val="Annual_Production1"/>
      <sheetName val="C3_N_DC改造投資"/>
      <sheetName val="DATA_BASE"/>
      <sheetName val="update_17_03_2014_(2)"/>
      <sheetName val="MASTER_DATA"/>
      <sheetName val="Frame_BPH-HES_(BG)"/>
      <sheetName val="MPL_技連"/>
      <sheetName val="342E_BLOCK"/>
      <sheetName val="Annual_Sales"/>
      <sheetName val="H””ärQ"/>
      <sheetName val="General"/>
      <sheetName val="List"/>
      <sheetName val=""/>
      <sheetName val="attachment"/>
      <sheetName val="Draft Vehicle Format"/>
      <sheetName val="May"/>
      <sheetName val="2005"/>
      <sheetName val="AC"/>
      <sheetName val="業務計画"/>
      <sheetName val="要員計画（旧）"/>
      <sheetName val="350CXZCO"/>
      <sheetName val="Benefits Worksheet"/>
      <sheetName val="内示"/>
      <sheetName val="Ten_DATADaily"/>
      <sheetName val="CPFReportTestData"/>
      <sheetName val="BT_CALC"/>
      <sheetName val="Working_time"/>
      <sheetName val="Calculated"/>
      <sheetName val="BT_Monthly_Darft"/>
      <sheetName val="Production_Seq_data"/>
      <sheetName val=" CV ALL"/>
      <sheetName val="Vehicle_Number_(3)3"/>
      <sheetName val="Vehicle_Number_(2)3"/>
      <sheetName val="Vehicle_Number3"/>
      <sheetName val="Submission_Address2"/>
      <sheetName val="New_DYNA2"/>
      <sheetName val="Annual_Production2"/>
      <sheetName val="C3_N_DC改造投資1"/>
      <sheetName val="update_17_03_2014_(2)1"/>
      <sheetName val="MASTER_DATA1"/>
      <sheetName val="Frame_BPH-HES_(BG)1"/>
      <sheetName val="DATA_BASE1"/>
      <sheetName val="MPL_技連1"/>
      <sheetName val="342E_BLOCK1"/>
      <sheetName val="Annual_Sales1"/>
      <sheetName val="WIP_(new)"/>
      <sheetName val="1P200_(แหลมฉบัง)"/>
      <sheetName val="AIDA_SLAB3"/>
      <sheetName val="Draft_Vehicle_Format"/>
      <sheetName val="Vehicle_Number_(3)4"/>
      <sheetName val="Vehicle_Number_(2)4"/>
      <sheetName val="Vehicle_Number4"/>
      <sheetName val="Submission_Address3"/>
      <sheetName val="New_DYNA3"/>
      <sheetName val="Annual_Production3"/>
      <sheetName val="C3_N_DC改造投資2"/>
      <sheetName val="update_17_03_2014_(2)2"/>
      <sheetName val="MASTER_DATA2"/>
      <sheetName val="Frame_BPH-HES_(BG)2"/>
      <sheetName val="DATA_BASE2"/>
      <sheetName val="MPL_技連2"/>
      <sheetName val="342E_BLOCK2"/>
      <sheetName val="Annual_Sales2"/>
      <sheetName val="WIP_(new)1"/>
      <sheetName val="1P200_(แหลมฉบัง)1"/>
      <sheetName val="AIDA_SLAB31"/>
      <sheetName val="Draft_Vehicle_Format1"/>
      <sheetName val="工数比較２"/>
      <sheetName val="rout4"/>
      <sheetName val="1-A､B"/>
      <sheetName val="REVENUE"/>
      <sheetName val="PRIMECENTER Rack 46 U, 1000 mm"/>
      <sheetName val="1 LeadSchedule"/>
      <sheetName val="4 Analysis"/>
      <sheetName val="Assumptions"/>
      <sheetName val="volumes PF"/>
      <sheetName val="A3_フレーム"/>
      <sheetName val="A5_フレーム"/>
      <sheetName val="フレーム重心(UG測定)"/>
      <sheetName val="寸法"/>
      <sheetName val="Supp.List"/>
      <sheetName val="Stock Aging"/>
      <sheetName val="Vehicle_Number_(3)5"/>
      <sheetName val="Vehicle_Number_(2)5"/>
      <sheetName val="Vehicle_Number5"/>
      <sheetName val="Submission_Address4"/>
      <sheetName val="New_DYNA4"/>
      <sheetName val="Annual_Production4"/>
      <sheetName val="C3_N_DC改造投資3"/>
      <sheetName val="update_17_03_2014_(2)3"/>
      <sheetName val="MASTER_DATA3"/>
      <sheetName val="Frame_BPH-HES_(BG)3"/>
      <sheetName val="DATA_BASE3"/>
      <sheetName val="MPL_技連3"/>
      <sheetName val="342E_BLOCK3"/>
      <sheetName val="Annual_Sales3"/>
      <sheetName val="WIP_(new)2"/>
      <sheetName val="1P200_(แหลมฉบัง)2"/>
      <sheetName val="AIDA_SLAB32"/>
      <sheetName val="Draft_Vehicle_Format2"/>
      <sheetName val="Benefits_Worksheet"/>
      <sheetName val="_CV_ALL"/>
      <sheetName val="PRIMECENTER_Rack_46_U,_1000_mm"/>
      <sheetName val="Vehicle_Number_(3)6"/>
      <sheetName val="Vehicle_Number_(2)6"/>
      <sheetName val="Vehicle_Number6"/>
      <sheetName val="Submission_Address5"/>
      <sheetName val="New_DYNA5"/>
      <sheetName val="Annual_Production5"/>
      <sheetName val="C3_N_DC改造投資4"/>
      <sheetName val="update_17_03_2014_(2)4"/>
      <sheetName val="MASTER_DATA4"/>
      <sheetName val="Frame_BPH-HES_(BG)4"/>
      <sheetName val="DATA_BASE4"/>
      <sheetName val="MPL_技連4"/>
      <sheetName val="342E_BLOCK4"/>
      <sheetName val="Annual_Sales4"/>
      <sheetName val="WIP_(new)3"/>
      <sheetName val="1P200_(แหลมฉบัง)3"/>
      <sheetName val="AIDA_SLAB33"/>
      <sheetName val="Draft_Vehicle_Format3"/>
      <sheetName val="Benefits_Worksheet1"/>
      <sheetName val="_CV_ALL1"/>
      <sheetName val="PRIMECENTER_Rack_46_U,_1000_mm1"/>
      <sheetName val="第1期"/>
      <sheetName val="02MY"/>
      <sheetName val="150K-1"/>
      <sheetName val="150K-2"/>
      <sheetName val="180K投資"/>
      <sheetName val="Vehicle_Number_(3)7"/>
      <sheetName val="Vehicle_Number_(2)7"/>
      <sheetName val="Vehicle_Number7"/>
      <sheetName val="Submission_Address6"/>
      <sheetName val="New_DYNA6"/>
      <sheetName val="Annual_Production6"/>
      <sheetName val="C3_N_DC改造投資5"/>
      <sheetName val="update_17_03_2014_(2)5"/>
      <sheetName val="MASTER_DATA5"/>
      <sheetName val="Frame_BPH-HES_(BG)5"/>
      <sheetName val="DATA_BASE5"/>
      <sheetName val="MPL_技連5"/>
      <sheetName val="342E_BLOCK5"/>
      <sheetName val="Annual_Sales5"/>
      <sheetName val="WIP_(new)4"/>
      <sheetName val="1P200_(แหลมฉบัง)4"/>
      <sheetName val="AIDA_SLAB34"/>
      <sheetName val="Draft_Vehicle_Format4"/>
      <sheetName val="Benefits_Worksheet2"/>
      <sheetName val="_CV_ALL2"/>
      <sheetName val="PRIMECENTER_Rack_46_U,_1000_mm2"/>
      <sheetName val="Vehicle_Number_(3)8"/>
      <sheetName val="Vehicle_Number_(2)8"/>
      <sheetName val="Vehicle_Number8"/>
      <sheetName val="Submission_Address7"/>
      <sheetName val="New_DYNA7"/>
      <sheetName val="Annual_Production7"/>
      <sheetName val="C3_N_DC改造投資6"/>
      <sheetName val="update_17_03_2014_(2)6"/>
      <sheetName val="MASTER_DATA6"/>
      <sheetName val="Frame_BPH-HES_(BG)6"/>
      <sheetName val="DATA_BASE6"/>
      <sheetName val="MPL_技連6"/>
      <sheetName val="342E_BLOCK6"/>
      <sheetName val="Annual_Sales6"/>
      <sheetName val="WIP_(new)5"/>
      <sheetName val="1P200_(แหลมฉบัง)5"/>
      <sheetName val="AIDA_SLAB35"/>
      <sheetName val="Draft_Vehicle_Format5"/>
      <sheetName val="Benefits_Worksheet3"/>
      <sheetName val="_CV_ALL3"/>
      <sheetName val="PRIMECENTER_Rack_46_U,_1000_mm3"/>
      <sheetName val="Vehicle_Number_(3)9"/>
      <sheetName val="Vehicle_Number_(2)9"/>
      <sheetName val="Vehicle_Number9"/>
      <sheetName val="Submission_Address8"/>
      <sheetName val="New_DYNA8"/>
      <sheetName val="Annual_Production8"/>
      <sheetName val="C3_N_DC改造投資7"/>
      <sheetName val="update_17_03_2014_(2)7"/>
      <sheetName val="MASTER_DATA7"/>
      <sheetName val="Frame_BPH-HES_(BG)7"/>
      <sheetName val="DATA_BASE7"/>
      <sheetName val="MPL_技連7"/>
      <sheetName val="342E_BLOCK7"/>
      <sheetName val="Annual_Sales7"/>
      <sheetName val="WIP_(new)6"/>
      <sheetName val="1P200_(แหลมฉบัง)6"/>
      <sheetName val="AIDA_SLAB36"/>
      <sheetName val="Draft_Vehicle_Format6"/>
      <sheetName val="Benefits_Worksheet4"/>
      <sheetName val="_CV_ALL4"/>
      <sheetName val="PRIMECENTER_Rack_46_U,_1000_mm4"/>
      <sheetName val="Vehicle_Number_(3)10"/>
      <sheetName val="Vehicle_Number_(2)10"/>
      <sheetName val="Vehicle_Number10"/>
      <sheetName val="Submission_Address9"/>
      <sheetName val="New_DYNA9"/>
      <sheetName val="Annual_Production9"/>
      <sheetName val="C3_N_DC改造投資8"/>
      <sheetName val="update_17_03_2014_(2)8"/>
      <sheetName val="MASTER_DATA8"/>
      <sheetName val="Frame_BPH-HES_(BG)8"/>
      <sheetName val="DATA_BASE8"/>
      <sheetName val="MPL_技連8"/>
      <sheetName val="342E_BLOCK8"/>
      <sheetName val="Annual_Sales8"/>
      <sheetName val="WIP_(new)7"/>
      <sheetName val="1P200_(แหลมฉบัง)7"/>
      <sheetName val="AIDA_SLAB37"/>
      <sheetName val="Draft_Vehicle_Format7"/>
      <sheetName val="Benefits_Worksheet5"/>
      <sheetName val="_CV_ALL5"/>
      <sheetName val="PRIMECENTER_Rack_46_U,_1000_mm5"/>
      <sheetName val="Vehicle_Number_(3)11"/>
      <sheetName val="Vehicle_Number_(2)11"/>
      <sheetName val="Vehicle_Number11"/>
      <sheetName val="Submission_Address10"/>
      <sheetName val="New_DYNA10"/>
      <sheetName val="Annual_Production10"/>
      <sheetName val="C3_N_DC改造投資9"/>
      <sheetName val="update_17_03_2014_(2)9"/>
      <sheetName val="MASTER_DATA9"/>
      <sheetName val="Frame_BPH-HES_(BG)9"/>
      <sheetName val="DATA_BASE9"/>
      <sheetName val="MPL_技連9"/>
      <sheetName val="342E_BLOCK9"/>
      <sheetName val="Annual_Sales9"/>
      <sheetName val="WIP_(new)8"/>
      <sheetName val="1P200_(แหลมฉบัง)8"/>
      <sheetName val="AIDA_SLAB38"/>
      <sheetName val="Draft_Vehicle_Format8"/>
      <sheetName val="Benefits_Worksheet6"/>
      <sheetName val="_CV_ALL6"/>
      <sheetName val="PRIMECENTER_Rack_46_U,_1000_mm6"/>
      <sheetName val="Vehicle_Number_(3)12"/>
      <sheetName val="Vehicle_Number_(2)12"/>
      <sheetName val="Vehicle_Number12"/>
      <sheetName val="Submission_Address11"/>
      <sheetName val="New_DYNA11"/>
      <sheetName val="Annual_Production11"/>
      <sheetName val="C3_N_DC改造投資10"/>
      <sheetName val="update_17_03_2014_(2)10"/>
      <sheetName val="MASTER_DATA10"/>
      <sheetName val="Frame_BPH-HES_(BG)10"/>
      <sheetName val="DATA_BASE10"/>
      <sheetName val="MPL_技連10"/>
      <sheetName val="342E_BLOCK10"/>
      <sheetName val="Annual_Sales10"/>
      <sheetName val="WIP_(new)9"/>
      <sheetName val="1P200_(แหลมฉบัง)9"/>
      <sheetName val="AIDA_SLAB39"/>
      <sheetName val="Draft_Vehicle_Format9"/>
      <sheetName val="Benefits_Worksheet7"/>
      <sheetName val="_CV_ALL7"/>
      <sheetName val="PRIMECENTER_Rack_46_U,_1000_mm7"/>
      <sheetName val="Vehicle_Number_(3)13"/>
      <sheetName val="Vehicle_Number_(2)13"/>
      <sheetName val="Vehicle_Number13"/>
      <sheetName val="Submission_Address12"/>
      <sheetName val="New_DYNA12"/>
      <sheetName val="Annual_Production12"/>
      <sheetName val="C3_N_DC改造投資11"/>
      <sheetName val="update_17_03_2014_(2)11"/>
      <sheetName val="MASTER_DATA11"/>
      <sheetName val="Frame_BPH-HES_(BG)11"/>
      <sheetName val="DATA_BASE11"/>
      <sheetName val="MPL_技連11"/>
      <sheetName val="342E_BLOCK11"/>
      <sheetName val="Annual_Sales11"/>
      <sheetName val="WIP_(new)10"/>
      <sheetName val="1P200_(แหลมฉบัง)10"/>
      <sheetName val="AIDA_SLAB310"/>
      <sheetName val="Draft_Vehicle_Format10"/>
      <sheetName val="Benefits_Worksheet8"/>
      <sheetName val="_CV_ALL8"/>
      <sheetName val="PRIMECENTER_Rack_46_U,_1000_mm8"/>
      <sheetName val="1_LeadSchedule"/>
      <sheetName val="4_Analysis"/>
      <sheetName val="Supp_List"/>
      <sheetName val="Stock_Aging"/>
      <sheetName val="Vehicle_Number_(3)14"/>
      <sheetName val="Vehicle_Number_(2)14"/>
      <sheetName val="Vehicle_Number14"/>
      <sheetName val="Submission_Address13"/>
      <sheetName val="New_DYNA13"/>
      <sheetName val="Annual_Production13"/>
      <sheetName val="C3_N_DC改造投資12"/>
      <sheetName val="update_17_03_2014_(2)12"/>
      <sheetName val="MASTER_DATA12"/>
      <sheetName val="Frame_BPH-HES_(BG)12"/>
      <sheetName val="DATA_BASE12"/>
      <sheetName val="MPL_技連12"/>
      <sheetName val="342E_BLOCK12"/>
      <sheetName val="Annual_Sales12"/>
      <sheetName val="WIP_(new)11"/>
      <sheetName val="1P200_(แหลมฉบัง)11"/>
      <sheetName val="AIDA_SLAB311"/>
      <sheetName val="Draft_Vehicle_Format11"/>
      <sheetName val="Benefits_Worksheet9"/>
      <sheetName val="_CV_ALL9"/>
      <sheetName val="PRIMECENTER_Rack_46_U,_1000_mm9"/>
      <sheetName val="1_LeadSchedule1"/>
      <sheetName val="4_Analysis1"/>
      <sheetName val="Supp_List1"/>
      <sheetName val="Stock_Aging1"/>
      <sheetName val="Vehicle_Number_(3)15"/>
      <sheetName val="Vehicle_Number_(2)15"/>
      <sheetName val="Vehicle_Number15"/>
      <sheetName val="Submission_Address14"/>
      <sheetName val="New_DYNA14"/>
      <sheetName val="Annual_Production14"/>
      <sheetName val="C3_N_DC改造投資13"/>
      <sheetName val="update_17_03_2014_(2)13"/>
      <sheetName val="MASTER_DATA13"/>
      <sheetName val="Frame_BPH-HES_(BG)13"/>
      <sheetName val="DATA_BASE13"/>
      <sheetName val="MPL_技連13"/>
      <sheetName val="342E_BLOCK13"/>
      <sheetName val="Annual_Sales13"/>
      <sheetName val="WIP_(new)12"/>
      <sheetName val="1P200_(แหลมฉบัง)12"/>
      <sheetName val="AIDA_SLAB312"/>
      <sheetName val="Draft_Vehicle_Format12"/>
      <sheetName val="Benefits_Worksheet10"/>
      <sheetName val="_CV_ALL10"/>
      <sheetName val="PRIMECENTER_Rack_46_U,_1000_m10"/>
      <sheetName val="1_LeadSchedule2"/>
      <sheetName val="4_Analysis2"/>
      <sheetName val="Supp_List2"/>
      <sheetName val="Stock_Aging2"/>
      <sheetName val="Vehicle_Number_(3)16"/>
      <sheetName val="Vehicle_Number_(2)16"/>
      <sheetName val="Vehicle_Number16"/>
      <sheetName val="Submission_Address15"/>
      <sheetName val="New_DYNA15"/>
      <sheetName val="Annual_Production15"/>
      <sheetName val="C3_N_DC改造投資14"/>
      <sheetName val="update_17_03_2014_(2)14"/>
      <sheetName val="MASTER_DATA14"/>
      <sheetName val="Frame_BPH-HES_(BG)14"/>
      <sheetName val="DATA_BASE14"/>
      <sheetName val="MPL_技連14"/>
      <sheetName val="342E_BLOCK14"/>
      <sheetName val="Annual_Sales14"/>
      <sheetName val="WIP_(new)13"/>
      <sheetName val="1P200_(แหลมฉบัง)13"/>
      <sheetName val="AIDA_SLAB313"/>
      <sheetName val="Draft_Vehicle_Format13"/>
      <sheetName val="Benefits_Worksheet11"/>
      <sheetName val="_CV_ALL11"/>
      <sheetName val="PRIMECENTER_Rack_46_U,_1000_m11"/>
      <sheetName val="1_LeadSchedule3"/>
      <sheetName val="4_Analysis3"/>
      <sheetName val="Supp_List3"/>
      <sheetName val="Stock_Aging3"/>
      <sheetName val="Vehicle_Number_(3)17"/>
      <sheetName val="Vehicle_Number_(2)17"/>
      <sheetName val="Vehicle_Number17"/>
      <sheetName val="Submission_Address16"/>
      <sheetName val="New_DYNA16"/>
      <sheetName val="Annual_Production16"/>
      <sheetName val="C3_N_DC改造投資15"/>
      <sheetName val="update_17_03_2014_(2)15"/>
      <sheetName val="MASTER_DATA15"/>
      <sheetName val="Frame_BPH-HES_(BG)15"/>
      <sheetName val="DATA_BASE15"/>
      <sheetName val="MPL_技連15"/>
      <sheetName val="342E_BLOCK15"/>
      <sheetName val="Annual_Sales15"/>
      <sheetName val="WIP_(new)14"/>
      <sheetName val="1P200_(แหลมฉบัง)14"/>
      <sheetName val="AIDA_SLAB314"/>
      <sheetName val="Draft_Vehicle_Format14"/>
      <sheetName val="Benefits_Worksheet12"/>
      <sheetName val="_CV_ALL12"/>
      <sheetName val="PRIMECENTER_Rack_46_U,_1000_m12"/>
      <sheetName val="1_LeadSchedule4"/>
      <sheetName val="4_Analysis4"/>
      <sheetName val="Supp_List4"/>
      <sheetName val="Stock_Aging4"/>
      <sheetName val="volumes_PF"/>
      <sheetName val="条件"/>
      <sheetName val="プリモ_S0"/>
      <sheetName val="プリモ_S1"/>
      <sheetName val="プリモ_S2"/>
      <sheetName val="プリモ_S3"/>
      <sheetName val="KA4THJNUZL KB1 to HCS"/>
      <sheetName val="A-K研車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Submission Address"/>
      <sheetName val="DATA"/>
      <sheetName val="Vehicle Number"/>
      <sheetName val="EQﾏ､HQﾏ-GA18DE"/>
      <sheetName val="Vehicle_Number"/>
      <sheetName val="Submission_Address"/>
      <sheetName val="ELF"/>
      <sheetName val="New DYNA"/>
      <sheetName val="作業要素"/>
      <sheetName val="選酋表"/>
      <sheetName val="_MISSION"/>
      <sheetName val="投資ﾘｽﾄ"/>
      <sheetName val="MH"/>
      <sheetName val="Sheet1"/>
      <sheetName val="C3_N DC改造投資"/>
      <sheetName val="Annual Production"/>
      <sheetName val="PJN"/>
      <sheetName val="I190 Requirement _ CGO"/>
      <sheetName val="I190 Requirement _ NGR"/>
      <sheetName val="fs0708"/>
      <sheetName val="FS0408"/>
      <sheetName val="FS0508"/>
      <sheetName val="FS0608"/>
      <sheetName val="Annual_Production"/>
      <sheetName val="I190_Requirement___CGO"/>
      <sheetName val="I190_Requirement___NGR"/>
      <sheetName val="項目別投資工数-P1"/>
      <sheetName val="98 Price Nego(Dec Price)"/>
      <sheetName val="工数比較２"/>
      <sheetName val="SPEC LIST"/>
      <sheetName val="Unit Price"/>
      <sheetName val="生産台数内訳"/>
      <sheetName val="クライテリア"/>
      <sheetName val="346Proj日程991124"/>
      <sheetName val="NEW003"/>
      <sheetName val="HärQ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(旧)LIST"/>
      <sheetName val="00-1"/>
      <sheetName val="ENG油洩れ"/>
      <sheetName val="A"/>
      <sheetName val="_B007"/>
      <sheetName val="神奈川生産部"/>
      <sheetName val="PT1"/>
      <sheetName val="A-K研車型"/>
      <sheetName val="【資料】730改造投資"/>
      <sheetName val="NCeA"/>
      <sheetName val="Wv?"/>
      <sheetName val="ISO_250"/>
      <sheetName val="Karyawan"/>
      <sheetName val="1-C,D"/>
      <sheetName val="BUD05_ISU"/>
      <sheetName val="Vehicle_Number1"/>
      <sheetName val="Submission_Address1"/>
      <sheetName val="New_DYNA"/>
      <sheetName val="C3_N_DC改造投資"/>
      <sheetName val="Annual_Production1"/>
      <sheetName val="I190_Requirement___CGO1"/>
      <sheetName val="I190_Requirement___NGR1"/>
      <sheetName val="98_Price_Nego(Dec_Price)"/>
      <sheetName val="SPEC_LIST"/>
      <sheetName val="Unit_Price"/>
      <sheetName val="Report_for_CCD-Dec_05"/>
      <sheetName val="00年9月"/>
      <sheetName val="3.NewCapEx"/>
      <sheetName val="PnL_BUD06"/>
      <sheetName val="PnL_2006 LE"/>
      <sheetName val="FixedAsset05&amp;06"/>
      <sheetName val="Cover"/>
      <sheetName val="Submission_Address2"/>
      <sheetName val="Vehicle_Number2"/>
      <sheetName val="New_DYNA1"/>
      <sheetName val="C3_N_DC改造投資1"/>
      <sheetName val="Annual_Production2"/>
      <sheetName val="I190_Requirement___CGO2"/>
      <sheetName val="I190_Requirement___NGR2"/>
      <sheetName val="98_Price_Nego(Dec_Price)1"/>
      <sheetName val="SPEC_LIST1"/>
      <sheetName val="Unit_Price1"/>
      <sheetName val="Report_for_CCD-Dec_051"/>
      <sheetName val="Submission_Address3"/>
      <sheetName val="Vehicle_Number3"/>
      <sheetName val="New_DYNA2"/>
      <sheetName val="C3_N_DC改造投資2"/>
      <sheetName val="Annual_Production3"/>
      <sheetName val="I190_Requirement___CGO3"/>
      <sheetName val="I190_Requirement___NGR3"/>
      <sheetName val="98_Price_Nego(Dec_Price)2"/>
      <sheetName val="SPEC_LIST2"/>
      <sheetName val="Unit_Price2"/>
      <sheetName val="Report_for_CCD-Dec_052"/>
      <sheetName val="rout4"/>
      <sheetName val="Wv_"/>
      <sheetName val="96期(川崎)"/>
      <sheetName val="REVENUE"/>
      <sheetName val="SUM14ZC1"/>
      <sheetName val="Parameters"/>
      <sheetName val="COST"/>
      <sheetName val="Vehicle_Number4"/>
      <sheetName val="Submission_Address4"/>
      <sheetName val="New_DYNA3"/>
      <sheetName val="C3_N_DC改造投資3"/>
      <sheetName val="Annual_Production4"/>
      <sheetName val="I190_Requirement___CGO4"/>
      <sheetName val="I190_Requirement___NGR4"/>
      <sheetName val="98_Price_Nego(Dec_Price)3"/>
      <sheetName val="SPEC_LIST3"/>
      <sheetName val="Unit_Price3"/>
      <sheetName val="Report_for_CCD-Dec_053"/>
      <sheetName val="3_NewCapEx"/>
      <sheetName val="PnL_2006_LE"/>
      <sheetName val="Vehicle_Number5"/>
      <sheetName val="Submission_Address5"/>
      <sheetName val="New_DYNA4"/>
      <sheetName val="C3_N_DC改造投資4"/>
      <sheetName val="Annual_Production5"/>
      <sheetName val="I190_Requirement___CGO5"/>
      <sheetName val="I190_Requirement___NGR5"/>
      <sheetName val="98_Price_Nego(Dec_Price)4"/>
      <sheetName val="SPEC_LIST4"/>
      <sheetName val="Unit_Price4"/>
      <sheetName val="Report_for_CCD-Dec_054"/>
      <sheetName val="3_NewCapEx1"/>
      <sheetName val="PnL_2006_LE1"/>
      <sheetName val="Vehicle_Number6"/>
      <sheetName val="Submission_Address6"/>
      <sheetName val="New_DYNA5"/>
      <sheetName val="C3_N_DC改造投資5"/>
      <sheetName val="Annual_Production6"/>
      <sheetName val="I190_Requirement___CGO6"/>
      <sheetName val="I190_Requirement___NGR6"/>
      <sheetName val="98_Price_Nego(Dec_Price)5"/>
      <sheetName val="SPEC_LIST5"/>
      <sheetName val="Unit_Price5"/>
      <sheetName val="Report_for_CCD-Dec_055"/>
      <sheetName val="3_NewCapEx2"/>
      <sheetName val="PnL_2006_LE2"/>
      <sheetName val="Vehicle_Number7"/>
      <sheetName val="Submission_Address7"/>
      <sheetName val="New_DYNA6"/>
      <sheetName val="C3_N_DC改造投資6"/>
      <sheetName val="Annual_Production7"/>
      <sheetName val="I190_Requirement___CGO7"/>
      <sheetName val="I190_Requirement___NGR7"/>
      <sheetName val="98_Price_Nego(Dec_Price)6"/>
      <sheetName val="SPEC_LIST6"/>
      <sheetName val="Unit_Price6"/>
      <sheetName val="Report_for_CCD-Dec_056"/>
      <sheetName val="3_NewCapEx3"/>
      <sheetName val="PnL_2006_LE3"/>
      <sheetName val="Vehicle_Number8"/>
      <sheetName val="Submission_Address8"/>
      <sheetName val="New_DYNA7"/>
      <sheetName val="C3_N_DC改造投資7"/>
      <sheetName val="Annual_Production8"/>
      <sheetName val="I190_Requirement___CGO8"/>
      <sheetName val="I190_Requirement___NGR8"/>
      <sheetName val="98_Price_Nego(Dec_Price)7"/>
      <sheetName val="SPEC_LIST7"/>
      <sheetName val="Unit_Price7"/>
      <sheetName val="Report_for_CCD-Dec_057"/>
      <sheetName val="3_NewCapEx4"/>
      <sheetName val="PnL_2006_LE4"/>
      <sheetName val="Vehicle_Number11"/>
      <sheetName val="Submission_Address11"/>
      <sheetName val="New_DYNA10"/>
      <sheetName val="C3_N_DC改造投資10"/>
      <sheetName val="Annual_Production11"/>
      <sheetName val="I190_Requirement___CGO11"/>
      <sheetName val="I190_Requirement___NGR11"/>
      <sheetName val="98_Price_Nego(Dec_Price)10"/>
      <sheetName val="SPEC_LIST10"/>
      <sheetName val="Unit_Price10"/>
      <sheetName val="Report_for_CCD-Dec_0510"/>
      <sheetName val="3_NewCapEx7"/>
      <sheetName val="PnL_2006_LE7"/>
      <sheetName val="Vehicle_Number9"/>
      <sheetName val="Submission_Address9"/>
      <sheetName val="New_DYNA8"/>
      <sheetName val="C3_N_DC改造投資8"/>
      <sheetName val="Annual_Production9"/>
      <sheetName val="I190_Requirement___CGO9"/>
      <sheetName val="I190_Requirement___NGR9"/>
      <sheetName val="98_Price_Nego(Dec_Price)8"/>
      <sheetName val="SPEC_LIST8"/>
      <sheetName val="Unit_Price8"/>
      <sheetName val="Report_for_CCD-Dec_058"/>
      <sheetName val="3_NewCapEx5"/>
      <sheetName val="PnL_2006_LE5"/>
      <sheetName val="Vehicle_Number10"/>
      <sheetName val="Submission_Address10"/>
      <sheetName val="New_DYNA9"/>
      <sheetName val="C3_N_DC改造投資9"/>
      <sheetName val="Annual_Production10"/>
      <sheetName val="I190_Requirement___CGO10"/>
      <sheetName val="I190_Requirement___NGR10"/>
      <sheetName val="98_Price_Nego(Dec_Price)9"/>
      <sheetName val="SPEC_LIST9"/>
      <sheetName val="Unit_Price9"/>
      <sheetName val="Report_for_CCD-Dec_059"/>
      <sheetName val="3_NewCapEx6"/>
      <sheetName val="PnL_2006_LE6"/>
      <sheetName val="Vehicle_Number12"/>
      <sheetName val="Submission_Address12"/>
      <sheetName val="New_DYNA11"/>
      <sheetName val="C3_N_DC改造投資11"/>
      <sheetName val="Annual_Production12"/>
      <sheetName val="I190_Requirement___CGO12"/>
      <sheetName val="I190_Requirement___NGR12"/>
      <sheetName val="98_Price_Nego(Dec_Price)11"/>
      <sheetName val="SPEC_LIST11"/>
      <sheetName val="Unit_Price11"/>
      <sheetName val="Report_for_CCD-Dec_0511"/>
      <sheetName val="3_NewCapEx8"/>
      <sheetName val="PnL_2006_LE8"/>
      <sheetName val="Vehicle_Number13"/>
      <sheetName val="Submission_Address13"/>
      <sheetName val="New_DYNA12"/>
      <sheetName val="C3_N_DC改造投資12"/>
      <sheetName val="Annual_Production13"/>
      <sheetName val="I190_Requirement___CGO13"/>
      <sheetName val="I190_Requirement___NGR13"/>
      <sheetName val="98_Price_Nego(Dec_Price)12"/>
      <sheetName val="SPEC_LIST12"/>
      <sheetName val="Unit_Price12"/>
      <sheetName val="Report_for_CCD-Dec_0512"/>
      <sheetName val="3_NewCapEx9"/>
      <sheetName val="PnL_2006_LE9"/>
      <sheetName val="Vehicle_Number14"/>
      <sheetName val="Submission_Address14"/>
      <sheetName val="New_DYNA13"/>
      <sheetName val="C3_N_DC改造投資13"/>
      <sheetName val="Annual_Production14"/>
      <sheetName val="I190_Requirement___CGO14"/>
      <sheetName val="I190_Requirement___NGR14"/>
      <sheetName val="98_Price_Nego(Dec_Price)13"/>
      <sheetName val="SPEC_LIST13"/>
      <sheetName val="Unit_Price13"/>
      <sheetName val="Report_for_CCD-Dec_0513"/>
      <sheetName val="3_NewCapEx10"/>
      <sheetName val="PnL_2006_LE10"/>
      <sheetName val="Vehicle_Number15"/>
      <sheetName val="Submission_Address15"/>
      <sheetName val="New_DYNA14"/>
      <sheetName val="C3_N_DC改造投資14"/>
      <sheetName val="Annual_Production15"/>
      <sheetName val="I190_Requirement___CGO15"/>
      <sheetName val="I190_Requirement___NGR15"/>
      <sheetName val="98_Price_Nego(Dec_Price)14"/>
      <sheetName val="SPEC_LIST14"/>
      <sheetName val="Unit_Price14"/>
      <sheetName val="Report_for_CCD-Dec_0514"/>
      <sheetName val="3_NewCapEx11"/>
      <sheetName val="PnL_2006_LE11"/>
      <sheetName val="Vehicle_Number16"/>
      <sheetName val="Submission_Address16"/>
      <sheetName val="New_DYNA15"/>
      <sheetName val="C3_N_DC改造投資15"/>
      <sheetName val="Annual_Production16"/>
      <sheetName val="I190_Requirement___CGO16"/>
      <sheetName val="I190_Requirement___NGR16"/>
      <sheetName val="98_Price_Nego(Dec_Price)15"/>
      <sheetName val="SPEC_LIST15"/>
      <sheetName val="Unit_Price15"/>
      <sheetName val="Report_for_CCD-Dec_0515"/>
      <sheetName val="3_NewCapEx12"/>
      <sheetName val="PnL_2006_LE12"/>
      <sheetName val="SCH"/>
      <sheetName val="Ma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ual Sales"/>
      <sheetName val="Production Pivot"/>
      <sheetName val="Production"/>
      <sheetName val="Sales Pivot"/>
      <sheetName val="BUD05_ISU"/>
      <sheetName val="Annual Production"/>
      <sheetName val="2TUP"/>
      <sheetName val="ELF"/>
      <sheetName val="New DYNA"/>
      <sheetName val="作業要素"/>
      <sheetName val="_B007"/>
      <sheetName val="Vehicle Number"/>
      <sheetName val="投資ﾘｽﾄ"/>
      <sheetName val="結果"/>
      <sheetName val="ISO_250"/>
      <sheetName val="NCAB"/>
      <sheetName val="Annual_Sales"/>
      <sheetName val="Production_Pivot"/>
      <sheetName val="Sales_Pivot"/>
      <sheetName val="TIS"/>
      <sheetName val="ENG油洩れ"/>
      <sheetName val="PSM"/>
      <sheetName val="SVASM"/>
      <sheetName val="ライン別負荷"/>
      <sheetName val="計画表"/>
      <sheetName val="SV単品"/>
      <sheetName val="日当表"/>
      <sheetName val="工数比較２"/>
      <sheetName val="CIPA"/>
      <sheetName val="RT50 Frame Part list"/>
      <sheetName val="Wvð"/>
      <sheetName val="G&amp;A"/>
      <sheetName val="SMALL"/>
      <sheetName val="Data"/>
      <sheetName val="05-2"/>
      <sheetName val="ALineLossTimeDetails 07"/>
      <sheetName val="Unit Price 96"/>
      <sheetName val="CORONA"/>
      <sheetName val="KIJANG"/>
      <sheetName val="DETAIL "/>
      <sheetName val="CPFReportTestData"/>
      <sheetName val="Annual_Sales3"/>
      <sheetName val="Production_Pivot3"/>
      <sheetName val="Sales_Pivot3"/>
      <sheetName val="Annual_Production2"/>
      <sheetName val="New_DYNA2"/>
      <sheetName val="Vehicle_Number2"/>
      <sheetName val="RT50_Frame_Part_list2"/>
      <sheetName val="ALineLossTimeDetails_072"/>
      <sheetName val="Unit_Price_962"/>
      <sheetName val="DETAIL_2"/>
      <sheetName val="Annual_Sales1"/>
      <sheetName val="Production_Pivot1"/>
      <sheetName val="Sales_Pivot1"/>
      <sheetName val="Annual_Production"/>
      <sheetName val="New_DYNA"/>
      <sheetName val="Vehicle_Number"/>
      <sheetName val="RT50_Frame_Part_list"/>
      <sheetName val="ALineLossTimeDetails_07"/>
      <sheetName val="Unit_Price_96"/>
      <sheetName val="DETAIL_"/>
      <sheetName val="Annual_Sales2"/>
      <sheetName val="Production_Pivot2"/>
      <sheetName val="Sales_Pivot2"/>
      <sheetName val="Annual_Production1"/>
      <sheetName val="New_DYNA1"/>
      <sheetName val="Vehicle_Number1"/>
      <sheetName val="RT50_Frame_Part_list1"/>
      <sheetName val="ALineLossTimeDetails_071"/>
      <sheetName val="Unit_Price_961"/>
      <sheetName val="DETAIL_1"/>
      <sheetName val="Annual_Sales9"/>
      <sheetName val="Production_Pivot9"/>
      <sheetName val="Sales_Pivot9"/>
      <sheetName val="Annual_Production8"/>
      <sheetName val="New_DYNA8"/>
      <sheetName val="Vehicle_Number8"/>
      <sheetName val="RT50_Frame_Part_list8"/>
      <sheetName val="ALineLossTimeDetails_078"/>
      <sheetName val="Unit_Price_968"/>
      <sheetName val="DETAIL_8"/>
      <sheetName val="Annual_Sales8"/>
      <sheetName val="Production_Pivot8"/>
      <sheetName val="Sales_Pivot8"/>
      <sheetName val="Annual_Production7"/>
      <sheetName val="New_DYNA7"/>
      <sheetName val="Vehicle_Number7"/>
      <sheetName val="RT50_Frame_Part_list7"/>
      <sheetName val="ALineLossTimeDetails_077"/>
      <sheetName val="Unit_Price_967"/>
      <sheetName val="DETAIL_7"/>
      <sheetName val="Annual_Sales6"/>
      <sheetName val="Production_Pivot6"/>
      <sheetName val="Sales_Pivot6"/>
      <sheetName val="Annual_Production5"/>
      <sheetName val="New_DYNA5"/>
      <sheetName val="Vehicle_Number5"/>
      <sheetName val="RT50_Frame_Part_list5"/>
      <sheetName val="ALineLossTimeDetails_075"/>
      <sheetName val="Unit_Price_965"/>
      <sheetName val="DETAIL_5"/>
      <sheetName val="Annual_Sales4"/>
      <sheetName val="Production_Pivot4"/>
      <sheetName val="Sales_Pivot4"/>
      <sheetName val="Annual_Production3"/>
      <sheetName val="New_DYNA3"/>
      <sheetName val="Vehicle_Number3"/>
      <sheetName val="RT50_Frame_Part_list3"/>
      <sheetName val="ALineLossTimeDetails_073"/>
      <sheetName val="Unit_Price_963"/>
      <sheetName val="DETAIL_3"/>
      <sheetName val="Annual_Sales5"/>
      <sheetName val="Production_Pivot5"/>
      <sheetName val="Sales_Pivot5"/>
      <sheetName val="Annual_Production4"/>
      <sheetName val="New_DYNA4"/>
      <sheetName val="Vehicle_Number4"/>
      <sheetName val="RT50_Frame_Part_list4"/>
      <sheetName val="ALineLossTimeDetails_074"/>
      <sheetName val="Unit_Price_964"/>
      <sheetName val="DETAIL_4"/>
      <sheetName val="Annual_Sales7"/>
      <sheetName val="Production_Pivot7"/>
      <sheetName val="Sales_Pivot7"/>
      <sheetName val="Annual_Production6"/>
      <sheetName val="New_DYNA6"/>
      <sheetName val="Vehicle_Number6"/>
      <sheetName val="RT50_Frame_Part_list6"/>
      <sheetName val="ALineLossTimeDetails_076"/>
      <sheetName val="Unit_Price_966"/>
      <sheetName val="DETAIL_6"/>
      <sheetName val="Annual_Sales10"/>
      <sheetName val="Production_Pivot10"/>
      <sheetName val="Sales_Pivot10"/>
      <sheetName val="Annual_Production9"/>
      <sheetName val="New_DYNA9"/>
      <sheetName val="Vehicle_Number9"/>
      <sheetName val="RT50_Frame_Part_list9"/>
      <sheetName val="ALineLossTimeDetails_079"/>
      <sheetName val="Unit_Price_969"/>
      <sheetName val="DETAIL_9"/>
      <sheetName val="Annual_Sales11"/>
      <sheetName val="Production_Pivot11"/>
      <sheetName val="Sales_Pivot11"/>
      <sheetName val="Annual_Production10"/>
      <sheetName val="New_DYNA10"/>
      <sheetName val="Vehicle_Number10"/>
      <sheetName val="RT50_Frame_Part_list10"/>
      <sheetName val="ALineLossTimeDetails_0710"/>
      <sheetName val="Unit_Price_9610"/>
      <sheetName val="DETAIL_10"/>
      <sheetName val="rout4"/>
      <sheetName val="Annual_Sales12"/>
      <sheetName val="Production_Pivot12"/>
      <sheetName val="Sales_Pivot12"/>
      <sheetName val="Annual_Production11"/>
      <sheetName val="New_DYNA11"/>
      <sheetName val="Vehicle_Number11"/>
      <sheetName val="RT50_Frame_Part_list11"/>
      <sheetName val="ALineLossTimeDetails_0711"/>
      <sheetName val="Unit_Price_9611"/>
      <sheetName val="DETAIL_11"/>
      <sheetName val="PROFILE"/>
      <sheetName val="NCe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ment Definitions"/>
      <sheetName val="Annual Sales"/>
      <sheetName val="pivot"/>
      <sheetName val="pivot (2)"/>
      <sheetName val="pivot (3)"/>
      <sheetName val="Annual Sales (2)"/>
      <sheetName val="VlookupTable"/>
      <sheetName val="Production Database 399"/>
      <sheetName val="Segment_Definitions"/>
      <sheetName val="Annual_Sales"/>
      <sheetName val="pivot_(2)"/>
      <sheetName val="pivot_(3)"/>
      <sheetName val="Annual_Sales_(2)"/>
      <sheetName val="Production_Database_399"/>
      <sheetName val="Production"/>
      <sheetName val="資料_700部品点数設定"/>
      <sheetName val="133NPR55 69 EC"/>
      <sheetName val="Annual Production"/>
      <sheetName val="計算結果"/>
      <sheetName val="Vehicle Number"/>
      <sheetName val="2TUP"/>
      <sheetName val="Segment_Definitions1"/>
      <sheetName val="Annual_Sales1"/>
      <sheetName val="pivot_(2)1"/>
      <sheetName val="pivot_(3)1"/>
      <sheetName val="Annual_Sales_(2)1"/>
      <sheetName val="Production_Database_3991"/>
      <sheetName val="133NPR55_69_EC"/>
      <sheetName val="Annual_Production"/>
      <sheetName val="Vehicle_Number"/>
      <sheetName val="Compare"/>
      <sheetName val="ENG油洩れ"/>
      <sheetName val="ELF"/>
      <sheetName val="作業要素"/>
      <sheetName val="New DYNA"/>
      <sheetName val="PSM"/>
      <sheetName val="SVASM"/>
      <sheetName val="ライン別負荷"/>
      <sheetName val="計画表"/>
      <sheetName val="SV単品"/>
      <sheetName val="日当表"/>
      <sheetName val="投資ﾘｽﾄ"/>
      <sheetName val="ｴｱﾃﾞｨｽｸ"/>
      <sheetName val="G Van - Price Build up"/>
      <sheetName val="NEW003"/>
      <sheetName val="_B007"/>
      <sheetName val="SMALL"/>
      <sheetName val="A-K研車型"/>
      <sheetName val="?????"/>
      <sheetName val="Unit Price 96"/>
      <sheetName val="CORONA"/>
      <sheetName val="KIJANG"/>
      <sheetName val="Sim-UC3"/>
      <sheetName val="SPG"/>
      <sheetName val="HDD"/>
      <sheetName val="1-C,D"/>
      <sheetName val="SPEC LIST"/>
      <sheetName val="total change&amp;add"/>
      <sheetName val="_____"/>
      <sheetName val="Segment_Definitions2"/>
      <sheetName val="Annual_Sales2"/>
      <sheetName val="pivot_(2)2"/>
      <sheetName val="pivot_(3)2"/>
      <sheetName val="Annual_Sales_(2)2"/>
      <sheetName val="Production_Database_3992"/>
      <sheetName val="133NPR55_69_EC1"/>
      <sheetName val="Annual_Production1"/>
      <sheetName val="Vehicle_Number1"/>
      <sheetName val="New_DYNA"/>
      <sheetName val="Unit_Price_96"/>
      <sheetName val="G_Van_-_Price_Build_up"/>
      <sheetName val="InputCurrent"/>
      <sheetName val="選酋表"/>
      <sheetName val="ISO_250"/>
      <sheetName val="G&amp;A"/>
      <sheetName val="条件"/>
      <sheetName val="プリモ_S0"/>
      <sheetName val="プリモ_S1"/>
      <sheetName val="プリモ_S2"/>
      <sheetName val="プリモ_S3"/>
      <sheetName val="CPFReportTestData"/>
      <sheetName val="BRACKET"/>
      <sheetName val="Segment_Definitions3"/>
      <sheetName val="Annual_Sales3"/>
      <sheetName val="pivot_(2)3"/>
      <sheetName val="pivot_(3)3"/>
      <sheetName val="Annual_Sales_(2)3"/>
      <sheetName val="Production_Database_3993"/>
      <sheetName val="133NPR55_69_EC2"/>
      <sheetName val="Annual_Production2"/>
      <sheetName val="Vehicle_Number2"/>
      <sheetName val="New_DYNA1"/>
      <sheetName val="G_Van_-_Price_Build_up1"/>
      <sheetName val="Unit_Price_961"/>
      <sheetName val="SPEC_LIST"/>
      <sheetName val="total_change&amp;add"/>
      <sheetName val="Segment_Definitions4"/>
      <sheetName val="Annual_Sales4"/>
      <sheetName val="pivot_(2)4"/>
      <sheetName val="pivot_(3)4"/>
      <sheetName val="Annual_Sales_(2)4"/>
      <sheetName val="Production_Database_3994"/>
      <sheetName val="133NPR55_69_EC3"/>
      <sheetName val="Annual_Production3"/>
      <sheetName val="Vehicle_Number3"/>
      <sheetName val="New_DYNA2"/>
      <sheetName val="G_Van_-_Price_Build_up2"/>
      <sheetName val="Unit_Price_962"/>
      <sheetName val="SPEC_LIST1"/>
      <sheetName val="total_change&amp;add1"/>
      <sheetName val="1-A､B"/>
      <sheetName val="2-A､B 3-A"/>
      <sheetName val="CIPA"/>
      <sheetName val="KK Rev.1"/>
      <sheetName val="メーカー検索"/>
      <sheetName val="Segment_Definitions5"/>
      <sheetName val="Annual_Sales5"/>
      <sheetName val="pivot_(2)5"/>
      <sheetName val="pivot_(3)5"/>
      <sheetName val="Annual_Sales_(2)5"/>
      <sheetName val="Production_Database_3995"/>
      <sheetName val="133NPR55_69_EC4"/>
      <sheetName val="Annual_Production4"/>
      <sheetName val="Vehicle_Number4"/>
      <sheetName val="New_DYNA3"/>
      <sheetName val="G_Van_-_Price_Build_up3"/>
      <sheetName val="Unit_Price_963"/>
      <sheetName val="SPEC_LIST2"/>
      <sheetName val="total_change&amp;add2"/>
      <sheetName val="Segment_Definitions6"/>
      <sheetName val="Annual_Sales6"/>
      <sheetName val="pivot_(2)6"/>
      <sheetName val="pivot_(3)6"/>
      <sheetName val="Annual_Sales_(2)6"/>
      <sheetName val="Production_Database_3996"/>
      <sheetName val="133NPR55_69_EC5"/>
      <sheetName val="Annual_Production5"/>
      <sheetName val="Vehicle_Number5"/>
      <sheetName val="New_DYNA4"/>
      <sheetName val="G_Van_-_Price_Build_up4"/>
      <sheetName val="Unit_Price_964"/>
      <sheetName val="SPEC_LIST3"/>
      <sheetName val="total_change&amp;add3"/>
      <sheetName val="Segment_Definitions7"/>
      <sheetName val="Annual_Sales7"/>
      <sheetName val="pivot_(2)7"/>
      <sheetName val="pivot_(3)7"/>
      <sheetName val="Annual_Sales_(2)7"/>
      <sheetName val="Production_Database_3997"/>
      <sheetName val="133NPR55_69_EC6"/>
      <sheetName val="Annual_Production6"/>
      <sheetName val="Vehicle_Number6"/>
      <sheetName val="New_DYNA5"/>
      <sheetName val="G_Van_-_Price_Build_up5"/>
      <sheetName val="Unit_Price_965"/>
      <sheetName val="SPEC_LIST4"/>
      <sheetName val="total_change&amp;add4"/>
      <sheetName val="Segment_Definitions8"/>
      <sheetName val="Annual_Sales8"/>
      <sheetName val="pivot_(2)8"/>
      <sheetName val="pivot_(3)8"/>
      <sheetName val="Annual_Sales_(2)8"/>
      <sheetName val="Production_Database_3998"/>
      <sheetName val="133NPR55_69_EC7"/>
      <sheetName val="Annual_Production7"/>
      <sheetName val="Vehicle_Number7"/>
      <sheetName val="New_DYNA6"/>
      <sheetName val="G_Van_-_Price_Build_up6"/>
      <sheetName val="Unit_Price_966"/>
      <sheetName val="SPEC_LIST5"/>
      <sheetName val="total_change&amp;add5"/>
      <sheetName val="Segment_Definitions9"/>
      <sheetName val="Annual_Sales9"/>
      <sheetName val="pivot_(2)9"/>
      <sheetName val="pivot_(3)9"/>
      <sheetName val="Annual_Sales_(2)9"/>
      <sheetName val="Production_Database_3999"/>
      <sheetName val="133NPR55_69_EC8"/>
      <sheetName val="Annual_Production8"/>
      <sheetName val="Vehicle_Number8"/>
      <sheetName val="New_DYNA7"/>
      <sheetName val="G_Van_-_Price_Build_up7"/>
      <sheetName val="Unit_Price_967"/>
      <sheetName val="SPEC_LIST6"/>
      <sheetName val="total_change&amp;add6"/>
      <sheetName val="Segment_Definitions12"/>
      <sheetName val="Annual_Sales12"/>
      <sheetName val="pivot_(2)12"/>
      <sheetName val="pivot_(3)12"/>
      <sheetName val="Annual_Sales_(2)12"/>
      <sheetName val="Production_Database_39912"/>
      <sheetName val="133NPR55_69_EC11"/>
      <sheetName val="Annual_Production11"/>
      <sheetName val="Vehicle_Number11"/>
      <sheetName val="New_DYNA10"/>
      <sheetName val="G_Van_-_Price_Build_up10"/>
      <sheetName val="Unit_Price_9610"/>
      <sheetName val="SPEC_LIST9"/>
      <sheetName val="total_change&amp;add9"/>
      <sheetName val="Segment_Definitions10"/>
      <sheetName val="Annual_Sales10"/>
      <sheetName val="pivot_(2)10"/>
      <sheetName val="pivot_(3)10"/>
      <sheetName val="Annual_Sales_(2)10"/>
      <sheetName val="Production_Database_39910"/>
      <sheetName val="133NPR55_69_EC9"/>
      <sheetName val="Annual_Production9"/>
      <sheetName val="Vehicle_Number9"/>
      <sheetName val="New_DYNA8"/>
      <sheetName val="G_Van_-_Price_Build_up8"/>
      <sheetName val="Unit_Price_968"/>
      <sheetName val="SPEC_LIST7"/>
      <sheetName val="total_change&amp;add7"/>
      <sheetName val="Segment_Definitions11"/>
      <sheetName val="Annual_Sales11"/>
      <sheetName val="pivot_(2)11"/>
      <sheetName val="pivot_(3)11"/>
      <sheetName val="Annual_Sales_(2)11"/>
      <sheetName val="Production_Database_39911"/>
      <sheetName val="133NPR55_69_EC10"/>
      <sheetName val="Annual_Production10"/>
      <sheetName val="Vehicle_Number10"/>
      <sheetName val="New_DYNA9"/>
      <sheetName val="G_Van_-_Price_Build_up9"/>
      <sheetName val="Unit_Price_969"/>
      <sheetName val="SPEC_LIST8"/>
      <sheetName val="total_change&amp;add8"/>
      <sheetName val="Segment_Definitions13"/>
      <sheetName val="Annual_Sales13"/>
      <sheetName val="pivot_(2)13"/>
      <sheetName val="pivot_(3)13"/>
      <sheetName val="Annual_Sales_(2)13"/>
      <sheetName val="Production_Database_39913"/>
      <sheetName val="133NPR55_69_EC12"/>
      <sheetName val="Annual_Production12"/>
      <sheetName val="Vehicle_Number12"/>
      <sheetName val="New_DYNA11"/>
      <sheetName val="G_Van_-_Price_Build_up11"/>
      <sheetName val="Unit_Price_9611"/>
      <sheetName val="SPEC_LIST10"/>
      <sheetName val="total_change&amp;add10"/>
      <sheetName val="KK_Rev_1"/>
      <sheetName val="2-A､B_3-A"/>
      <sheetName val="Segment_Definitions14"/>
      <sheetName val="Annual_Sales14"/>
      <sheetName val="pivot_(2)14"/>
      <sheetName val="pivot_(3)14"/>
      <sheetName val="Annual_Sales_(2)14"/>
      <sheetName val="Production_Database_39914"/>
      <sheetName val="133NPR55_69_EC13"/>
      <sheetName val="Annual_Production13"/>
      <sheetName val="Vehicle_Number13"/>
      <sheetName val="New_DYNA12"/>
      <sheetName val="G_Van_-_Price_Build_up12"/>
      <sheetName val="Unit_Price_9612"/>
      <sheetName val="SPEC_LIST11"/>
      <sheetName val="total_change&amp;add11"/>
      <sheetName val="KK_Rev_11"/>
      <sheetName val="2-A､B_3-A1"/>
      <sheetName val="Segment_Definitions15"/>
      <sheetName val="Annual_Sales15"/>
      <sheetName val="pivot_(2)15"/>
      <sheetName val="pivot_(3)15"/>
      <sheetName val="Annual_Sales_(2)15"/>
      <sheetName val="Production_Database_39915"/>
      <sheetName val="133NPR55_69_EC14"/>
      <sheetName val="Annual_Production14"/>
      <sheetName val="Vehicle_Number14"/>
      <sheetName val="New_DYNA13"/>
      <sheetName val="G_Van_-_Price_Build_up13"/>
      <sheetName val="Unit_Price_9613"/>
      <sheetName val="SPEC_LIST12"/>
      <sheetName val="total_change&amp;add12"/>
      <sheetName val="KK_Rev_12"/>
      <sheetName val="2-A､B_3-A2"/>
      <sheetName val="96_97・究”?_‘S‘?"/>
      <sheetName val="Segment_Definitions16"/>
      <sheetName val="Annual_Sales16"/>
      <sheetName val="pivot_(2)16"/>
      <sheetName val="pivot_(3)16"/>
      <sheetName val="Annual_Sales_(2)16"/>
      <sheetName val="Production_Database_39916"/>
      <sheetName val="133NPR55_69_EC15"/>
      <sheetName val="Annual_Production15"/>
      <sheetName val="Vehicle_Number15"/>
      <sheetName val="New_DYNA14"/>
      <sheetName val="G_Van_-_Price_Build_up14"/>
      <sheetName val="Unit_Price_9614"/>
      <sheetName val="SPEC_LIST13"/>
      <sheetName val="total_change&amp;add13"/>
      <sheetName val="KK_Rev_13"/>
      <sheetName val="2-A､B_3-A3"/>
      <sheetName val="rout4"/>
      <sheetName val="universal"/>
      <sheetName val="Segment_Definitions17"/>
      <sheetName val="Annual_Sales17"/>
      <sheetName val="pivot_(2)17"/>
      <sheetName val="pivot_(3)17"/>
      <sheetName val="Annual_Sales_(2)17"/>
      <sheetName val="Production_Database_39917"/>
      <sheetName val="133NPR55_69_EC16"/>
      <sheetName val="Annual_Production16"/>
      <sheetName val="Vehicle_Number16"/>
      <sheetName val="New_DYNA15"/>
      <sheetName val="G_Van_-_Price_Build_up15"/>
      <sheetName val="Unit_Price_9615"/>
      <sheetName val="SPEC_LIST14"/>
      <sheetName val="total_change&amp;add14"/>
      <sheetName val="KK_Rev_14"/>
      <sheetName val="2-A､B_3-A4"/>
      <sheetName val="名簿データ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nnual Sales"/>
      <sheetName val="Annual Production"/>
      <sheetName val="Sales Pivot"/>
      <sheetName val="Production Pivot"/>
      <sheetName val="Annual_Sales"/>
      <sheetName val="Annual_Production"/>
      <sheetName val="Sales_Pivot"/>
      <sheetName val="Production_Pivot"/>
      <sheetName val="Production"/>
      <sheetName val="Annual_Sales1"/>
      <sheetName val="Annual_Production1"/>
      <sheetName val="Sales_Pivot1"/>
      <sheetName val="Production_Pivot1"/>
      <sheetName val="Vehicle Number"/>
      <sheetName val="投資ﾘｽﾄ"/>
      <sheetName val="3.NewCapEx"/>
      <sheetName val="PnL_BUD06"/>
      <sheetName val="PnL_2006 LE"/>
      <sheetName val="FixedAsset05&amp;06"/>
      <sheetName val="Cover"/>
      <sheetName val="?????"/>
      <sheetName val="Production Database 399"/>
      <sheetName val="2TUP"/>
      <sheetName val="ELF"/>
      <sheetName val="Submission Address"/>
      <sheetName val="DATA"/>
      <sheetName val="total change&amp;add"/>
      <sheetName val="DETAIL "/>
      <sheetName val="Annual_Sales2"/>
      <sheetName val="Annual_Production2"/>
      <sheetName val="Sales_Pivot2"/>
      <sheetName val="Production_Pivot2"/>
      <sheetName val="Vehicle_Number"/>
      <sheetName val="3_NewCapEx"/>
      <sheetName val="PnL_2006_LE"/>
      <sheetName val="Production_Database_399"/>
      <sheetName val="Submission_Address"/>
      <sheetName val="total_change&amp;add"/>
      <sheetName val="結果"/>
      <sheetName val="作業要素"/>
      <sheetName val="New DYNA"/>
      <sheetName val="133NPR55 69 EC"/>
      <sheetName val="PSM"/>
      <sheetName val="SVASM"/>
      <sheetName val="ライン別負荷"/>
      <sheetName val="計画表"/>
      <sheetName val="SV単品"/>
      <sheetName val="日当表"/>
      <sheetName val="SA Data 3q03 Oct.2003"/>
      <sheetName val="00年9月"/>
      <sheetName val="A3_フレーム"/>
      <sheetName val="A5_フレーム"/>
      <sheetName val="フレーム重心(UG測定)"/>
      <sheetName val="寸法"/>
      <sheetName val="Annual_Sales3"/>
      <sheetName val="Annual_Production3"/>
      <sheetName val="Sales_Pivot3"/>
      <sheetName val="Production_Pivot3"/>
      <sheetName val="Vehicle_Number1"/>
      <sheetName val="3_NewCapEx1"/>
      <sheetName val="PnL_2006_LE1"/>
      <sheetName val="Production_Database_3991"/>
      <sheetName val="Submission_Address1"/>
      <sheetName val="total_change&amp;add1"/>
      <sheetName val="DETAIL_"/>
      <sheetName val="New_DYNA"/>
      <sheetName val="133NPR55_69_EC"/>
      <sheetName val="Annual_Sales4"/>
      <sheetName val="Annual_Production4"/>
      <sheetName val="Sales_Pivot4"/>
      <sheetName val="Production_Pivot4"/>
      <sheetName val="Vehicle_Number2"/>
      <sheetName val="3_NewCapEx2"/>
      <sheetName val="PnL_2006_LE2"/>
      <sheetName val="Production_Database_3992"/>
      <sheetName val="Submission_Address2"/>
      <sheetName val="total_change&amp;add2"/>
      <sheetName val="DETAIL_1"/>
      <sheetName val="New_DYNA1"/>
      <sheetName val="133NPR55_69_EC1"/>
      <sheetName val="2005"/>
      <sheetName val="Annual_Sales5"/>
      <sheetName val="Annual_Production5"/>
      <sheetName val="Sales_Pivot5"/>
      <sheetName val="Production_Pivot5"/>
      <sheetName val="Vehicle_Number3"/>
      <sheetName val="3_NewCapEx3"/>
      <sheetName val="PnL_2006_LE3"/>
      <sheetName val="Production_Database_3993"/>
      <sheetName val="Submission_Address3"/>
      <sheetName val="total_change&amp;add3"/>
      <sheetName val="DETAIL_2"/>
      <sheetName val="New_DYNA2"/>
      <sheetName val="133NPR55_69_EC2"/>
      <sheetName val="SA_Data_3q03_Oct_2003"/>
      <sheetName val="Annual_Sales6"/>
      <sheetName val="Annual_Production6"/>
      <sheetName val="Sales_Pivot6"/>
      <sheetName val="Production_Pivot6"/>
      <sheetName val="Vehicle_Number4"/>
      <sheetName val="3_NewCapEx4"/>
      <sheetName val="PnL_2006_LE4"/>
      <sheetName val="Production_Database_3994"/>
      <sheetName val="Submission_Address4"/>
      <sheetName val="total_change&amp;add4"/>
      <sheetName val="DETAIL_3"/>
      <sheetName val="New_DYNA3"/>
      <sheetName val="133NPR55_69_EC3"/>
      <sheetName val="SA_Data_3q03_Oct_20031"/>
      <sheetName val="Annual_Sales7"/>
      <sheetName val="Annual_Production7"/>
      <sheetName val="Sales_Pivot7"/>
      <sheetName val="Production_Pivot7"/>
      <sheetName val="Vehicle_Number5"/>
      <sheetName val="3_NewCapEx5"/>
      <sheetName val="PnL_2006_LE5"/>
      <sheetName val="Production_Database_3995"/>
      <sheetName val="Submission_Address5"/>
      <sheetName val="total_change&amp;add5"/>
      <sheetName val="DETAIL_4"/>
      <sheetName val="New_DYNA4"/>
      <sheetName val="133NPR55_69_EC4"/>
      <sheetName val="SA_Data_3q03_Oct_20032"/>
      <sheetName val="Annual_Sales8"/>
      <sheetName val="Annual_Production8"/>
      <sheetName val="Sales_Pivot8"/>
      <sheetName val="Production_Pivot8"/>
      <sheetName val="Vehicle_Number6"/>
      <sheetName val="3_NewCapEx6"/>
      <sheetName val="PnL_2006_LE6"/>
      <sheetName val="Production_Database_3996"/>
      <sheetName val="Submission_Address6"/>
      <sheetName val="total_change&amp;add6"/>
      <sheetName val="DETAIL_5"/>
      <sheetName val="New_DYNA5"/>
      <sheetName val="133NPR55_69_EC5"/>
      <sheetName val="SA_Data_3q03_Oct_20033"/>
      <sheetName val="Annual_Sales9"/>
      <sheetName val="Annual_Production9"/>
      <sheetName val="Sales_Pivot9"/>
      <sheetName val="Production_Pivot9"/>
      <sheetName val="Vehicle_Number7"/>
      <sheetName val="3_NewCapEx7"/>
      <sheetName val="PnL_2006_LE7"/>
      <sheetName val="Production_Database_3997"/>
      <sheetName val="Submission_Address7"/>
      <sheetName val="total_change&amp;add7"/>
      <sheetName val="DETAIL_6"/>
      <sheetName val="New_DYNA6"/>
      <sheetName val="133NPR55_69_EC6"/>
      <sheetName val="SA_Data_3q03_Oct_20034"/>
      <sheetName val="Annual_Sales12"/>
      <sheetName val="Annual_Production12"/>
      <sheetName val="Sales_Pivot12"/>
      <sheetName val="Production_Pivot12"/>
      <sheetName val="Vehicle_Number10"/>
      <sheetName val="3_NewCapEx10"/>
      <sheetName val="PnL_2006_LE10"/>
      <sheetName val="Production_Database_39910"/>
      <sheetName val="Submission_Address10"/>
      <sheetName val="total_change&amp;add10"/>
      <sheetName val="DETAIL_9"/>
      <sheetName val="New_DYNA9"/>
      <sheetName val="133NPR55_69_EC9"/>
      <sheetName val="SA_Data_3q03_Oct_20037"/>
      <sheetName val="Annual_Sales10"/>
      <sheetName val="Annual_Production10"/>
      <sheetName val="Sales_Pivot10"/>
      <sheetName val="Production_Pivot10"/>
      <sheetName val="Vehicle_Number8"/>
      <sheetName val="3_NewCapEx8"/>
      <sheetName val="PnL_2006_LE8"/>
      <sheetName val="Production_Database_3998"/>
      <sheetName val="Submission_Address8"/>
      <sheetName val="total_change&amp;add8"/>
      <sheetName val="DETAIL_7"/>
      <sheetName val="New_DYNA7"/>
      <sheetName val="133NPR55_69_EC7"/>
      <sheetName val="SA_Data_3q03_Oct_20035"/>
      <sheetName val="Annual_Sales11"/>
      <sheetName val="Annual_Production11"/>
      <sheetName val="Sales_Pivot11"/>
      <sheetName val="Production_Pivot11"/>
      <sheetName val="Vehicle_Number9"/>
      <sheetName val="3_NewCapEx9"/>
      <sheetName val="PnL_2006_LE9"/>
      <sheetName val="Production_Database_3999"/>
      <sheetName val="Submission_Address9"/>
      <sheetName val="total_change&amp;add9"/>
      <sheetName val="DETAIL_8"/>
      <sheetName val="New_DYNA8"/>
      <sheetName val="133NPR55_69_EC8"/>
      <sheetName val="SA_Data_3q03_Oct_20036"/>
      <sheetName val="Annual_Sales13"/>
      <sheetName val="Annual_Production13"/>
      <sheetName val="Sales_Pivot13"/>
      <sheetName val="Production_Pivot13"/>
      <sheetName val="Vehicle_Number11"/>
      <sheetName val="3_NewCapEx11"/>
      <sheetName val="PnL_2006_LE11"/>
      <sheetName val="Production_Database_39911"/>
      <sheetName val="Submission_Address11"/>
      <sheetName val="total_change&amp;add11"/>
      <sheetName val="DETAIL_10"/>
      <sheetName val="New_DYNA10"/>
      <sheetName val="133NPR55_69_EC10"/>
      <sheetName val="SA_Data_3q03_Oct_20038"/>
      <sheetName val="Annual_Sales14"/>
      <sheetName val="Annual_Production14"/>
      <sheetName val="Sales_Pivot14"/>
      <sheetName val="Production_Pivot14"/>
      <sheetName val="Vehicle_Number12"/>
      <sheetName val="3_NewCapEx12"/>
      <sheetName val="PnL_2006_LE12"/>
      <sheetName val="Production_Database_39912"/>
      <sheetName val="Submission_Address12"/>
      <sheetName val="total_change&amp;add12"/>
      <sheetName val="DETAIL_11"/>
      <sheetName val="New_DYNA11"/>
      <sheetName val="133NPR55_69_EC11"/>
      <sheetName val="SA_Data_3q03_Oct_20039"/>
      <sheetName val="Annual_Sales15"/>
      <sheetName val="Annual_Production15"/>
      <sheetName val="Sales_Pivot15"/>
      <sheetName val="Production_Pivot15"/>
      <sheetName val="Vehicle_Number13"/>
      <sheetName val="3_NewCapEx13"/>
      <sheetName val="PnL_2006_LE13"/>
      <sheetName val="Production_Database_39913"/>
      <sheetName val="Submission_Address13"/>
      <sheetName val="total_change&amp;add13"/>
      <sheetName val="DETAIL_12"/>
      <sheetName val="New_DYNA12"/>
      <sheetName val="133NPR55_69_EC12"/>
      <sheetName val="SA_Data_3q03_Oct_200310"/>
      <sheetName val="Annual_Sales16"/>
      <sheetName val="Annual_Production16"/>
      <sheetName val="Sales_Pivot16"/>
      <sheetName val="Production_Pivot16"/>
      <sheetName val="Vehicle_Number14"/>
      <sheetName val="3_NewCapEx14"/>
      <sheetName val="PnL_2006_LE14"/>
      <sheetName val="Production_Database_39914"/>
      <sheetName val="Submission_Address14"/>
      <sheetName val="total_change&amp;add14"/>
      <sheetName val="DETAIL_13"/>
      <sheetName val="New_DYNA13"/>
      <sheetName val="133NPR55_69_EC13"/>
      <sheetName val="SA_Data_3q03_Oct_200311"/>
      <sheetName val="Daily data Record"/>
      <sheetName val="_____"/>
      <sheetName val="Annual_Sales17"/>
      <sheetName val="Annual_Production17"/>
      <sheetName val="Sales_Pivot17"/>
      <sheetName val="Production_Pivot17"/>
      <sheetName val="Vehicle_Number15"/>
      <sheetName val="3_NewCapEx15"/>
      <sheetName val="PnL_2006_LE15"/>
      <sheetName val="Production_Database_39915"/>
      <sheetName val="Submission_Address15"/>
      <sheetName val="total_change&amp;add15"/>
      <sheetName val="DETAIL_14"/>
      <sheetName val="New_DYNA14"/>
      <sheetName val="133NPR55_69_EC14"/>
      <sheetName val="SA_Data_3q03_Oct_200312"/>
      <sheetName val="G&amp;A"/>
      <sheetName val="入力シート-合理化効果"/>
      <sheetName val="入力シート-手配・検収計画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ivot (4)"/>
      <sheetName val="pivot (2)"/>
      <sheetName val="pivot (3)"/>
      <sheetName val="pivot (5)"/>
      <sheetName val="Annual Sales"/>
      <sheetName val="Production"/>
      <sheetName val="133NPR55 69 EC"/>
      <sheetName val="Annual Production"/>
      <sheetName val="Production Database 399"/>
      <sheetName val="pivot_(4)"/>
      <sheetName val="pivot_(2)"/>
      <sheetName val="pivot_(3)"/>
      <sheetName val="pivot_(5)"/>
      <sheetName val="Annual_Sales"/>
      <sheetName val="3.NewCapEx"/>
      <sheetName val="PnL_BUD06"/>
      <sheetName val="PnL_2006 LE"/>
      <sheetName val="FixedAsset05&amp;06"/>
      <sheetName val="Cover"/>
      <sheetName val="Compare"/>
      <sheetName val="項目別投資工数-P1"/>
      <sheetName val="Vehicle Number"/>
      <sheetName val="投資ﾘｽﾄ"/>
      <sheetName val="計算結果"/>
      <sheetName val="I190 Requirement _ CGO"/>
      <sheetName val="I190 Requirement _ NGR"/>
      <sheetName val="ITEM"/>
      <sheetName val="SPEC LIST"/>
      <sheetName val="total change&amp;add"/>
      <sheetName val="DRI SA Apr.04"/>
      <sheetName val="EPW 0630"/>
      <sheetName val="#ofclose"/>
      <sheetName val="2TUP"/>
      <sheetName val="ELF"/>
      <sheetName val="New DYNA"/>
      <sheetName val="作業要素"/>
      <sheetName val="W&amp;WL2005"/>
      <sheetName val="ｴﾝｼﾞﾝ・ﾄﾙｸ"/>
      <sheetName val="190BODY EMATRIX"/>
      <sheetName val="PSM"/>
      <sheetName val="SVASM"/>
      <sheetName val="ライン別負荷"/>
      <sheetName val="計画表"/>
      <sheetName val="SV単品"/>
      <sheetName val="日当表"/>
      <sheetName val="LIST NAME BDL"/>
      <sheetName val="DATA"/>
      <sheetName val="pivot_(4)3"/>
      <sheetName val="pivot_(2)3"/>
      <sheetName val="pivot_(3)3"/>
      <sheetName val="pivot_(5)3"/>
      <sheetName val="Annual_Sales3"/>
      <sheetName val="133NPR55_69_EC2"/>
      <sheetName val="Annual_Production2"/>
      <sheetName val="Production_Database_3992"/>
      <sheetName val="3_NewCapEx2"/>
      <sheetName val="PnL_2006_LE2"/>
      <sheetName val="Vehicle_Number2"/>
      <sheetName val="I190_Requirement___CGO2"/>
      <sheetName val="I190_Requirement___NGR2"/>
      <sheetName val="New_DYNA2"/>
      <sheetName val="SPEC_LIST2"/>
      <sheetName val="total_change&amp;add2"/>
      <sheetName val="DRI_SA_Apr_042"/>
      <sheetName val="EPW_06302"/>
      <sheetName val="190BODY_EMATRIX2"/>
      <sheetName val="LIST_NAME_BDL2"/>
      <sheetName val="pivot_(4)1"/>
      <sheetName val="pivot_(2)1"/>
      <sheetName val="pivot_(3)1"/>
      <sheetName val="pivot_(5)1"/>
      <sheetName val="Annual_Sales1"/>
      <sheetName val="133NPR55_69_EC"/>
      <sheetName val="Annual_Production"/>
      <sheetName val="Production_Database_399"/>
      <sheetName val="3_NewCapEx"/>
      <sheetName val="PnL_2006_LE"/>
      <sheetName val="Vehicle_Number"/>
      <sheetName val="I190_Requirement___CGO"/>
      <sheetName val="I190_Requirement___NGR"/>
      <sheetName val="New_DYNA"/>
      <sheetName val="SPEC_LIST"/>
      <sheetName val="total_change&amp;add"/>
      <sheetName val="DRI_SA_Apr_04"/>
      <sheetName val="EPW_0630"/>
      <sheetName val="190BODY_EMATRIX"/>
      <sheetName val="LIST_NAME_BDL"/>
      <sheetName val="pivot_(4)2"/>
      <sheetName val="pivot_(2)2"/>
      <sheetName val="pivot_(3)2"/>
      <sheetName val="pivot_(5)2"/>
      <sheetName val="Annual_Sales2"/>
      <sheetName val="133NPR55_69_EC1"/>
      <sheetName val="Annual_Production1"/>
      <sheetName val="Production_Database_3991"/>
      <sheetName val="3_NewCapEx1"/>
      <sheetName val="PnL_2006_LE1"/>
      <sheetName val="Vehicle_Number1"/>
      <sheetName val="I190_Requirement___CGO1"/>
      <sheetName val="I190_Requirement___NGR1"/>
      <sheetName val="New_DYNA1"/>
      <sheetName val="SPEC_LIST1"/>
      <sheetName val="total_change&amp;add1"/>
      <sheetName val="DRI_SA_Apr_041"/>
      <sheetName val="EPW_06301"/>
      <sheetName val="190BODY_EMATRIX1"/>
      <sheetName val="LIST_NAME_BDL1"/>
      <sheetName val="CIPA"/>
      <sheetName val="Table Master"/>
      <sheetName val="pivot_(4)9"/>
      <sheetName val="pivot_(2)9"/>
      <sheetName val="pivot_(3)9"/>
      <sheetName val="pivot_(5)9"/>
      <sheetName val="Annual_Sales9"/>
      <sheetName val="133NPR55_69_EC8"/>
      <sheetName val="Annual_Production8"/>
      <sheetName val="Production_Database_3998"/>
      <sheetName val="3_NewCapEx8"/>
      <sheetName val="PnL_2006_LE8"/>
      <sheetName val="Vehicle_Number8"/>
      <sheetName val="I190_Requirement___CGO8"/>
      <sheetName val="I190_Requirement___NGR8"/>
      <sheetName val="New_DYNA8"/>
      <sheetName val="SPEC_LIST8"/>
      <sheetName val="total_change&amp;add8"/>
      <sheetName val="DRI_SA_Apr_048"/>
      <sheetName val="EPW_06308"/>
      <sheetName val="190BODY_EMATRIX8"/>
      <sheetName val="LIST_NAME_BDL8"/>
      <sheetName val="pivot_(4)8"/>
      <sheetName val="pivot_(2)8"/>
      <sheetName val="pivot_(3)8"/>
      <sheetName val="pivot_(5)8"/>
      <sheetName val="Annual_Sales8"/>
      <sheetName val="133NPR55_69_EC7"/>
      <sheetName val="Annual_Production7"/>
      <sheetName val="Production_Database_3997"/>
      <sheetName val="3_NewCapEx7"/>
      <sheetName val="PnL_2006_LE7"/>
      <sheetName val="Vehicle_Number7"/>
      <sheetName val="I190_Requirement___CGO7"/>
      <sheetName val="I190_Requirement___NGR7"/>
      <sheetName val="New_DYNA7"/>
      <sheetName val="SPEC_LIST7"/>
      <sheetName val="total_change&amp;add7"/>
      <sheetName val="DRI_SA_Apr_047"/>
      <sheetName val="EPW_06307"/>
      <sheetName val="190BODY_EMATRIX7"/>
      <sheetName val="LIST_NAME_BDL7"/>
      <sheetName val="pivot_(4)6"/>
      <sheetName val="pivot_(2)6"/>
      <sheetName val="pivot_(3)6"/>
      <sheetName val="pivot_(5)6"/>
      <sheetName val="Annual_Sales6"/>
      <sheetName val="133NPR55_69_EC5"/>
      <sheetName val="Annual_Production5"/>
      <sheetName val="Production_Database_3995"/>
      <sheetName val="3_NewCapEx5"/>
      <sheetName val="PnL_2006_LE5"/>
      <sheetName val="Vehicle_Number5"/>
      <sheetName val="I190_Requirement___CGO5"/>
      <sheetName val="I190_Requirement___NGR5"/>
      <sheetName val="New_DYNA5"/>
      <sheetName val="SPEC_LIST5"/>
      <sheetName val="total_change&amp;add5"/>
      <sheetName val="DRI_SA_Apr_045"/>
      <sheetName val="EPW_06305"/>
      <sheetName val="190BODY_EMATRIX5"/>
      <sheetName val="LIST_NAME_BDL5"/>
      <sheetName val="pivot_(4)4"/>
      <sheetName val="pivot_(2)4"/>
      <sheetName val="pivot_(3)4"/>
      <sheetName val="pivot_(5)4"/>
      <sheetName val="Annual_Sales4"/>
      <sheetName val="133NPR55_69_EC3"/>
      <sheetName val="Annual_Production3"/>
      <sheetName val="Production_Database_3993"/>
      <sheetName val="3_NewCapEx3"/>
      <sheetName val="PnL_2006_LE3"/>
      <sheetName val="Vehicle_Number3"/>
      <sheetName val="I190_Requirement___CGO3"/>
      <sheetName val="I190_Requirement___NGR3"/>
      <sheetName val="New_DYNA3"/>
      <sheetName val="SPEC_LIST3"/>
      <sheetName val="total_change&amp;add3"/>
      <sheetName val="DRI_SA_Apr_043"/>
      <sheetName val="EPW_06303"/>
      <sheetName val="190BODY_EMATRIX3"/>
      <sheetName val="LIST_NAME_BDL3"/>
      <sheetName val="pivot_(4)5"/>
      <sheetName val="pivot_(2)5"/>
      <sheetName val="pivot_(3)5"/>
      <sheetName val="pivot_(5)5"/>
      <sheetName val="Annual_Sales5"/>
      <sheetName val="133NPR55_69_EC4"/>
      <sheetName val="Annual_Production4"/>
      <sheetName val="Production_Database_3994"/>
      <sheetName val="3_NewCapEx4"/>
      <sheetName val="PnL_2006_LE4"/>
      <sheetName val="Vehicle_Number4"/>
      <sheetName val="I190_Requirement___CGO4"/>
      <sheetName val="I190_Requirement___NGR4"/>
      <sheetName val="New_DYNA4"/>
      <sheetName val="SPEC_LIST4"/>
      <sheetName val="total_change&amp;add4"/>
      <sheetName val="DRI_SA_Apr_044"/>
      <sheetName val="EPW_06304"/>
      <sheetName val="190BODY_EMATRIX4"/>
      <sheetName val="LIST_NAME_BDL4"/>
      <sheetName val="pivot_(4)7"/>
      <sheetName val="pivot_(2)7"/>
      <sheetName val="pivot_(3)7"/>
      <sheetName val="pivot_(5)7"/>
      <sheetName val="Annual_Sales7"/>
      <sheetName val="133NPR55_69_EC6"/>
      <sheetName val="Annual_Production6"/>
      <sheetName val="Production_Database_3996"/>
      <sheetName val="3_NewCapEx6"/>
      <sheetName val="PnL_2006_LE6"/>
      <sheetName val="Vehicle_Number6"/>
      <sheetName val="I190_Requirement___CGO6"/>
      <sheetName val="I190_Requirement___NGR6"/>
      <sheetName val="New_DYNA6"/>
      <sheetName val="SPEC_LIST6"/>
      <sheetName val="total_change&amp;add6"/>
      <sheetName val="DRI_SA_Apr_046"/>
      <sheetName val="EPW_06306"/>
      <sheetName val="190BODY_EMATRIX6"/>
      <sheetName val="LIST_NAME_BDL6"/>
      <sheetName val="pivot_(4)10"/>
      <sheetName val="pivot_(2)10"/>
      <sheetName val="pivot_(3)10"/>
      <sheetName val="pivot_(5)10"/>
      <sheetName val="Annual_Sales10"/>
      <sheetName val="133NPR55_69_EC9"/>
      <sheetName val="Annual_Production9"/>
      <sheetName val="Production_Database_3999"/>
      <sheetName val="3_NewCapEx9"/>
      <sheetName val="PnL_2006_LE9"/>
      <sheetName val="Vehicle_Number9"/>
      <sheetName val="I190_Requirement___CGO9"/>
      <sheetName val="I190_Requirement___NGR9"/>
      <sheetName val="New_DYNA9"/>
      <sheetName val="SPEC_LIST9"/>
      <sheetName val="total_change&amp;add9"/>
      <sheetName val="DRI_SA_Apr_049"/>
      <sheetName val="EPW_06309"/>
      <sheetName val="190BODY_EMATRIX9"/>
      <sheetName val="LIST_NAME_BDL9"/>
      <sheetName val="Table_Master"/>
      <sheetName val="pivot_(4)11"/>
      <sheetName val="pivot_(2)11"/>
      <sheetName val="pivot_(3)11"/>
      <sheetName val="pivot_(5)11"/>
      <sheetName val="Annual_Sales11"/>
      <sheetName val="133NPR55_69_EC10"/>
      <sheetName val="Annual_Production10"/>
      <sheetName val="Production_Database_39910"/>
      <sheetName val="3_NewCapEx10"/>
      <sheetName val="PnL_2006_LE10"/>
      <sheetName val="Vehicle_Number10"/>
      <sheetName val="I190_Requirement___CGO10"/>
      <sheetName val="I190_Requirement___NGR10"/>
      <sheetName val="New_DYNA10"/>
      <sheetName val="SPEC_LIST10"/>
      <sheetName val="total_change&amp;add10"/>
      <sheetName val="DRI_SA_Apr_0410"/>
      <sheetName val="EPW_063010"/>
      <sheetName val="190BODY_EMATRIX10"/>
      <sheetName val="LIST_NAME_BDL10"/>
      <sheetName val="Table_Master1"/>
      <sheetName val="pivot_(4)12"/>
      <sheetName val="pivot_(2)12"/>
      <sheetName val="pivot_(3)12"/>
      <sheetName val="pivot_(5)12"/>
      <sheetName val="Annual_Sales12"/>
      <sheetName val="133NPR55_69_EC11"/>
      <sheetName val="Annual_Production11"/>
      <sheetName val="Production_Database_39911"/>
      <sheetName val="3_NewCapEx11"/>
      <sheetName val="PnL_2006_LE11"/>
      <sheetName val="Vehicle_Number11"/>
      <sheetName val="I190_Requirement___CGO11"/>
      <sheetName val="I190_Requirement___NGR11"/>
      <sheetName val="New_DYNA11"/>
      <sheetName val="SPEC_LIST11"/>
      <sheetName val="total_change&amp;add11"/>
      <sheetName val="DRI_SA_Apr_0411"/>
      <sheetName val="EPW_063011"/>
      <sheetName val="190BODY_EMATRIX11"/>
      <sheetName val="LIST_NAME_BDL11"/>
      <sheetName val="Table_Master2"/>
      <sheetName val="TIRE読み替え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FINAL"/>
      <sheetName val="PROD-UC"/>
      <sheetName val="Delivery"/>
      <sheetName val="Pending"/>
      <sheetName val="2005"/>
      <sheetName val="ISO_250"/>
      <sheetName val="Purch Yr 2010"/>
      <sheetName val="Annual Sales"/>
      <sheetName val="PROD-TF"/>
      <sheetName val="Report"/>
      <sheetName val="ENG油洩れ"/>
      <sheetName val="1-C,D,E"/>
      <sheetName val="Comparision"/>
      <sheetName val="Movement extract"/>
      <sheetName val="名簿データ"/>
      <sheetName val="UCS SEP. 06"/>
      <sheetName val="Production"/>
      <sheetName val="2TUP"/>
      <sheetName val="I190 Requirement _ CGO"/>
      <sheetName val="I190 Requirement _ NGR"/>
      <sheetName val="data"/>
      <sheetName val="ＴＦ関連Ｐｒｊ日程表"/>
      <sheetName val="00年9月"/>
      <sheetName val="Unit Price 96"/>
      <sheetName val="CORONA"/>
      <sheetName val="KIJANG"/>
      <sheetName val="List"/>
      <sheetName val="組立運搬・順立て部品"/>
      <sheetName val="BD_REPORT"/>
      <sheetName val="Purch_Yr_20102"/>
      <sheetName val="Annual_Sales2"/>
      <sheetName val="UCS_SEP__062"/>
      <sheetName val="Movement_extract2"/>
      <sheetName val="I190_Requirement___CGO2"/>
      <sheetName val="I190_Requirement___NGR2"/>
      <sheetName val="Unit_Price_962"/>
      <sheetName val="Purch_Yr_2010"/>
      <sheetName val="Annual_Sales"/>
      <sheetName val="UCS_SEP__06"/>
      <sheetName val="Movement_extract"/>
      <sheetName val="I190_Requirement___CGO"/>
      <sheetName val="I190_Requirement___NGR"/>
      <sheetName val="Unit_Price_96"/>
      <sheetName val="Purch_Yr_20101"/>
      <sheetName val="Annual_Sales1"/>
      <sheetName val="UCS_SEP__061"/>
      <sheetName val="Movement_extract1"/>
      <sheetName val="I190_Requirement___CGO1"/>
      <sheetName val="I190_Requirement___NGR1"/>
      <sheetName val="Unit_Price_961"/>
      <sheetName val="Purch_Yr_20108"/>
      <sheetName val="Annual_Sales8"/>
      <sheetName val="UCS_SEP__068"/>
      <sheetName val="Movement_extract8"/>
      <sheetName val="I190_Requirement___CGO8"/>
      <sheetName val="I190_Requirement___NGR8"/>
      <sheetName val="Unit_Price_968"/>
      <sheetName val="Purch_Yr_20107"/>
      <sheetName val="Annual_Sales7"/>
      <sheetName val="UCS_SEP__067"/>
      <sheetName val="Movement_extract7"/>
      <sheetName val="I190_Requirement___CGO7"/>
      <sheetName val="I190_Requirement___NGR7"/>
      <sheetName val="Unit_Price_967"/>
      <sheetName val="Purch_Yr_20105"/>
      <sheetName val="Annual_Sales5"/>
      <sheetName val="UCS_SEP__065"/>
      <sheetName val="Movement_extract5"/>
      <sheetName val="I190_Requirement___CGO5"/>
      <sheetName val="I190_Requirement___NGR5"/>
      <sheetName val="Unit_Price_965"/>
      <sheetName val="Purch_Yr_20103"/>
      <sheetName val="Annual_Sales3"/>
      <sheetName val="UCS_SEP__063"/>
      <sheetName val="Movement_extract3"/>
      <sheetName val="I190_Requirement___CGO3"/>
      <sheetName val="I190_Requirement___NGR3"/>
      <sheetName val="Unit_Price_963"/>
      <sheetName val="Purch_Yr_20104"/>
      <sheetName val="Annual_Sales4"/>
      <sheetName val="UCS_SEP__064"/>
      <sheetName val="Movement_extract4"/>
      <sheetName val="I190_Requirement___CGO4"/>
      <sheetName val="I190_Requirement___NGR4"/>
      <sheetName val="Unit_Price_964"/>
      <sheetName val="Purch_Yr_20106"/>
      <sheetName val="Annual_Sales6"/>
      <sheetName val="UCS_SEP__066"/>
      <sheetName val="Movement_extract6"/>
      <sheetName val="I190_Requirement___CGO6"/>
      <sheetName val="I190_Requirement___NGR6"/>
      <sheetName val="Unit_Price_966"/>
      <sheetName val="Purch_Yr_20109"/>
      <sheetName val="Annual_Sales9"/>
      <sheetName val="UCS_SEP__069"/>
      <sheetName val="Movement_extract9"/>
      <sheetName val="I190_Requirement___CGO9"/>
      <sheetName val="I190_Requirement___NGR9"/>
      <sheetName val="Unit_Price_969"/>
      <sheetName val="Purch_Yr_201010"/>
      <sheetName val="Annual_Sales10"/>
      <sheetName val="UCS_SEP__0610"/>
      <sheetName val="Movement_extract10"/>
      <sheetName val="I190_Requirement___CGO10"/>
      <sheetName val="I190_Requirement___NGR10"/>
      <sheetName val="Unit_Price_9610"/>
      <sheetName val="Purch_Yr_201011"/>
      <sheetName val="Annual_Sales11"/>
      <sheetName val="UCS_SEP__0611"/>
      <sheetName val="Movement_extract11"/>
      <sheetName val="I190_Requirement___CGO11"/>
      <sheetName val="I190_Requirement___NGR11"/>
      <sheetName val="Unit_Price_9611"/>
    </sheetNames>
    <sheetDataSet>
      <sheetData sheetId="0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1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PAINT"/>
      <sheetName val="FRAME"/>
      <sheetName val="FINAL-STATUS"/>
      <sheetName val="PROD-TF"/>
      <sheetName val="Delivery(D-Max)"/>
      <sheetName val="Line Stop"/>
      <sheetName val="SAMPLE"/>
      <sheetName val="B-TRUCK"/>
      <sheetName val="Delivery(BT)"/>
      <sheetName val="BT Recovery"/>
      <sheetName val="FINAL"/>
      <sheetName val="2005"/>
      <sheetName val="Prod-Jan-07"/>
      <sheetName val="Annual Sales"/>
      <sheetName val="G Van - Price Build up"/>
      <sheetName val="Production"/>
      <sheetName val="計算結果"/>
      <sheetName val="NEW003"/>
      <sheetName val="calculate"/>
      <sheetName val="00年9月"/>
      <sheetName val="HYO"/>
      <sheetName val="選酋表"/>
      <sheetName val="1-C,D,E"/>
      <sheetName val="Movement extract"/>
      <sheetName val="名簿データ"/>
      <sheetName val="Line_Stop"/>
      <sheetName val="BT_Recovery"/>
      <sheetName val="Annual_Sales"/>
      <sheetName val="G_Van_-_Price_Build_up"/>
      <sheetName val="Table Master"/>
      <sheetName val="Stabilizer_P"/>
      <sheetName val="Stabilizer_S"/>
      <sheetName val="ENTRY"/>
      <sheetName val="Line_Stop3"/>
      <sheetName val="BT_Recovery3"/>
      <sheetName val="Annual_Sales3"/>
      <sheetName val="G_Van_-_Price_Build_up3"/>
      <sheetName val="Table_Master2"/>
      <sheetName val="Movement_extract2"/>
      <sheetName val="Line_Stop1"/>
      <sheetName val="BT_Recovery1"/>
      <sheetName val="Annual_Sales1"/>
      <sheetName val="G_Van_-_Price_Build_up1"/>
      <sheetName val="Table_Master"/>
      <sheetName val="Movement_extract"/>
      <sheetName val="Line_Stop2"/>
      <sheetName val="BT_Recovery2"/>
      <sheetName val="Annual_Sales2"/>
      <sheetName val="G_Van_-_Price_Build_up2"/>
      <sheetName val="Table_Master1"/>
      <sheetName val="Movement_extract1"/>
      <sheetName val="Line_Stop9"/>
      <sheetName val="BT_Recovery9"/>
      <sheetName val="Annual_Sales9"/>
      <sheetName val="G_Van_-_Price_Build_up9"/>
      <sheetName val="Table_Master8"/>
      <sheetName val="Movement_extract8"/>
      <sheetName val="Line_Stop8"/>
      <sheetName val="BT_Recovery8"/>
      <sheetName val="Annual_Sales8"/>
      <sheetName val="G_Van_-_Price_Build_up8"/>
      <sheetName val="Table_Master7"/>
      <sheetName val="Movement_extract7"/>
      <sheetName val="Line_Stop6"/>
      <sheetName val="BT_Recovery6"/>
      <sheetName val="Annual_Sales6"/>
      <sheetName val="G_Van_-_Price_Build_up6"/>
      <sheetName val="Table_Master5"/>
      <sheetName val="Movement_extract5"/>
      <sheetName val="Line_Stop4"/>
      <sheetName val="BT_Recovery4"/>
      <sheetName val="Annual_Sales4"/>
      <sheetName val="G_Van_-_Price_Build_up4"/>
      <sheetName val="Table_Master3"/>
      <sheetName val="Movement_extract3"/>
      <sheetName val="Line_Stop5"/>
      <sheetName val="BT_Recovery5"/>
      <sheetName val="Annual_Sales5"/>
      <sheetName val="G_Van_-_Price_Build_up5"/>
      <sheetName val="Table_Master4"/>
      <sheetName val="Movement_extract4"/>
      <sheetName val="Line_Stop7"/>
      <sheetName val="BT_Recovery7"/>
      <sheetName val="Annual_Sales7"/>
      <sheetName val="G_Van_-_Price_Build_up7"/>
      <sheetName val="Table_Master6"/>
      <sheetName val="Movement_extract6"/>
      <sheetName val="Line_Stop10"/>
      <sheetName val="BT_Recovery10"/>
      <sheetName val="Annual_Sales10"/>
      <sheetName val="G_Van_-_Price_Build_up10"/>
      <sheetName val="Table_Master9"/>
      <sheetName val="Movement_extract9"/>
      <sheetName val="Line_Stop11"/>
      <sheetName val="BT_Recovery11"/>
      <sheetName val="Annual_Sales11"/>
      <sheetName val="G_Van_-_Price_Build_up11"/>
      <sheetName val="Table_Master10"/>
      <sheetName val="Movement_extract10"/>
      <sheetName val="Line_Stop12"/>
      <sheetName val="BT_Recovery12"/>
      <sheetName val="Annual_Sales12"/>
      <sheetName val="G_Van_-_Price_Build_up12"/>
      <sheetName val="Table_Master11"/>
      <sheetName val="Movement_extrac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名簿データ"/>
      <sheetName val="国内名簿ﾃﾞｰﾀ"/>
      <sheetName val="_B007"/>
      <sheetName val="Vehicle Number"/>
      <sheetName val="Vehicle_Number"/>
      <sheetName val="C3_N DC改造投資"/>
      <sheetName val="MC3(main)"/>
      <sheetName val="MC1"/>
      <sheetName val="200P SHEET"/>
      <sheetName val="Macro1old"/>
      <sheetName val="Sheet2"/>
      <sheetName val="Fiel List"/>
      <sheetName val="ﾏﾙC改造投資詳細"/>
      <sheetName val="134車型&amp;仕様"/>
      <sheetName val="Sheet1"/>
      <sheetName val="【資料】730改造投資"/>
      <sheetName val="ELF"/>
      <sheetName val="作業要素"/>
      <sheetName val="New DYNA"/>
      <sheetName val="recived"/>
      <sheetName val="A000"/>
      <sheetName val="Vehicle_Number1"/>
      <sheetName val="C3_N_DC改造投資"/>
      <sheetName val="200P_SHEET"/>
      <sheetName val="Fiel_List"/>
      <sheetName val="New_DYNA"/>
      <sheetName val="7_2"/>
      <sheetName val="C3_N DC????"/>
      <sheetName val="PROD-TF"/>
      <sheetName val="選酋表"/>
      <sheetName val="Table"/>
      <sheetName val="EPW 0630"/>
      <sheetName val="BODY"/>
      <sheetName val="DatadiskEE0304FULLDATAVERSION"/>
      <sheetName val="I190 Requirement _ CGO"/>
      <sheetName val="I190 Requirement _ NGR"/>
      <sheetName val="FINAL"/>
      <sheetName val="ISO_250"/>
      <sheetName val="Data"/>
      <sheetName val="source"/>
      <sheetName val="ﾌﾟﾛﾄ_P772分解5号機"/>
      <sheetName val="oresreqsum"/>
      <sheetName val="項目別投資工数-P1"/>
      <sheetName val="金額"/>
      <sheetName val="DB"/>
      <sheetName val="Production Database 399"/>
      <sheetName val="TNT F&amp;A 06Budget"/>
      <sheetName val="Snp"/>
      <sheetName val="00年9月"/>
      <sheetName val="B実部ﾃｽﾄ別工数"/>
      <sheetName val="NEW003"/>
      <sheetName val="クライテリア"/>
      <sheetName val="ITEM"/>
      <sheetName val="6SWRF_W"/>
      <sheetName val="日程"/>
      <sheetName val="Punch list Sid line stock Prob."/>
      <sheetName val="Input Oper.Lease"/>
      <sheetName val="資料_700部品点数設定"/>
      <sheetName val="Parameter"/>
      <sheetName val="Annual Production"/>
      <sheetName val="C3_N DC____"/>
      <sheetName val="ENG油洩れ"/>
      <sheetName val="LIST"/>
      <sheetName val="国内名簿ﾃﾞｰﾀ.xls"/>
      <sheetName val="email_address"/>
      <sheetName val="00年９末"/>
      <sheetName val="[国内名簿ﾃﾞｰﾀ.xls]__A145_________60"/>
      <sheetName val="Pickup&amp;MU7"/>
      <sheetName val="TABLE(LINE CODE)"/>
      <sheetName val="HYO"/>
      <sheetName val="Annual Sales"/>
      <sheetName val="DATA WAREHOUSING"/>
      <sheetName val="NCAB"/>
      <sheetName val="K"/>
      <sheetName val="Pln Pdt"/>
      <sheetName val="1-A､B"/>
      <sheetName val="生産台数内訳"/>
      <sheetName val="TIRE読み替え表"/>
      <sheetName val="(旧)LIST"/>
      <sheetName val="Unit Price"/>
      <sheetName val="PT技検0085-347P1"/>
      <sheetName val="Material"/>
      <sheetName val="Milkrun"/>
      <sheetName val="TOP"/>
      <sheetName val="Data BE1"/>
      <sheetName val="Tendency"/>
      <sheetName val="Hys BE1"/>
      <sheetName val="Hal CS"/>
      <sheetName val="MPM"/>
      <sheetName val="Kalender"/>
      <sheetName val="Spare part"/>
      <sheetName val="PIC"/>
      <sheetName val="24204"/>
      <sheetName val="Accident"/>
      <sheetName val="Total 2013 (2)"/>
      <sheetName val="Total 2013"/>
      <sheetName val=" vendor ranking"/>
      <sheetName val="loss cost per vendor"/>
      <sheetName val="lost cost"/>
      <sheetName val="RACK (CB)new"/>
      <sheetName val="Vehicle_Number2"/>
      <sheetName val="C3_N_DC改造投資1"/>
      <sheetName val="200P_SHEET1"/>
      <sheetName val="Fiel_List1"/>
      <sheetName val="New_DYNA1"/>
      <sheetName val="C3_N_DC????"/>
      <sheetName val="EPW_0630"/>
      <sheetName val="I190_Requirement___CGO"/>
      <sheetName val="I190_Requirement___NGR"/>
      <sheetName val="Production_Database_399"/>
      <sheetName val="TNT_F&amp;A_06Budget"/>
      <sheetName val="C3_N_DC____"/>
      <sheetName val="Punch_list_Sid_line_stock_Prob_"/>
      <sheetName val="Input_Oper_Lease"/>
      <sheetName val="Annual_Production"/>
      <sheetName val="国内名簿ﾃﾞｰﾀ_xls"/>
      <sheetName val="\\A145\１９０\ﾒｰｶｰｺｰﾄﾞ\国内名簿ﾃﾞｰﾀ_xl"/>
      <sheetName val="DATA_WAREHOUSING"/>
      <sheetName val="TABLE(LINE_CODE)"/>
      <sheetName val="Annual_Sales"/>
      <sheetName val="Pln_Pdt"/>
      <sheetName val="Unit_Price"/>
      <sheetName val="Manpower"/>
      <sheetName val="calculate"/>
      <sheetName val="Amortization Table"/>
      <sheetName val="[国内名簿ﾃﾞｰﾀ.xls][国内名簿ﾃﾞｰﾀ.xls][国内"/>
      <sheetName val="発注書"/>
      <sheetName val="名簿ﾃﾞｰﾀ"/>
      <sheetName val="(原単位)"/>
      <sheetName val="TB3川崎"/>
      <sheetName val="(読み込み専用) ＣＡＤ関係各部依頼進捗管理 の ﾜｰｸｼｰﾄ"/>
      <sheetName val="_CONFIG-2"/>
      <sheetName val="FC"/>
      <sheetName val="TOTAL"/>
      <sheetName val="MARCH-APRIL. 03"/>
      <sheetName val="Report for CCD-Dec.05"/>
      <sheetName val="Unit Price 96"/>
      <sheetName val="CORONA"/>
      <sheetName val="KIJANG"/>
      <sheetName val="CV"/>
      <sheetName val="投資ﾘｽﾄ"/>
      <sheetName val="[国内名簿ﾃﾞｰﾀ.xls]\\A145\１９０\ﾒｰｶｰｺｰ"/>
      <sheetName val="16,7"/>
      <sheetName val="F混流"/>
      <sheetName val="Form"/>
      <sheetName val="Structure"/>
      <sheetName val="__A145_１９０_ﾒｰｶｰｺｰﾄﾞ_国内名簿ﾃﾞｰﾀ.xl"/>
      <sheetName val="3"/>
      <sheetName val="Volumes"/>
      <sheetName val="Sheet1 (2)"/>
      <sheetName val="[国内名簿ﾃﾞｰﾀ.xls][国内名簿ﾃﾞｰﾀ.xls]\\A"/>
      <sheetName val="Vehicle_Number3"/>
      <sheetName val="C3_N_DC改造投資2"/>
      <sheetName val="200P_SHEET2"/>
      <sheetName val="Fiel_List2"/>
      <sheetName val="New_DYNA2"/>
      <sheetName val="C3_N_DC????1"/>
      <sheetName val="EPW_06301"/>
      <sheetName val="I190_Requirement___CGO1"/>
      <sheetName val="I190_Requirement___NGR1"/>
      <sheetName val="Production_Database_3991"/>
      <sheetName val="TNT_F&amp;A_06Budget1"/>
      <sheetName val="C3_N_DC____1"/>
      <sheetName val="Punch_list_Sid_line_stock_Prob1"/>
      <sheetName val="Input_Oper_Lease1"/>
      <sheetName val="Annual_Production1"/>
      <sheetName val="国内名簿ﾃﾞｰﾀ_xls1"/>
      <sheetName val="\\A145\１９０\ﾒｰｶｰｺｰﾄﾞ\国内名簿ﾃﾞｰﾀ_x1"/>
      <sheetName val="TABLE(LINE_CODE)1"/>
      <sheetName val="Annual_Sales1"/>
      <sheetName val="DATA_WAREHOUSING1"/>
      <sheetName val="Pln_Pdt1"/>
      <sheetName val="Vehicle_Number4"/>
      <sheetName val="C3_N_DC改造投資3"/>
      <sheetName val="200P_SHEET3"/>
      <sheetName val="Fiel_List3"/>
      <sheetName val="New_DYNA3"/>
      <sheetName val="C3_N_DC????2"/>
      <sheetName val="EPW_06302"/>
      <sheetName val="I190_Requirement___CGO2"/>
      <sheetName val="I190_Requirement___NGR2"/>
      <sheetName val="Production_Database_3992"/>
      <sheetName val="TNT_F&amp;A_06Budget2"/>
      <sheetName val="C3_N_DC____2"/>
      <sheetName val="Punch_list_Sid_line_stock_Prob2"/>
      <sheetName val="Input_Oper_Lease2"/>
      <sheetName val="Annual_Production2"/>
      <sheetName val="国内名簿ﾃﾞｰﾀ_xls2"/>
      <sheetName val="\\A145\１９０\ﾒｰｶｰｺｰﾄﾞ\国内名簿ﾃﾞｰﾀ_x2"/>
      <sheetName val="TABLE(LINE_CODE)2"/>
      <sheetName val="Annual_Sales2"/>
      <sheetName val="DATA_WAREHOUSING2"/>
      <sheetName val="Pln_Pdt2"/>
      <sheetName val="設置場所一覧"/>
      <sheetName val="Lead"/>
      <sheetName val="総合B"/>
      <sheetName val="Sheet3"/>
      <sheetName val="_資料_730改造投資"/>
      <sheetName val="マスター"/>
      <sheetName val="오정용선임"/>
      <sheetName val="#REF!"/>
      <sheetName val="TC_Car_New4P"/>
      <sheetName val="#REF"/>
      <sheetName val="Roll Out - Limit"/>
      <sheetName val="Z41,Z42 이외total"/>
      <sheetName val="p2-1"/>
      <sheetName val="不良分类统计"/>
      <sheetName val="Macro1"/>
      <sheetName val="Wagon"/>
      <sheetName val="Wagon (3)"/>
      <sheetName val="Karyawan"/>
      <sheetName val="Data_BE1"/>
      <sheetName val="Hys_BE1"/>
      <sheetName val="Hal_CS"/>
      <sheetName val="Spare_part"/>
      <sheetName val="Total_2013_(2)"/>
      <sheetName val="Total_2013"/>
      <sheetName val="_vendor_ranking"/>
      <sheetName val="loss_cost_per_vendor"/>
      <sheetName val="lost_cost"/>
      <sheetName val="MARCH-APRIL__03"/>
      <sheetName val="Report_for_CCD-Dec_05"/>
      <sheetName val="Unit_Price_96"/>
      <sheetName val="Wagon_(3)"/>
      <sheetName val="(読み込み専用)_ＣＡＤ関係各部依頼進捗管理_の_ﾜｰｸｼｰﾄ"/>
      <sheetName val="MARCH_APRIL_ 03"/>
      <sheetName val="Draft Vehicle Format"/>
      <sheetName val="Summary Plant"/>
      <sheetName val="Unit_Price1"/>
      <sheetName val="RACK_(CB)new"/>
      <sheetName val="Amortization_Table"/>
      <sheetName val="[国内名簿ﾃﾞｰﾀ_xls][国内名簿ﾃﾞｰﾀ_xls][国内"/>
      <sheetName val="[国内名簿ﾃﾞｰﾀ_xls]\\A145\１９０\ﾒｰｶｰｺｰ"/>
      <sheetName val="Summary_Plant"/>
      <sheetName val="[国内名簿ﾃﾞｰﾀ_xls][国内名簿ﾃﾞｰﾀ_xls]\\A"/>
      <sheetName val="__A145_１９０_ﾒｰｶｰｺｰﾄﾞ_国内名簿ﾃﾞｰﾀ_xl"/>
      <sheetName val="Sheet1_(2)"/>
      <sheetName val="Data_BE11"/>
      <sheetName val="Hys_BE11"/>
      <sheetName val="Hal_CS1"/>
      <sheetName val="Spare_part1"/>
      <sheetName val="Unit_Price2"/>
      <sheetName val="RACK_(CB)new1"/>
      <sheetName val="Total_2013_(2)1"/>
      <sheetName val="Total_20131"/>
      <sheetName val="_vendor_ranking1"/>
      <sheetName val="loss_cost_per_vendor1"/>
      <sheetName val="lost_cost1"/>
      <sheetName val="Amortization_Table1"/>
      <sheetName val="[国内名簿ﾃﾞｰﾀ_xls][国内名簿ﾃﾞｰﾀ_xls][国1"/>
      <sheetName val="(読み込み専用)_ＣＡＤ関係各部依頼進捗管理_の_ﾜｰｸｼｰ1"/>
      <sheetName val="MARCH-APRIL__031"/>
      <sheetName val="Report_for_CCD-Dec_051"/>
      <sheetName val="Unit_Price_961"/>
      <sheetName val="[国内名簿ﾃﾞｰﾀ_xls]\\A145\１９０\ﾒｰｶｰｺ1"/>
      <sheetName val="__A145_１９０_ﾒｰｶｰｺｰﾄﾞ_国内名簿ﾃﾞｰﾀ_x1"/>
      <sheetName val="Sheet1_(2)1"/>
      <sheetName val="Summary_Plant1"/>
      <sheetName val="[国内名簿ﾃﾞｰﾀ_xls][国内名簿ﾃﾞｰﾀ_xls]\\1"/>
      <sheetName val="RANK"/>
      <sheetName val="Corolla &amp; Camry"/>
      <sheetName val="表紙(代表者)"/>
      <sheetName val="[国内名簿ﾃﾞｰﾀ.xls]__A145______ｰｶｰ_2"/>
      <sheetName val="[国内名簿ﾃﾞｰﾀ.xls]__A145__________2"/>
      <sheetName val="[国内名簿ﾃﾞｰﾀ.xls]__A145_１９０_ﾒｰｶｰ_2"/>
      <sheetName val="[国内名簿ﾃﾞｰﾀ.xls]__A145__________3"/>
      <sheetName val="[国内名簿ﾃﾞｰﾀ.xls]__A145_________17"/>
      <sheetName val="[国内名簿ﾃﾞｰﾀ.xls]__A145__________4"/>
      <sheetName val="[国内名簿ﾃﾞｰﾀ.xls]__A145__________5"/>
      <sheetName val="[国内名簿ﾃﾞｰﾀ.xls]__A145_１_０__ｰｶｰ_2"/>
      <sheetName val="[国内名簿ﾃﾞｰﾀ.xls]__A145__________6"/>
      <sheetName val="[国内名簿ﾃﾞｰﾀ.xls]__A145__________7"/>
      <sheetName val="[国内名簿ﾃﾞｰﾀ.xls]__A145__________8"/>
      <sheetName val="[国内名簿ﾃﾞｰﾀ.xls]__A145__________9"/>
      <sheetName val="[国内名簿ﾃﾞｰﾀ.xls]__A145_１９０_ﾒｰｶｰ_3"/>
      <sheetName val="[国内名簿ﾃﾞｰﾀ.xls]__A145_________11"/>
      <sheetName val="[国内名簿ﾃﾞｰﾀ.xls]__A145_________10"/>
      <sheetName val="[国内名簿ﾃﾞｰﾀ.xls]__A145_________12"/>
      <sheetName val="[国内名簿ﾃﾞｰﾀ.xls]__A145_________13"/>
      <sheetName val="[国内名簿ﾃﾞｰﾀ.xls]__A145_________14"/>
      <sheetName val="[国内名簿ﾃﾞｰﾀ.xls]__A145_１９０_ﾒｰ_ｰ_2"/>
      <sheetName val="[国内名簿ﾃﾞｰﾀ.xls]__A145_１９０_ﾒｰ_ｰ_3"/>
      <sheetName val="[国内名簿ﾃﾞｰﾀ.xls]__A145_１９０_ﾒｰ_ｰ_4"/>
      <sheetName val="[国内名簿ﾃﾞｰﾀ.xls]__A145_１９０_ﾒｰ_ｰ_5"/>
      <sheetName val="[国内名簿ﾃﾞｰﾀ.xls]__A145_１９０_ﾒｰ_ｰ_6"/>
      <sheetName val="[国内名簿ﾃﾞｰﾀ.xls]__A145_１９０_ﾒｰ_ｰ_7"/>
      <sheetName val="[国内名簿ﾃﾞｰﾀ.xls]__A145_１９０_ﾒ_ｶ__2"/>
      <sheetName val="[国内名簿ﾃﾞｰﾀ.xls]__A145_１９０_ﾒｰ_ｰ_8"/>
      <sheetName val="[国内名簿ﾃﾞｰﾀ.xls]__A145_１９０_ﾒｰ_ｰ_9"/>
      <sheetName val="[国内名簿ﾃﾞｰﾀ.xls]__A145_１９０_ﾒｰ__10"/>
      <sheetName val="[国内名簿ﾃﾞｰﾀ.xls]__A145_１９０_ﾒｰ__11"/>
      <sheetName val="[国内名簿ﾃﾞｰﾀ.xls]__A145_１９０_ﾒｰ__12"/>
      <sheetName val="[国内名簿ﾃﾞｰﾀ.xls]__A145_１９０_ﾒｰ__13"/>
      <sheetName val="[国内名簿ﾃﾞｰﾀ.xls]__A145_１９０_ﾒｰ__14"/>
      <sheetName val="[国内名簿ﾃﾞｰﾀ.xls]__A145_１９０_ﾒｰ__15"/>
      <sheetName val="[国内名簿ﾃﾞｰﾀ.xls]__A145_１９__ﾒｰｶｰ_2"/>
      <sheetName val="[国内名簿ﾃﾞｰﾀ.xls]__A145_________15"/>
      <sheetName val="[国内名簿ﾃﾞｰﾀ.xls]__A145_________16"/>
      <sheetName val="[国内名簿ﾃﾞｰﾀ.xls]__A145______ｰｶｰ_3"/>
      <sheetName val="[国内名簿ﾃﾞｰﾀ.xls]__A145______ｰｶｰ_4"/>
      <sheetName val="[国内名簿ﾃﾞｰﾀ.xls]__A145_________20"/>
      <sheetName val="[国内名簿ﾃﾞｰﾀ.xls]__A145_________18"/>
      <sheetName val="[国内名簿ﾃﾞｰﾀ.xls]__A145_________19"/>
      <sheetName val="[国内名簿ﾃﾞｰﾀ.xls]__A145_________21"/>
      <sheetName val="[国内名簿ﾃﾞｰﾀ.xls]__A145_________22"/>
      <sheetName val="[国内名簿ﾃﾞｰﾀ.xls]__A145_________24"/>
      <sheetName val="[国内名簿ﾃﾞｰﾀ.xls]__A145_________23"/>
      <sheetName val="[国内名簿ﾃﾞｰﾀ.xls]__A145_________33"/>
      <sheetName val="[国内名簿ﾃﾞｰﾀ.xls]__A145_________25"/>
      <sheetName val="[国内名簿ﾃﾞｰﾀ.xls]__A145_________31"/>
      <sheetName val="[国内名簿ﾃﾞｰﾀ.xls]__A145_________26"/>
      <sheetName val="[国内名簿ﾃﾞｰﾀ.xls]__A145_________27"/>
      <sheetName val="[国内名簿ﾃﾞｰﾀ.xls]__A145_________28"/>
      <sheetName val="[国内名簿ﾃﾞｰﾀ.xls]__A145_________29"/>
      <sheetName val="[国内名簿ﾃﾞｰﾀ.xls]__A145_________30"/>
      <sheetName val="[国内名簿ﾃﾞｰﾀ.xls]__A145_________32"/>
      <sheetName val="[国内名簿ﾃﾞｰﾀ.xls]__A145_________38"/>
      <sheetName val="[国内名簿ﾃﾞｰﾀ.xls]__A145_________37"/>
      <sheetName val="[国内名簿ﾃﾞｰﾀ.xls]__A145_________34"/>
      <sheetName val="[国内名簿ﾃﾞｰﾀ.xls]__A145_________36"/>
      <sheetName val="[国内名簿ﾃﾞｰﾀ.xls]__A145_________35"/>
      <sheetName val="[国内名簿ﾃﾞｰﾀ.xls]__A145_________39"/>
      <sheetName val="[国内名簿ﾃﾞｰﾀ.xls]__A145_________40"/>
      <sheetName val="[国内名簿ﾃﾞｰﾀ.xls]__A145_________41"/>
      <sheetName val="[国内名簿ﾃﾞｰﾀ.xls]__A145_________42"/>
      <sheetName val="[国内名簿ﾃﾞｰﾀ.xls]__A145_________43"/>
      <sheetName val="[国内名簿ﾃﾞｰﾀ.xls]__A145_________44"/>
      <sheetName val="[国内名簿ﾃﾞｰﾀ.xls]__A145_________45"/>
      <sheetName val="[国内名簿ﾃﾞｰﾀ.xls]__A145_________46"/>
      <sheetName val="[国内名簿ﾃﾞｰﾀ.xls]__A145_________47"/>
      <sheetName val="[国内名簿ﾃﾞｰﾀ.xls]__A145_________52"/>
      <sheetName val="[国内名簿ﾃﾞｰﾀ.xls]__A145_________50"/>
      <sheetName val="[国内名簿ﾃﾞｰﾀ.xls]__A145_________48"/>
      <sheetName val="[国内名簿ﾃﾞｰﾀ.xls]__A145_________49"/>
      <sheetName val="[国内名簿ﾃﾞｰﾀ.xls]__A145_________51"/>
      <sheetName val="[国内名簿ﾃﾞｰﾀ.xls]__A145_________53"/>
      <sheetName val="[国内名簿ﾃﾞｰﾀ.xls]__A145___０_ﾒｰｶｰ_2"/>
      <sheetName val="[国内名簿ﾃﾞｰﾀ.xls]__A145_１９０_ﾒｰｶｰ_4"/>
      <sheetName val="[国内名簿ﾃﾞｰﾀ.xls]__A145_________55"/>
      <sheetName val="[国内名簿ﾃﾞｰﾀ.xls]__A145_________54"/>
      <sheetName val="[国内名簿ﾃﾞｰﾀ.xls]__A145_________56"/>
      <sheetName val="[国内名簿ﾃﾞｰﾀ.xls]__A145_________57"/>
      <sheetName val="[国内名簿ﾃﾞｰﾀ.xls]__A145_________59"/>
      <sheetName val="[国内名簿ﾃﾞｰﾀ.xls]__A145_________58"/>
    </sheetNames>
    <definedNames>
      <definedName name="Macro29"/>
    </definedNames>
    <sheetDataSet>
      <sheetData sheetId="0" refreshError="1">
        <row r="1">
          <cell r="B1" t="str">
            <v>取引先名簿用データ(新規･社名変更の時はコード管理用のデータ</v>
          </cell>
        </row>
        <row r="4">
          <cell r="B4" t="str">
            <v>5545</v>
          </cell>
          <cell r="C4" t="str">
            <v>#</v>
          </cell>
          <cell r="D4" t="str">
            <v>アート金属工業(株)</v>
          </cell>
          <cell r="E4" t="str">
            <v>51</v>
          </cell>
        </row>
        <row r="5">
          <cell r="B5" t="str">
            <v>0552</v>
          </cell>
          <cell r="C5" t="str">
            <v>#</v>
          </cell>
          <cell r="D5" t="str">
            <v>(株)アーレスティ</v>
          </cell>
          <cell r="E5" t="str">
            <v>53</v>
          </cell>
        </row>
        <row r="6">
          <cell r="B6" t="str">
            <v>8585</v>
          </cell>
          <cell r="C6" t="str">
            <v>#</v>
          </cell>
          <cell r="D6" t="str">
            <v>(株)ｱｲ･ｴｲﾁ･ｱｲ･ﾄﾚｰﾃﾞｨﾝｸﾞ</v>
          </cell>
          <cell r="E6" t="str">
            <v>30</v>
          </cell>
        </row>
        <row r="7">
          <cell r="B7" t="str">
            <v>7717</v>
          </cell>
          <cell r="C7" t="str">
            <v>#</v>
          </cell>
          <cell r="D7" t="str">
            <v>ｱｲ･ｴｽｺｰﾎﾟﾚｰｼｮﾝ（有）</v>
          </cell>
          <cell r="E7" t="str">
            <v>15</v>
          </cell>
        </row>
        <row r="8">
          <cell r="B8" t="str">
            <v>5060</v>
          </cell>
          <cell r="C8" t="str">
            <v>#</v>
          </cell>
          <cell r="D8" t="str">
            <v>アイエス精機(株)</v>
          </cell>
          <cell r="E8" t="str">
            <v>53</v>
          </cell>
        </row>
        <row r="9">
          <cell r="B9" t="str">
            <v>5544</v>
          </cell>
          <cell r="C9" t="str">
            <v>#</v>
          </cell>
          <cell r="D9" t="str">
            <v>IMI ﾉﾙｸﾞﾚﾝｹﾞｰｴﾑﾍﾞｰﾊｰ</v>
          </cell>
          <cell r="E9" t="str">
            <v>75</v>
          </cell>
        </row>
        <row r="10">
          <cell r="B10" t="str">
            <v>4628</v>
          </cell>
          <cell r="C10" t="str">
            <v>#</v>
          </cell>
          <cell r="D10" t="str">
            <v>(株)愛光</v>
          </cell>
          <cell r="E10" t="str">
            <v>64</v>
          </cell>
        </row>
        <row r="11">
          <cell r="B11" t="str">
            <v>5044</v>
          </cell>
          <cell r="C11" t="str">
            <v>#</v>
          </cell>
          <cell r="D11" t="str">
            <v>(株)アイコー</v>
          </cell>
          <cell r="E11" t="str">
            <v>53</v>
          </cell>
        </row>
        <row r="12">
          <cell r="B12" t="str">
            <v>0553</v>
          </cell>
          <cell r="C12" t="str">
            <v>#</v>
          </cell>
          <cell r="D12" t="str">
            <v>アイコクアルファ(株)</v>
          </cell>
          <cell r="E12" t="str">
            <v>53</v>
          </cell>
        </row>
        <row r="13">
          <cell r="B13" t="str">
            <v>4600</v>
          </cell>
          <cell r="C13" t="str">
            <v>#</v>
          </cell>
          <cell r="D13" t="str">
            <v>(株)アイコム</v>
          </cell>
          <cell r="E13" t="str">
            <v>30</v>
          </cell>
        </row>
        <row r="14">
          <cell r="B14" t="str">
            <v>0054</v>
          </cell>
          <cell r="C14" t="str">
            <v>#</v>
          </cell>
          <cell r="D14" t="str">
            <v>相澤建設(株)</v>
          </cell>
          <cell r="E14" t="str">
            <v>30</v>
          </cell>
        </row>
        <row r="15">
          <cell r="B15" t="str">
            <v>2018</v>
          </cell>
          <cell r="C15" t="str">
            <v>#</v>
          </cell>
          <cell r="D15" t="str">
            <v>愛三工業(株)</v>
          </cell>
          <cell r="E15" t="str">
            <v>51</v>
          </cell>
        </row>
        <row r="16">
          <cell r="B16" t="str">
            <v>2825</v>
          </cell>
          <cell r="C16" t="str">
            <v>#</v>
          </cell>
          <cell r="D16" t="str">
            <v>(株)アイ・シー･エル</v>
          </cell>
          <cell r="E16" t="str">
            <v>64</v>
          </cell>
        </row>
        <row r="17">
          <cell r="B17" t="str">
            <v>9991</v>
          </cell>
          <cell r="C17" t="str">
            <v>#</v>
          </cell>
          <cell r="D17" t="str">
            <v>(株)ｱｲ･ｼｰ･ｴﾙ ｱｿｼｴ</v>
          </cell>
          <cell r="E17" t="str">
            <v>64</v>
          </cell>
        </row>
        <row r="18">
          <cell r="B18" t="str">
            <v>8677</v>
          </cell>
          <cell r="C18" t="str">
            <v>#</v>
          </cell>
          <cell r="D18" t="str">
            <v>ｱｲ･ｼｰ･ｴﾝｼﾞﾆｱﾘﾝｸﾞ(株)</v>
          </cell>
          <cell r="E18" t="str">
            <v>30</v>
          </cell>
        </row>
        <row r="19">
          <cell r="B19" t="str">
            <v>5100</v>
          </cell>
          <cell r="C19" t="str">
            <v>#</v>
          </cell>
          <cell r="D19" t="str">
            <v>(株)アイシーティー</v>
          </cell>
          <cell r="E19" t="str">
            <v>51</v>
          </cell>
        </row>
        <row r="20">
          <cell r="B20" t="str">
            <v>3514</v>
          </cell>
          <cell r="C20" t="str">
            <v>#</v>
          </cell>
          <cell r="D20" t="str">
            <v>アイシン･エーアイ(株)</v>
          </cell>
          <cell r="E20" t="str">
            <v>56</v>
          </cell>
        </row>
        <row r="21">
          <cell r="B21" t="str">
            <v>5526</v>
          </cell>
          <cell r="C21" t="str">
            <v>#</v>
          </cell>
          <cell r="D21" t="str">
            <v>ｱｲｼﾝ･ｴｲ･ﾀﾞﾌﾞﾘｭ(株)</v>
          </cell>
          <cell r="E21" t="str">
            <v>56</v>
          </cell>
        </row>
        <row r="22">
          <cell r="B22" t="str">
            <v>7315</v>
          </cell>
          <cell r="C22" t="str">
            <v>#</v>
          </cell>
          <cell r="D22" t="str">
            <v>アイシン化工(株)</v>
          </cell>
          <cell r="E22" t="str">
            <v>15</v>
          </cell>
        </row>
        <row r="23">
          <cell r="B23" t="str">
            <v>5523</v>
          </cell>
          <cell r="C23" t="str">
            <v>#</v>
          </cell>
          <cell r="D23" t="str">
            <v>ｱｲｼﾝｼﾞｰｴﾑｱﾘｿﾝ(株)</v>
          </cell>
          <cell r="E23" t="str">
            <v>56</v>
          </cell>
        </row>
        <row r="24">
          <cell r="B24" t="str">
            <v>5519</v>
          </cell>
          <cell r="C24" t="str">
            <v>#</v>
          </cell>
          <cell r="D24" t="str">
            <v>アイシン精機(株)</v>
          </cell>
          <cell r="E24" t="str">
            <v>51</v>
          </cell>
        </row>
        <row r="25">
          <cell r="B25" t="str">
            <v>0537</v>
          </cell>
          <cell r="C25" t="str">
            <v>#</v>
          </cell>
          <cell r="D25" t="str">
            <v>アイシン高丘(株)</v>
          </cell>
          <cell r="E25" t="str">
            <v>53</v>
          </cell>
        </row>
        <row r="26">
          <cell r="B26" t="str">
            <v>3525</v>
          </cell>
          <cell r="C26" t="str">
            <v>#</v>
          </cell>
          <cell r="D26" t="str">
            <v xml:space="preserve">(株)ｱｲﾁｺｰﾎﾟﾚｰｼｮﾝ </v>
          </cell>
          <cell r="E26" t="str">
            <v>30</v>
          </cell>
        </row>
        <row r="27">
          <cell r="B27" t="str">
            <v>3034</v>
          </cell>
          <cell r="C27" t="str">
            <v>#</v>
          </cell>
          <cell r="D27" t="str">
            <v>(株)アイ･ビー･テック</v>
          </cell>
          <cell r="E27" t="str">
            <v>64</v>
          </cell>
        </row>
        <row r="28">
          <cell r="B28" t="str">
            <v>4622</v>
          </cell>
          <cell r="C28" t="str">
            <v>#</v>
          </cell>
          <cell r="D28" t="str">
            <v>(株)アオイテクセル</v>
          </cell>
          <cell r="E28" t="str">
            <v>64</v>
          </cell>
        </row>
        <row r="29">
          <cell r="B29" t="str">
            <v>5077</v>
          </cell>
          <cell r="C29" t="str">
            <v>#</v>
          </cell>
          <cell r="D29" t="str">
            <v>(株)青山製作所</v>
          </cell>
          <cell r="E29" t="str">
            <v>64</v>
          </cell>
        </row>
        <row r="30">
          <cell r="B30" t="str">
            <v>8427</v>
          </cell>
          <cell r="C30" t="str">
            <v>#</v>
          </cell>
          <cell r="D30" t="str">
            <v>(株)青山製作所</v>
          </cell>
          <cell r="E30" t="str">
            <v>30</v>
          </cell>
        </row>
        <row r="31">
          <cell r="B31" t="str">
            <v>2405</v>
          </cell>
          <cell r="C31" t="str">
            <v>#</v>
          </cell>
          <cell r="D31" t="str">
            <v>曙ブレーキ工業(株)</v>
          </cell>
          <cell r="E31" t="str">
            <v>54</v>
          </cell>
        </row>
        <row r="32">
          <cell r="B32" t="str">
            <v>5001</v>
          </cell>
          <cell r="C32" t="str">
            <v>#</v>
          </cell>
          <cell r="D32" t="str">
            <v>(株)浅川製作所</v>
          </cell>
          <cell r="E32" t="str">
            <v>64</v>
          </cell>
        </row>
        <row r="33">
          <cell r="B33" t="str">
            <v>0076</v>
          </cell>
          <cell r="C33" t="str">
            <v>#</v>
          </cell>
          <cell r="D33" t="str">
            <v>旭化成工業(株）</v>
          </cell>
          <cell r="E33" t="str">
            <v>10</v>
          </cell>
        </row>
        <row r="34">
          <cell r="B34" t="str">
            <v>3604</v>
          </cell>
          <cell r="C34" t="str">
            <v>#</v>
          </cell>
          <cell r="D34" t="str">
            <v>旭硝子(株)</v>
          </cell>
          <cell r="E34" t="str">
            <v>62</v>
          </cell>
        </row>
        <row r="35">
          <cell r="B35" t="str">
            <v>8593</v>
          </cell>
          <cell r="C35" t="str">
            <v>#</v>
          </cell>
          <cell r="D35" t="str">
            <v>(株)朝日工業社</v>
          </cell>
          <cell r="E35" t="str">
            <v>30</v>
          </cell>
        </row>
        <row r="36">
          <cell r="B36" t="str">
            <v>7002</v>
          </cell>
          <cell r="C36" t="str">
            <v>#</v>
          </cell>
          <cell r="D36" t="str">
            <v>旭礦油(株)</v>
          </cell>
          <cell r="E36" t="str">
            <v>15</v>
          </cell>
        </row>
        <row r="37">
          <cell r="B37" t="str">
            <v>9199</v>
          </cell>
          <cell r="C37" t="str">
            <v>#</v>
          </cell>
          <cell r="D37" t="str">
            <v>旭シンクロテック(株)</v>
          </cell>
          <cell r="E37" t="str">
            <v>30</v>
          </cell>
        </row>
        <row r="38">
          <cell r="B38" t="str">
            <v>8100</v>
          </cell>
          <cell r="C38" t="str">
            <v>#</v>
          </cell>
          <cell r="D38" t="str">
            <v>旭ダイヤモンド工業(株)</v>
          </cell>
          <cell r="E38" t="str">
            <v>30</v>
          </cell>
        </row>
        <row r="39">
          <cell r="B39" t="str">
            <v>0557</v>
          </cell>
          <cell r="C39" t="str">
            <v>#</v>
          </cell>
          <cell r="D39" t="str">
            <v>旭テック(株)</v>
          </cell>
          <cell r="E39" t="str">
            <v>53</v>
          </cell>
        </row>
        <row r="40">
          <cell r="B40" t="str">
            <v>8201</v>
          </cell>
          <cell r="C40" t="str">
            <v>#</v>
          </cell>
          <cell r="D40" t="str">
            <v>(株)朝比奈時計店</v>
          </cell>
          <cell r="E40" t="str">
            <v>30</v>
          </cell>
        </row>
        <row r="41">
          <cell r="B41" t="str">
            <v>7707</v>
          </cell>
          <cell r="C41" t="str">
            <v>#</v>
          </cell>
          <cell r="D41" t="str">
            <v>(株)浅山商会</v>
          </cell>
          <cell r="E41" t="str">
            <v>30</v>
          </cell>
        </row>
        <row r="42">
          <cell r="B42" t="str">
            <v>4625</v>
          </cell>
          <cell r="C42" t="str">
            <v>#</v>
          </cell>
          <cell r="D42" t="str">
            <v>芦森工業(株)</v>
          </cell>
          <cell r="E42" t="str">
            <v>62</v>
          </cell>
        </row>
        <row r="43">
          <cell r="B43" t="str">
            <v>7613</v>
          </cell>
          <cell r="C43" t="str">
            <v>#</v>
          </cell>
          <cell r="D43" t="str">
            <v>(株)あづまや</v>
          </cell>
          <cell r="E43" t="str">
            <v>15</v>
          </cell>
        </row>
        <row r="44">
          <cell r="B44" t="str">
            <v>5549</v>
          </cell>
          <cell r="C44" t="str">
            <v>#</v>
          </cell>
          <cell r="D44" t="str">
            <v>(株）アツミテック</v>
          </cell>
          <cell r="E44" t="str">
            <v>56</v>
          </cell>
        </row>
        <row r="45">
          <cell r="B45" t="str">
            <v>9227</v>
          </cell>
          <cell r="C45" t="str">
            <v>#</v>
          </cell>
          <cell r="D45" t="str">
            <v>ｱﾌﾟﾗｲﾄﾞﾊﾟﾜｰｼﾞｬﾊﾟﾝ (株)</v>
          </cell>
          <cell r="E45" t="str">
            <v>54</v>
          </cell>
        </row>
        <row r="46">
          <cell r="B46" t="str">
            <v>3607</v>
          </cell>
          <cell r="C46" t="str">
            <v>#</v>
          </cell>
          <cell r="D46" t="str">
            <v>(株)天尾製作所</v>
          </cell>
          <cell r="E46" t="str">
            <v>54</v>
          </cell>
        </row>
        <row r="47">
          <cell r="B47" t="str">
            <v>7811</v>
          </cell>
          <cell r="C47" t="str">
            <v>#</v>
          </cell>
          <cell r="D47" t="str">
            <v>アマノ(株)</v>
          </cell>
          <cell r="E47" t="str">
            <v>30</v>
          </cell>
        </row>
        <row r="48">
          <cell r="B48" t="str">
            <v>9543</v>
          </cell>
          <cell r="C48" t="str">
            <v>#</v>
          </cell>
          <cell r="D48" t="str">
            <v>(有)新井木型製作所</v>
          </cell>
          <cell r="E48" t="str">
            <v>30</v>
          </cell>
        </row>
        <row r="49">
          <cell r="B49" t="str">
            <v>3039</v>
          </cell>
          <cell r="C49" t="str">
            <v>#</v>
          </cell>
          <cell r="D49" t="str">
            <v>(株)荒井製作所</v>
          </cell>
          <cell r="E49" t="str">
            <v>51</v>
          </cell>
        </row>
        <row r="50">
          <cell r="B50" t="str">
            <v>9292</v>
          </cell>
          <cell r="C50" t="str">
            <v>#</v>
          </cell>
          <cell r="D50" t="str">
            <v>ｱﾗｲﾄﾞｼｸﾞﾅﾙ・ｼﾞｬﾊﾟﾝ(株)</v>
          </cell>
          <cell r="E50" t="str">
            <v>75</v>
          </cell>
        </row>
        <row r="51">
          <cell r="B51" t="str">
            <v>2647</v>
          </cell>
          <cell r="C51" t="str">
            <v>#</v>
          </cell>
          <cell r="D51" t="str">
            <v>アルパイン(株)</v>
          </cell>
          <cell r="E51" t="str">
            <v>64</v>
          </cell>
        </row>
        <row r="52">
          <cell r="B52" t="str">
            <v>7849</v>
          </cell>
          <cell r="C52" t="str">
            <v>#</v>
          </cell>
          <cell r="D52" t="str">
            <v>アルプ(株)</v>
          </cell>
          <cell r="E52" t="str">
            <v>30</v>
          </cell>
        </row>
        <row r="53">
          <cell r="B53" t="str">
            <v>3628</v>
          </cell>
          <cell r="C53" t="str">
            <v>#</v>
          </cell>
          <cell r="D53" t="str">
            <v>(株)アルファ</v>
          </cell>
          <cell r="E53" t="str">
            <v>62</v>
          </cell>
        </row>
        <row r="54">
          <cell r="B54" t="str">
            <v>8200</v>
          </cell>
          <cell r="C54" t="str">
            <v>#</v>
          </cell>
          <cell r="D54" t="str">
            <v>安全自動車(株)</v>
          </cell>
          <cell r="E54" t="str">
            <v>30</v>
          </cell>
        </row>
        <row r="55">
          <cell r="B55" t="str">
            <v>8264</v>
          </cell>
          <cell r="C55" t="str">
            <v>#</v>
          </cell>
          <cell r="D55" t="str">
            <v>安藤電気(株)</v>
          </cell>
          <cell r="E55" t="str">
            <v>30</v>
          </cell>
        </row>
        <row r="56">
          <cell r="B56" t="str">
            <v>2406</v>
          </cell>
          <cell r="C56" t="str">
            <v>#</v>
          </cell>
          <cell r="D56" t="str">
            <v>(株)イクヨ</v>
          </cell>
          <cell r="E56" t="str">
            <v>62</v>
          </cell>
        </row>
        <row r="57">
          <cell r="B57" t="str">
            <v>8592</v>
          </cell>
          <cell r="C57" t="str">
            <v>#</v>
          </cell>
          <cell r="D57" t="str">
            <v>池田煖房工業(株)</v>
          </cell>
          <cell r="E57" t="str">
            <v>30</v>
          </cell>
        </row>
        <row r="58">
          <cell r="B58" t="str">
            <v>8101</v>
          </cell>
          <cell r="C58" t="str">
            <v>#</v>
          </cell>
          <cell r="D58" t="str">
            <v>(株)ｲｼｲｺｰﾎﾟﾚｰｼｮﾝ</v>
          </cell>
          <cell r="E58" t="str">
            <v>30</v>
          </cell>
        </row>
        <row r="59">
          <cell r="B59" t="str">
            <v>3209</v>
          </cell>
          <cell r="C59" t="str">
            <v>#</v>
          </cell>
          <cell r="D59" t="str">
            <v>石川ガスケット(株)</v>
          </cell>
          <cell r="E59" t="str">
            <v>51</v>
          </cell>
        </row>
        <row r="60">
          <cell r="B60" t="str">
            <v>0534</v>
          </cell>
          <cell r="C60" t="str">
            <v>#</v>
          </cell>
          <cell r="D60" t="str">
            <v>石川島芝浦機械(株)</v>
          </cell>
          <cell r="E60" t="str">
            <v>53</v>
          </cell>
        </row>
        <row r="61">
          <cell r="B61" t="str">
            <v>0536</v>
          </cell>
          <cell r="C61" t="str">
            <v>#</v>
          </cell>
          <cell r="D61" t="str">
            <v>石川島精密鋳造(株)</v>
          </cell>
          <cell r="E61" t="str">
            <v>53</v>
          </cell>
        </row>
        <row r="62">
          <cell r="B62" t="str">
            <v>8405</v>
          </cell>
          <cell r="C62" t="str">
            <v>#</v>
          </cell>
          <cell r="D62" t="str">
            <v>石川島播磨重工業(株)</v>
          </cell>
          <cell r="E62" t="str">
            <v>51</v>
          </cell>
        </row>
        <row r="63">
          <cell r="B63" t="str">
            <v>7854</v>
          </cell>
          <cell r="C63" t="str">
            <v>#</v>
          </cell>
          <cell r="D63" t="str">
            <v>(株)いすゞｱｲ･ｹｲ･ｼ-</v>
          </cell>
          <cell r="E63" t="str">
            <v>30</v>
          </cell>
        </row>
        <row r="64">
          <cell r="B64" t="str">
            <v>8778</v>
          </cell>
          <cell r="C64" t="str">
            <v>#</v>
          </cell>
          <cell r="D64" t="str">
            <v>いすゞｴﾝｼﾞﾆｱﾘﾝｸﾞ(株)</v>
          </cell>
          <cell r="E64" t="str">
            <v>30</v>
          </cell>
        </row>
        <row r="65">
          <cell r="B65" t="str">
            <v>0558</v>
          </cell>
          <cell r="C65" t="str">
            <v>#</v>
          </cell>
          <cell r="D65" t="str">
            <v>(株)いすゞキャステック</v>
          </cell>
          <cell r="E65" t="str">
            <v>53</v>
          </cell>
        </row>
        <row r="66">
          <cell r="B66" t="str">
            <v>8782</v>
          </cell>
          <cell r="C66" t="str">
            <v>#</v>
          </cell>
          <cell r="D66" t="str">
            <v>いすゞ建設(株)</v>
          </cell>
          <cell r="E66" t="str">
            <v>30</v>
          </cell>
        </row>
        <row r="67">
          <cell r="B67" t="str">
            <v>7850</v>
          </cell>
          <cell r="C67" t="str">
            <v>#</v>
          </cell>
          <cell r="D67" t="str">
            <v>いすゞｼｽﾃﾑｻｰﾋﾞｽ(株)</v>
          </cell>
          <cell r="E67" t="str">
            <v>30</v>
          </cell>
        </row>
        <row r="68">
          <cell r="B68" t="str">
            <v>2659</v>
          </cell>
          <cell r="C68" t="str">
            <v>#</v>
          </cell>
          <cell r="D68" t="str">
            <v>(株)いすゞｾﾗﾐｯｸｽ研究所</v>
          </cell>
          <cell r="E68" t="str">
            <v>51</v>
          </cell>
        </row>
        <row r="69">
          <cell r="B69" t="str">
            <v>8664</v>
          </cell>
          <cell r="C69" t="str">
            <v>#</v>
          </cell>
          <cell r="D69" t="str">
            <v>(株)いすゞテクノ</v>
          </cell>
          <cell r="E69" t="str">
            <v>30</v>
          </cell>
        </row>
        <row r="70">
          <cell r="B70" t="str">
            <v>8928</v>
          </cell>
          <cell r="C70" t="str">
            <v>#</v>
          </cell>
          <cell r="D70" t="str">
            <v>いすゞ特装開発(株)</v>
          </cell>
          <cell r="E70" t="str">
            <v>64</v>
          </cell>
        </row>
        <row r="71">
          <cell r="B71" t="str">
            <v>8916</v>
          </cell>
          <cell r="C71" t="str">
            <v>#</v>
          </cell>
          <cell r="D71" t="str">
            <v>いすゞバス製造(株)</v>
          </cell>
          <cell r="E71" t="str">
            <v>77</v>
          </cell>
        </row>
        <row r="72">
          <cell r="B72" t="str">
            <v>8779</v>
          </cell>
          <cell r="C72" t="str">
            <v>#</v>
          </cell>
          <cell r="D72" t="str">
            <v>いすゞビル管理(株)</v>
          </cell>
          <cell r="E72" t="str">
            <v>30</v>
          </cell>
        </row>
        <row r="73">
          <cell r="B73" t="str">
            <v>8561</v>
          </cell>
          <cell r="C73" t="str">
            <v>#</v>
          </cell>
          <cell r="D73" t="str">
            <v>いすゞ物流(株)</v>
          </cell>
          <cell r="E73" t="str">
            <v>15</v>
          </cell>
        </row>
        <row r="74">
          <cell r="B74" t="str">
            <v>8753</v>
          </cell>
          <cell r="C74" t="str">
            <v>#</v>
          </cell>
          <cell r="D74" t="str">
            <v>いすゞ不動産(株)</v>
          </cell>
          <cell r="E74" t="str">
            <v>30</v>
          </cell>
        </row>
        <row r="75">
          <cell r="B75" t="str">
            <v>8781</v>
          </cell>
          <cell r="C75" t="str">
            <v>#</v>
          </cell>
          <cell r="D75" t="str">
            <v>いすゞ部品東京販売(株)</v>
          </cell>
          <cell r="E75" t="str">
            <v>15</v>
          </cell>
        </row>
        <row r="76">
          <cell r="B76" t="str">
            <v>5506</v>
          </cell>
          <cell r="C76" t="str">
            <v>#</v>
          </cell>
          <cell r="D76" t="str">
            <v>いすゞマリン製造(株)</v>
          </cell>
          <cell r="E76" t="str">
            <v>51</v>
          </cell>
        </row>
        <row r="77">
          <cell r="B77" t="str">
            <v>9289</v>
          </cell>
          <cell r="C77" t="str">
            <v>#</v>
          </cell>
          <cell r="D77" t="str">
            <v>いすゞモーター神奈川(株)</v>
          </cell>
          <cell r="E77" t="str">
            <v>30</v>
          </cell>
        </row>
        <row r="78">
          <cell r="B78" t="str">
            <v>0063</v>
          </cell>
          <cell r="C78" t="str">
            <v>#</v>
          </cell>
          <cell r="D78" t="str">
            <v>いすゞﾗｲﾈｯｸｽ(株)</v>
          </cell>
          <cell r="E78" t="str">
            <v>54</v>
          </cell>
        </row>
        <row r="79">
          <cell r="B79" t="str">
            <v>0064</v>
          </cell>
          <cell r="C79" t="str">
            <v>#</v>
          </cell>
          <cell r="D79" t="str">
            <v>いすゞ陸送(株)</v>
          </cell>
          <cell r="E79" t="str">
            <v>15</v>
          </cell>
        </row>
        <row r="80">
          <cell r="B80" t="str">
            <v>0510</v>
          </cell>
          <cell r="C80" t="str">
            <v>#</v>
          </cell>
          <cell r="D80" t="str">
            <v>イズミ工業(株)</v>
          </cell>
          <cell r="E80" t="str">
            <v>51</v>
          </cell>
        </row>
        <row r="81">
          <cell r="B81" t="str">
            <v>2421</v>
          </cell>
          <cell r="C81" t="str">
            <v>#</v>
          </cell>
          <cell r="D81" t="str">
            <v>泉自動車(株)</v>
          </cell>
          <cell r="E81" t="str">
            <v>62</v>
          </cell>
        </row>
        <row r="82">
          <cell r="B82" t="str">
            <v>2632</v>
          </cell>
          <cell r="C82" t="str">
            <v>#</v>
          </cell>
          <cell r="D82" t="str">
            <v>市光工業(株)</v>
          </cell>
          <cell r="E82" t="str">
            <v>62</v>
          </cell>
        </row>
        <row r="83">
          <cell r="B83" t="str">
            <v>7030</v>
          </cell>
          <cell r="C83" t="str">
            <v>#</v>
          </cell>
          <cell r="D83" t="str">
            <v>出光興産(株)</v>
          </cell>
          <cell r="E83" t="str">
            <v>64</v>
          </cell>
        </row>
        <row r="84">
          <cell r="B84" t="str">
            <v>0070</v>
          </cell>
          <cell r="C84" t="str">
            <v>#</v>
          </cell>
          <cell r="D84" t="str">
            <v>出光石油化学(株)</v>
          </cell>
          <cell r="E84" t="str">
            <v>10</v>
          </cell>
        </row>
        <row r="85">
          <cell r="B85" t="str">
            <v>8587</v>
          </cell>
          <cell r="C85" t="str">
            <v>#</v>
          </cell>
          <cell r="D85" t="str">
            <v>伊藤機電(株)</v>
          </cell>
          <cell r="E85" t="str">
            <v>30</v>
          </cell>
        </row>
        <row r="86">
          <cell r="B86" t="str">
            <v>8763</v>
          </cell>
          <cell r="C86" t="str">
            <v>#</v>
          </cell>
          <cell r="D86" t="str">
            <v>伊藤組土建(株)</v>
          </cell>
          <cell r="E86" t="str">
            <v>30</v>
          </cell>
        </row>
        <row r="87">
          <cell r="B87" t="str">
            <v>8758</v>
          </cell>
          <cell r="C87" t="str">
            <v>#</v>
          </cell>
          <cell r="D87" t="str">
            <v>伊藤忠建機(株)</v>
          </cell>
          <cell r="E87" t="str">
            <v>30</v>
          </cell>
        </row>
        <row r="88">
          <cell r="B88" t="str">
            <v>9248</v>
          </cell>
          <cell r="C88" t="str">
            <v>#</v>
          </cell>
          <cell r="D88" t="str">
            <v>伊藤忠産機(株)</v>
          </cell>
          <cell r="E88" t="str">
            <v>30</v>
          </cell>
        </row>
        <row r="89">
          <cell r="B89" t="str">
            <v>0058</v>
          </cell>
          <cell r="C89" t="str">
            <v>#</v>
          </cell>
          <cell r="D89" t="str">
            <v>伊藤忠商事(株)</v>
          </cell>
          <cell r="E89" t="str">
            <v>10</v>
          </cell>
        </row>
        <row r="90">
          <cell r="B90" t="str">
            <v>9138</v>
          </cell>
          <cell r="C90" t="str">
            <v>#</v>
          </cell>
          <cell r="D90" t="str">
            <v>伊藤忠ﾃｸﾉｻｲｴﾝｽ(株)</v>
          </cell>
          <cell r="E90" t="str">
            <v>30</v>
          </cell>
        </row>
        <row r="91">
          <cell r="B91" t="str">
            <v>2010</v>
          </cell>
          <cell r="C91" t="str">
            <v>#</v>
          </cell>
          <cell r="D91" t="str">
            <v>伊藤忠テック(株)</v>
          </cell>
          <cell r="E91" t="str">
            <v>30</v>
          </cell>
        </row>
        <row r="92">
          <cell r="B92" t="str">
            <v>8406</v>
          </cell>
          <cell r="C92" t="str">
            <v>#</v>
          </cell>
          <cell r="D92" t="str">
            <v>伊藤忠ﾒｶﾄﾛﾆｸｽ(株)</v>
          </cell>
          <cell r="E92" t="str">
            <v>30</v>
          </cell>
        </row>
        <row r="93">
          <cell r="B93" t="str">
            <v>3624</v>
          </cell>
          <cell r="C93" t="str">
            <v>#</v>
          </cell>
          <cell r="D93" t="str">
            <v>(株)ｲﾉｱｯｸｺｰﾎﾟﾚｰｼｮﾝ</v>
          </cell>
          <cell r="E93" t="str">
            <v>62</v>
          </cell>
        </row>
        <row r="94">
          <cell r="B94" t="str">
            <v>8518</v>
          </cell>
          <cell r="C94" t="str">
            <v>#</v>
          </cell>
          <cell r="D94" t="str">
            <v>茨城鋳工(株)</v>
          </cell>
          <cell r="E94" t="str">
            <v>30</v>
          </cell>
        </row>
        <row r="95">
          <cell r="B95" t="str">
            <v>4514</v>
          </cell>
          <cell r="C95" t="str">
            <v>#</v>
          </cell>
          <cell r="D95" t="str">
            <v>(株)今仙電機製作所</v>
          </cell>
          <cell r="E95" t="str">
            <v>62</v>
          </cell>
        </row>
        <row r="96">
          <cell r="B96" t="str">
            <v>2804</v>
          </cell>
          <cell r="C96" t="str">
            <v>#</v>
          </cell>
          <cell r="D96" t="str">
            <v>(株)イヤサカ</v>
          </cell>
          <cell r="E96" t="str">
            <v>64</v>
          </cell>
        </row>
        <row r="97">
          <cell r="B97" t="str">
            <v>9187</v>
          </cell>
          <cell r="C97" t="str">
            <v>#</v>
          </cell>
          <cell r="D97" t="str">
            <v>岩倉建設(株)</v>
          </cell>
          <cell r="E97" t="str">
            <v>30</v>
          </cell>
        </row>
        <row r="98">
          <cell r="B98" t="str">
            <v>8654</v>
          </cell>
          <cell r="C98" t="str">
            <v>#</v>
          </cell>
          <cell r="D98" t="str">
            <v>岩崎通信機(株)</v>
          </cell>
          <cell r="E98" t="str">
            <v>30</v>
          </cell>
        </row>
        <row r="99">
          <cell r="B99" t="str">
            <v>8447</v>
          </cell>
          <cell r="C99" t="str">
            <v>#</v>
          </cell>
          <cell r="D99" t="str">
            <v>岩谷産業(株)</v>
          </cell>
          <cell r="E99" t="str">
            <v>30</v>
          </cell>
        </row>
        <row r="100">
          <cell r="B100" t="str">
            <v>4617</v>
          </cell>
          <cell r="C100" t="str">
            <v>#</v>
          </cell>
          <cell r="D100" t="str">
            <v>イワタボルト(株)</v>
          </cell>
          <cell r="E100" t="str">
            <v>64</v>
          </cell>
        </row>
        <row r="101">
          <cell r="B101" t="str">
            <v>4603</v>
          </cell>
          <cell r="C101" t="str">
            <v>#</v>
          </cell>
          <cell r="D101" t="str">
            <v>(株)岩附</v>
          </cell>
          <cell r="E101" t="str">
            <v>62</v>
          </cell>
        </row>
        <row r="102">
          <cell r="B102" t="str">
            <v>9783</v>
          </cell>
          <cell r="C102" t="str">
            <v>#</v>
          </cell>
          <cell r="D102" t="str">
            <v>ｲﾝｽﾄﾛﾝ･ｼﾞｬﾊﾟﾝ(株)</v>
          </cell>
          <cell r="E102" t="str">
            <v>30</v>
          </cell>
        </row>
        <row r="103">
          <cell r="B103" t="str">
            <v>7202</v>
          </cell>
          <cell r="C103" t="str">
            <v>#</v>
          </cell>
          <cell r="D103" t="str">
            <v>(株)ｳｴｷｺｰﾎﾟﾚｰｼｮﾝ</v>
          </cell>
          <cell r="E103" t="str">
            <v>30</v>
          </cell>
        </row>
        <row r="104">
          <cell r="B104" t="str">
            <v>2612</v>
          </cell>
          <cell r="C104" t="str">
            <v>#</v>
          </cell>
          <cell r="D104" t="str">
            <v>(株)上田製作所</v>
          </cell>
          <cell r="E104" t="str">
            <v>53</v>
          </cell>
        </row>
        <row r="105">
          <cell r="B105" t="str">
            <v>8449</v>
          </cell>
          <cell r="C105" t="str">
            <v>#</v>
          </cell>
          <cell r="D105" t="str">
            <v>(株)ウエノテクニカ</v>
          </cell>
          <cell r="E105" t="str">
            <v>30</v>
          </cell>
        </row>
        <row r="106">
          <cell r="B106" t="str">
            <v>9794</v>
          </cell>
          <cell r="C106" t="str">
            <v>#</v>
          </cell>
          <cell r="D106" t="str">
            <v>(株)上野鉄工所</v>
          </cell>
          <cell r="E106" t="str">
            <v>30</v>
          </cell>
        </row>
        <row r="107">
          <cell r="B107" t="str">
            <v>8277</v>
          </cell>
          <cell r="C107" t="str">
            <v>#</v>
          </cell>
          <cell r="D107" t="str">
            <v>潮物産(株)</v>
          </cell>
          <cell r="E107" t="str">
            <v>30</v>
          </cell>
        </row>
        <row r="108">
          <cell r="B108" t="str">
            <v>3102</v>
          </cell>
          <cell r="C108" t="str">
            <v>#</v>
          </cell>
          <cell r="D108" t="str">
            <v>臼井国際産業(株)</v>
          </cell>
          <cell r="E108" t="str">
            <v>51</v>
          </cell>
        </row>
        <row r="109">
          <cell r="B109" t="str">
            <v>3210</v>
          </cell>
          <cell r="C109" t="str">
            <v>#</v>
          </cell>
          <cell r="D109" t="str">
            <v>内山工業(株)</v>
          </cell>
          <cell r="E109" t="str">
            <v>51</v>
          </cell>
        </row>
        <row r="110">
          <cell r="B110" t="str">
            <v>7403</v>
          </cell>
          <cell r="C110" t="str">
            <v>#</v>
          </cell>
          <cell r="D110" t="str">
            <v>宇津商事(株)</v>
          </cell>
          <cell r="E110" t="str">
            <v>15</v>
          </cell>
        </row>
        <row r="111">
          <cell r="B111" t="str">
            <v>9190</v>
          </cell>
          <cell r="C111" t="str">
            <v>#</v>
          </cell>
          <cell r="D111" t="str">
            <v>(株)ウメムラ</v>
          </cell>
          <cell r="E111" t="str">
            <v>30</v>
          </cell>
        </row>
        <row r="112">
          <cell r="B112" t="str">
            <v>9245</v>
          </cell>
          <cell r="C112" t="str">
            <v>#</v>
          </cell>
          <cell r="D112" t="str">
            <v>エイ・エム・テイ(株)</v>
          </cell>
          <cell r="E112" t="str">
            <v>30</v>
          </cell>
        </row>
        <row r="113">
          <cell r="B113" t="str">
            <v>9269</v>
          </cell>
          <cell r="C113" t="str">
            <v>#</v>
          </cell>
          <cell r="D113" t="str">
            <v>(株)エイチイーシー</v>
          </cell>
          <cell r="E113" t="str">
            <v>30</v>
          </cell>
        </row>
        <row r="114">
          <cell r="B114" t="str">
            <v>9160</v>
          </cell>
          <cell r="C114" t="str">
            <v>#</v>
          </cell>
          <cell r="D114" t="str">
            <v>ABBｲﾝﾀﾞｽﾄﾘｰ(株)</v>
          </cell>
          <cell r="E114" t="str">
            <v>30</v>
          </cell>
        </row>
        <row r="115">
          <cell r="B115" t="str">
            <v>3642</v>
          </cell>
          <cell r="C115" t="str">
            <v>#</v>
          </cell>
          <cell r="D115" t="str">
            <v>(株)エクシング</v>
          </cell>
          <cell r="E115" t="str">
            <v>62</v>
          </cell>
        </row>
        <row r="116">
          <cell r="B116" t="str">
            <v>5503</v>
          </cell>
          <cell r="C116" t="str">
            <v>#</v>
          </cell>
          <cell r="D116" t="str">
            <v>(株)エクセディ</v>
          </cell>
          <cell r="E116" t="str">
            <v>56</v>
          </cell>
        </row>
        <row r="117">
          <cell r="B117" t="str">
            <v>3042</v>
          </cell>
          <cell r="C117" t="str">
            <v>#</v>
          </cell>
          <cell r="D117" t="str">
            <v>エクセル(株)</v>
          </cell>
          <cell r="E117" t="str">
            <v>62</v>
          </cell>
        </row>
        <row r="118">
          <cell r="B118" t="str">
            <v>3100</v>
          </cell>
          <cell r="C118" t="str">
            <v>#</v>
          </cell>
          <cell r="D118" t="str">
            <v>江崎工業(株)</v>
          </cell>
          <cell r="E118" t="str">
            <v>51</v>
          </cell>
        </row>
        <row r="119">
          <cell r="B119" t="str">
            <v>9257</v>
          </cell>
          <cell r="C119" t="str">
            <v>#</v>
          </cell>
          <cell r="D119" t="str">
            <v>(株)ｴｽｴｽﾘﾐﾃｯﾄﾞ</v>
          </cell>
          <cell r="E119" t="str">
            <v>62</v>
          </cell>
        </row>
        <row r="120">
          <cell r="B120" t="str">
            <v>8882</v>
          </cell>
          <cell r="C120" t="str">
            <v>#</v>
          </cell>
          <cell r="D120" t="str">
            <v>(株)ｴｽｹｰｼﾞｰｻｰﾋﾞｽ</v>
          </cell>
          <cell r="E120" t="str">
            <v>30</v>
          </cell>
        </row>
        <row r="121">
          <cell r="B121" t="str">
            <v>0513</v>
          </cell>
          <cell r="C121" t="str">
            <v>#</v>
          </cell>
          <cell r="D121" t="str">
            <v>ＳＰＲ(株)</v>
          </cell>
          <cell r="E121" t="str">
            <v>53</v>
          </cell>
        </row>
        <row r="122">
          <cell r="B122" t="str">
            <v>4641</v>
          </cell>
          <cell r="C122" t="str">
            <v>#</v>
          </cell>
          <cell r="D122" t="str">
            <v>エック工業(株)</v>
          </cell>
          <cell r="E122" t="str">
            <v>62</v>
          </cell>
        </row>
        <row r="123">
          <cell r="B123" t="str">
            <v>9166</v>
          </cell>
          <cell r="C123" t="str">
            <v>#</v>
          </cell>
          <cell r="D123" t="str">
            <v>ｴﾇ･ｲｰ ｹﾑｷｬｯﾄ(株)</v>
          </cell>
          <cell r="E123" t="str">
            <v>51</v>
          </cell>
        </row>
        <row r="124">
          <cell r="B124" t="str">
            <v>8619</v>
          </cell>
          <cell r="C124" t="str">
            <v>#</v>
          </cell>
          <cell r="D124" t="str">
            <v>ＮＥＣ三栄(株)</v>
          </cell>
          <cell r="E124" t="str">
            <v>30</v>
          </cell>
        </row>
        <row r="125">
          <cell r="B125" t="str">
            <v>7848</v>
          </cell>
          <cell r="C125" t="str">
            <v>#</v>
          </cell>
          <cell r="D125" t="str">
            <v>ｴﾇｴｽ･ｶﾙｺﾝﾌﾟ(株)</v>
          </cell>
          <cell r="E125" t="str">
            <v>30</v>
          </cell>
        </row>
        <row r="126">
          <cell r="B126" t="str">
            <v>3002</v>
          </cell>
          <cell r="C126" t="str">
            <v>#</v>
          </cell>
          <cell r="D126" t="str">
            <v>ＮＯＫ(株)</v>
          </cell>
          <cell r="E126" t="str">
            <v>51</v>
          </cell>
        </row>
        <row r="127">
          <cell r="B127" t="str">
            <v>9277</v>
          </cell>
          <cell r="C127" t="str">
            <v>#</v>
          </cell>
          <cell r="D127" t="str">
            <v>(株)エヌコア</v>
          </cell>
          <cell r="E127" t="str">
            <v>51</v>
          </cell>
        </row>
        <row r="128">
          <cell r="B128" t="str">
            <v>2209</v>
          </cell>
          <cell r="C128" t="str">
            <v>#</v>
          </cell>
          <cell r="D128" t="str">
            <v>ＮＴＮ(株)</v>
          </cell>
          <cell r="E128" t="str">
            <v>54</v>
          </cell>
        </row>
        <row r="129">
          <cell r="B129" t="str">
            <v>2212</v>
          </cell>
          <cell r="C129" t="str">
            <v>#</v>
          </cell>
          <cell r="D129" t="str">
            <v>エヌデーシー(株)</v>
          </cell>
          <cell r="E129" t="str">
            <v>51</v>
          </cell>
        </row>
        <row r="130">
          <cell r="B130" t="str">
            <v>2809</v>
          </cell>
          <cell r="C130" t="str">
            <v>#</v>
          </cell>
          <cell r="D130" t="str">
            <v>荏原工業(株)</v>
          </cell>
          <cell r="E130" t="str">
            <v>53</v>
          </cell>
        </row>
        <row r="131">
          <cell r="B131" t="str">
            <v>2600</v>
          </cell>
          <cell r="C131" t="str">
            <v>#</v>
          </cell>
          <cell r="D131" t="str">
            <v>(株)エビナ電機製作所</v>
          </cell>
          <cell r="E131" t="str">
            <v>62</v>
          </cell>
        </row>
        <row r="132">
          <cell r="B132" t="str">
            <v>2512</v>
          </cell>
          <cell r="C132" t="str">
            <v>#</v>
          </cell>
          <cell r="D132" t="str">
            <v>(株)エフテック</v>
          </cell>
          <cell r="E132" t="str">
            <v>54</v>
          </cell>
        </row>
        <row r="133">
          <cell r="B133" t="str">
            <v>9770</v>
          </cell>
          <cell r="C133" t="str">
            <v>#</v>
          </cell>
          <cell r="D133" t="str">
            <v>ｴﾑ･ﾃｨ･ｴｽ･ｼﾞｬﾊﾟﾝ(株)</v>
          </cell>
          <cell r="E133" t="str">
            <v>30</v>
          </cell>
        </row>
        <row r="134">
          <cell r="B134" t="str">
            <v>7630</v>
          </cell>
          <cell r="C134" t="str">
            <v>#</v>
          </cell>
          <cell r="D134" t="str">
            <v>エム・シー砿産(株)</v>
          </cell>
          <cell r="E134" t="str">
            <v>15</v>
          </cell>
        </row>
        <row r="135">
          <cell r="B135" t="str">
            <v>8126</v>
          </cell>
          <cell r="C135" t="str">
            <v>#</v>
          </cell>
          <cell r="D135" t="str">
            <v>エラステック(株)</v>
          </cell>
          <cell r="E135" t="str">
            <v>30</v>
          </cell>
        </row>
        <row r="136">
          <cell r="B136" t="str">
            <v>5078</v>
          </cell>
          <cell r="C136" t="str">
            <v>#</v>
          </cell>
          <cell r="D136" t="str">
            <v>(株)エラン</v>
          </cell>
          <cell r="E136" t="str">
            <v>64</v>
          </cell>
        </row>
        <row r="137">
          <cell r="B137" t="str">
            <v>8044</v>
          </cell>
          <cell r="C137" t="str">
            <v>#</v>
          </cell>
          <cell r="D137" t="str">
            <v>エンシュウ(株)</v>
          </cell>
          <cell r="E137" t="str">
            <v>30</v>
          </cell>
        </row>
        <row r="138">
          <cell r="B138" t="str">
            <v>9700</v>
          </cell>
          <cell r="C138" t="str">
            <v>#</v>
          </cell>
          <cell r="D138" t="str">
            <v>オイレス工業(株)</v>
          </cell>
          <cell r="E138" t="str">
            <v>54</v>
          </cell>
        </row>
        <row r="139">
          <cell r="B139" t="str">
            <v>8423</v>
          </cell>
          <cell r="C139" t="str">
            <v>#</v>
          </cell>
          <cell r="D139" t="str">
            <v>王子工営(株)</v>
          </cell>
          <cell r="E139" t="str">
            <v>30</v>
          </cell>
        </row>
        <row r="140">
          <cell r="B140" t="str">
            <v>8777</v>
          </cell>
          <cell r="C140" t="str">
            <v>#</v>
          </cell>
          <cell r="D140" t="str">
            <v>王子緑化(株)</v>
          </cell>
          <cell r="E140" t="str">
            <v>30</v>
          </cell>
        </row>
        <row r="141">
          <cell r="B141" t="str">
            <v>0528</v>
          </cell>
          <cell r="C141" t="str">
            <v>#</v>
          </cell>
          <cell r="D141" t="str">
            <v>近江鍛工(株)</v>
          </cell>
          <cell r="E141" t="str">
            <v>53</v>
          </cell>
        </row>
        <row r="142">
          <cell r="B142" t="str">
            <v>3038</v>
          </cell>
          <cell r="C142" t="str">
            <v>#</v>
          </cell>
          <cell r="D142" t="str">
            <v>(株)大井製作所</v>
          </cell>
          <cell r="E142" t="str">
            <v>62</v>
          </cell>
        </row>
        <row r="143">
          <cell r="B143" t="str">
            <v>7509</v>
          </cell>
          <cell r="C143" t="str">
            <v>#</v>
          </cell>
          <cell r="D143" t="str">
            <v>オーウェル(株)</v>
          </cell>
          <cell r="E143" t="str">
            <v>15</v>
          </cell>
        </row>
        <row r="144">
          <cell r="B144" t="str">
            <v>8402</v>
          </cell>
          <cell r="C144" t="str">
            <v>#</v>
          </cell>
          <cell r="D144" t="str">
            <v>(株)大浦製作所</v>
          </cell>
          <cell r="E144" t="str">
            <v>30</v>
          </cell>
        </row>
        <row r="145">
          <cell r="B145" t="str">
            <v>0554</v>
          </cell>
          <cell r="C145" t="str">
            <v>#</v>
          </cell>
          <cell r="D145" t="str">
            <v>大岡技研(株)</v>
          </cell>
          <cell r="E145" t="str">
            <v>53</v>
          </cell>
        </row>
        <row r="146">
          <cell r="B146" t="str">
            <v>9275</v>
          </cell>
          <cell r="C146" t="str">
            <v>#</v>
          </cell>
          <cell r="D146" t="str">
            <v>大久保歯車工業(株)</v>
          </cell>
          <cell r="E146" t="str">
            <v>56</v>
          </cell>
        </row>
        <row r="147">
          <cell r="B147" t="str">
            <v>8227</v>
          </cell>
          <cell r="C147" t="str">
            <v>#</v>
          </cell>
          <cell r="D147" t="str">
            <v>大倉商事(株)</v>
          </cell>
          <cell r="E147" t="str">
            <v>30</v>
          </cell>
        </row>
        <row r="148">
          <cell r="B148" t="str">
            <v>8206</v>
          </cell>
          <cell r="C148" t="str">
            <v>#</v>
          </cell>
          <cell r="D148" t="str">
            <v>大古精機(株)</v>
          </cell>
          <cell r="E148" t="str">
            <v>30</v>
          </cell>
        </row>
        <row r="149">
          <cell r="B149" t="str">
            <v>8398</v>
          </cell>
          <cell r="C149" t="str">
            <v>#</v>
          </cell>
          <cell r="D149" t="str">
            <v>大阪工作機械販売(株)</v>
          </cell>
          <cell r="E149" t="str">
            <v>30</v>
          </cell>
        </row>
        <row r="150">
          <cell r="B150" t="str">
            <v>7620</v>
          </cell>
          <cell r="C150" t="str">
            <v>#</v>
          </cell>
          <cell r="D150" t="str">
            <v>大阪ジルコン工業(株)</v>
          </cell>
          <cell r="E150" t="str">
            <v>15</v>
          </cell>
        </row>
        <row r="151">
          <cell r="B151" t="str">
            <v>8378</v>
          </cell>
          <cell r="C151" t="str">
            <v>#</v>
          </cell>
          <cell r="D151" t="str">
            <v>大阪製鎖造機(株)</v>
          </cell>
          <cell r="E151" t="str">
            <v>30</v>
          </cell>
        </row>
        <row r="152">
          <cell r="B152" t="str">
            <v>9237</v>
          </cell>
          <cell r="C152" t="str">
            <v>#</v>
          </cell>
          <cell r="D152" t="str">
            <v>大阪精密機械(株)</v>
          </cell>
          <cell r="E152" t="str">
            <v>30</v>
          </cell>
        </row>
        <row r="153">
          <cell r="B153" t="str">
            <v>8332</v>
          </cell>
          <cell r="C153" t="str">
            <v>#</v>
          </cell>
          <cell r="D153" t="str">
            <v>大阪電気(株)</v>
          </cell>
          <cell r="E153" t="str">
            <v>30</v>
          </cell>
        </row>
        <row r="154">
          <cell r="B154" t="str">
            <v>7314</v>
          </cell>
          <cell r="C154" t="str">
            <v>#</v>
          </cell>
          <cell r="D154" t="str">
            <v>オー・ジー(株)</v>
          </cell>
          <cell r="E154" t="str">
            <v>15</v>
          </cell>
        </row>
        <row r="155">
          <cell r="B155" t="str">
            <v>0507</v>
          </cell>
          <cell r="C155" t="str">
            <v>#</v>
          </cell>
          <cell r="D155" t="str">
            <v>(株)太田鉄工所</v>
          </cell>
          <cell r="E155" t="str">
            <v>53</v>
          </cell>
        </row>
        <row r="156">
          <cell r="B156" t="str">
            <v>3201</v>
          </cell>
          <cell r="C156" t="str">
            <v>#</v>
          </cell>
          <cell r="D156" t="str">
            <v>(株)オーツカ</v>
          </cell>
          <cell r="E156" t="str">
            <v>51</v>
          </cell>
        </row>
        <row r="157">
          <cell r="B157" t="str">
            <v>3032</v>
          </cell>
          <cell r="C157" t="str">
            <v>#</v>
          </cell>
          <cell r="D157" t="str">
            <v>大塚工機(株)</v>
          </cell>
          <cell r="E157" t="str">
            <v>54</v>
          </cell>
        </row>
        <row r="158">
          <cell r="B158" t="str">
            <v>0579</v>
          </cell>
          <cell r="C158" t="str">
            <v>#</v>
          </cell>
          <cell r="D158" t="str">
            <v>大塚鉄工(株)</v>
          </cell>
          <cell r="E158" t="str">
            <v>53</v>
          </cell>
        </row>
        <row r="159">
          <cell r="B159" t="str">
            <v>2106</v>
          </cell>
          <cell r="C159" t="str">
            <v>#</v>
          </cell>
          <cell r="D159" t="str">
            <v>オーツタイヤ(株)</v>
          </cell>
          <cell r="E159" t="str">
            <v>54</v>
          </cell>
        </row>
        <row r="160">
          <cell r="B160" t="str">
            <v>2424</v>
          </cell>
          <cell r="C160" t="str">
            <v>#</v>
          </cell>
          <cell r="D160" t="str">
            <v>オートリブ･ジャパン(株)</v>
          </cell>
          <cell r="E160" t="str">
            <v>62</v>
          </cell>
        </row>
        <row r="161">
          <cell r="B161" t="str">
            <v>5068</v>
          </cell>
          <cell r="C161" t="str">
            <v>#</v>
          </cell>
          <cell r="D161" t="str">
            <v>(株)オーハシテクニカ</v>
          </cell>
          <cell r="E161" t="str">
            <v>64</v>
          </cell>
        </row>
        <row r="162">
          <cell r="B162" t="str">
            <v>8742</v>
          </cell>
          <cell r="C162" t="str">
            <v>#</v>
          </cell>
          <cell r="D162" t="str">
            <v>(株)大林組</v>
          </cell>
          <cell r="E162" t="str">
            <v>30</v>
          </cell>
        </row>
        <row r="163">
          <cell r="B163" t="str">
            <v>9704</v>
          </cell>
          <cell r="C163" t="str">
            <v>#</v>
          </cell>
          <cell r="D163" t="str">
            <v>大林道路(株)</v>
          </cell>
          <cell r="E163" t="str">
            <v>30</v>
          </cell>
        </row>
        <row r="164">
          <cell r="B164" t="str">
            <v>9692</v>
          </cell>
          <cell r="C164" t="str">
            <v>#</v>
          </cell>
          <cell r="D164" t="str">
            <v>岡田工業(株)</v>
          </cell>
          <cell r="E164" t="str">
            <v>30</v>
          </cell>
        </row>
        <row r="165">
          <cell r="B165" t="str">
            <v>8134</v>
          </cell>
          <cell r="C165" t="str">
            <v>#</v>
          </cell>
          <cell r="D165" t="str">
            <v>岡部金属(株)</v>
          </cell>
          <cell r="E165" t="str">
            <v>30</v>
          </cell>
        </row>
        <row r="166">
          <cell r="B166" t="str">
            <v>5507</v>
          </cell>
          <cell r="C166" t="str">
            <v>#</v>
          </cell>
          <cell r="D166" t="str">
            <v>(株)岡村製作所</v>
          </cell>
          <cell r="E166" t="str">
            <v>30</v>
          </cell>
        </row>
        <row r="167">
          <cell r="B167" t="str">
            <v>0021</v>
          </cell>
          <cell r="C167" t="str">
            <v>#</v>
          </cell>
          <cell r="D167" t="str">
            <v>岡谷鋼機(株)</v>
          </cell>
          <cell r="E167" t="str">
            <v>10</v>
          </cell>
        </row>
        <row r="168">
          <cell r="B168" t="str">
            <v>8347</v>
          </cell>
          <cell r="C168" t="str">
            <v>#</v>
          </cell>
          <cell r="D168" t="str">
            <v>(株)オーマット</v>
          </cell>
          <cell r="E168" t="str">
            <v>30</v>
          </cell>
        </row>
        <row r="169">
          <cell r="B169" t="str">
            <v>8636</v>
          </cell>
          <cell r="C169" t="str">
            <v>#</v>
          </cell>
          <cell r="D169" t="str">
            <v>沖電気工業(株)</v>
          </cell>
          <cell r="E169" t="str">
            <v>30</v>
          </cell>
        </row>
        <row r="170">
          <cell r="B170" t="str">
            <v>8376</v>
          </cell>
          <cell r="C170" t="str">
            <v>#</v>
          </cell>
          <cell r="D170" t="str">
            <v>(株)オギハラ</v>
          </cell>
          <cell r="E170" t="str">
            <v>30</v>
          </cell>
        </row>
        <row r="171">
          <cell r="B171" t="str">
            <v>8440</v>
          </cell>
          <cell r="C171" t="str">
            <v>#</v>
          </cell>
          <cell r="D171" t="str">
            <v>(株)小樽製作所</v>
          </cell>
          <cell r="E171" t="str">
            <v>30</v>
          </cell>
        </row>
        <row r="172">
          <cell r="B172" t="str">
            <v>8628</v>
          </cell>
          <cell r="C172" t="str">
            <v>#</v>
          </cell>
          <cell r="D172" t="str">
            <v>(株)小野測器</v>
          </cell>
          <cell r="E172" t="str">
            <v>30</v>
          </cell>
        </row>
        <row r="173">
          <cell r="B173" t="str">
            <v>8261</v>
          </cell>
          <cell r="C173" t="str">
            <v>#</v>
          </cell>
          <cell r="D173" t="str">
            <v>ＯＢＡＲＡ(株)</v>
          </cell>
          <cell r="E173" t="str">
            <v>30</v>
          </cell>
        </row>
        <row r="174">
          <cell r="B174" t="str">
            <v>2654</v>
          </cell>
          <cell r="C174" t="str">
            <v>#</v>
          </cell>
          <cell r="D174" t="str">
            <v>オムロン(株)</v>
          </cell>
          <cell r="E174" t="str">
            <v>62</v>
          </cell>
        </row>
        <row r="175">
          <cell r="B175" t="str">
            <v>2709</v>
          </cell>
          <cell r="C175" t="str">
            <v>#</v>
          </cell>
          <cell r="D175" t="str">
            <v>(株)折橋製作所</v>
          </cell>
          <cell r="E175" t="str">
            <v>51</v>
          </cell>
        </row>
        <row r="176">
          <cell r="B176" t="str">
            <v>0574</v>
          </cell>
          <cell r="C176" t="str">
            <v>#</v>
          </cell>
          <cell r="D176" t="str">
            <v>尾張精機(株)</v>
          </cell>
          <cell r="E176" t="str">
            <v>64</v>
          </cell>
        </row>
        <row r="177">
          <cell r="B177" t="str">
            <v>3004</v>
          </cell>
          <cell r="C177" t="str">
            <v>#</v>
          </cell>
          <cell r="D177" t="str">
            <v>(株)音戸工作所</v>
          </cell>
          <cell r="E177" t="str">
            <v>64</v>
          </cell>
        </row>
        <row r="178">
          <cell r="B178" t="str">
            <v>4613</v>
          </cell>
          <cell r="C178" t="str">
            <v>#</v>
          </cell>
          <cell r="D178" t="str">
            <v>岳南有機(株)</v>
          </cell>
          <cell r="E178" t="str">
            <v>62</v>
          </cell>
        </row>
        <row r="179">
          <cell r="B179" t="str">
            <v>4646</v>
          </cell>
          <cell r="C179" t="str">
            <v>#</v>
          </cell>
          <cell r="D179" t="str">
            <v>河西工業(株)</v>
          </cell>
          <cell r="E179" t="str">
            <v>62</v>
          </cell>
        </row>
        <row r="180">
          <cell r="B180" t="str">
            <v>8713</v>
          </cell>
          <cell r="C180" t="str">
            <v>#</v>
          </cell>
          <cell r="D180" t="str">
            <v>鹿島建設(株)</v>
          </cell>
          <cell r="E180" t="str">
            <v>30</v>
          </cell>
        </row>
        <row r="181">
          <cell r="B181" t="str">
            <v>9205</v>
          </cell>
          <cell r="C181" t="str">
            <v>#</v>
          </cell>
          <cell r="D181" t="str">
            <v>鹿島道路(株)</v>
          </cell>
          <cell r="E181" t="str">
            <v>30</v>
          </cell>
        </row>
        <row r="182">
          <cell r="B182" t="str">
            <v>9163</v>
          </cell>
          <cell r="C182" t="str">
            <v>#</v>
          </cell>
          <cell r="D182" t="str">
            <v>樫山工業(株)</v>
          </cell>
          <cell r="E182" t="str">
            <v>51</v>
          </cell>
        </row>
        <row r="183">
          <cell r="B183" t="str">
            <v>8613</v>
          </cell>
          <cell r="C183" t="str">
            <v>#</v>
          </cell>
          <cell r="D183" t="str">
            <v>ガデリウス(株)</v>
          </cell>
          <cell r="E183" t="str">
            <v>30</v>
          </cell>
        </row>
        <row r="184">
          <cell r="B184" t="str">
            <v>9196</v>
          </cell>
          <cell r="C184" t="str">
            <v>#</v>
          </cell>
          <cell r="D184" t="str">
            <v>門脇建設(株)</v>
          </cell>
          <cell r="E184" t="str">
            <v>30</v>
          </cell>
        </row>
        <row r="185">
          <cell r="B185" t="str">
            <v>0571</v>
          </cell>
          <cell r="C185" t="str">
            <v>#</v>
          </cell>
          <cell r="D185" t="str">
            <v>鼎興業(有)</v>
          </cell>
          <cell r="E185" t="str">
            <v>15</v>
          </cell>
        </row>
        <row r="186">
          <cell r="B186" t="str">
            <v>8920</v>
          </cell>
          <cell r="C186" t="str">
            <v>#</v>
          </cell>
          <cell r="D186" t="str">
            <v>神奈川いすゞ自動車(株)</v>
          </cell>
          <cell r="E186" t="str">
            <v>30</v>
          </cell>
        </row>
        <row r="187">
          <cell r="B187" t="str">
            <v>8581</v>
          </cell>
          <cell r="C187" t="str">
            <v>#</v>
          </cell>
          <cell r="D187" t="str">
            <v>神奈川小松ﾌｫｰｸﾘﾌﾄ(株)</v>
          </cell>
          <cell r="E187" t="str">
            <v>30</v>
          </cell>
        </row>
        <row r="188">
          <cell r="B188" t="str">
            <v>7025</v>
          </cell>
          <cell r="C188" t="str">
            <v>#</v>
          </cell>
          <cell r="D188" t="str">
            <v>(株)カナセキユニオン</v>
          </cell>
          <cell r="E188" t="str">
            <v>15</v>
          </cell>
        </row>
        <row r="189">
          <cell r="B189" t="str">
            <v>8022</v>
          </cell>
          <cell r="C189" t="str">
            <v>#</v>
          </cell>
          <cell r="D189" t="str">
            <v>神奈川リコー(株)</v>
          </cell>
          <cell r="E189" t="str">
            <v>30</v>
          </cell>
        </row>
        <row r="190">
          <cell r="B190" t="str">
            <v>3025</v>
          </cell>
          <cell r="C190" t="str">
            <v>#</v>
          </cell>
          <cell r="D190" t="str">
            <v>金澤工業(株)</v>
          </cell>
          <cell r="E190" t="str">
            <v>64</v>
          </cell>
        </row>
        <row r="191">
          <cell r="B191" t="str">
            <v>8665</v>
          </cell>
          <cell r="C191" t="str">
            <v>#</v>
          </cell>
          <cell r="D191" t="str">
            <v>(株)カネショー</v>
          </cell>
          <cell r="E191" t="str">
            <v>30</v>
          </cell>
        </row>
        <row r="192">
          <cell r="B192" t="str">
            <v>8554</v>
          </cell>
          <cell r="C192" t="str">
            <v>#</v>
          </cell>
          <cell r="D192" t="str">
            <v>兼松(株)</v>
          </cell>
          <cell r="E192" t="str">
            <v>30</v>
          </cell>
        </row>
        <row r="193">
          <cell r="B193" t="str">
            <v>9273</v>
          </cell>
          <cell r="C193" t="str">
            <v>#</v>
          </cell>
          <cell r="D193" t="str">
            <v>兼松ｴﾚｸﾄﾛﾆｸｽ(株)</v>
          </cell>
          <cell r="E193" t="str">
            <v>30</v>
          </cell>
        </row>
        <row r="194">
          <cell r="B194" t="str">
            <v>8598</v>
          </cell>
          <cell r="C194" t="str">
            <v>#</v>
          </cell>
          <cell r="D194" t="str">
            <v>カマクラ商販(株)</v>
          </cell>
          <cell r="E194" t="str">
            <v>30</v>
          </cell>
        </row>
        <row r="195">
          <cell r="B195" t="str">
            <v>8649</v>
          </cell>
          <cell r="C195" t="str">
            <v>#</v>
          </cell>
          <cell r="D195" t="str">
            <v>(株)神内電機製作所</v>
          </cell>
          <cell r="E195" t="str">
            <v>30</v>
          </cell>
        </row>
        <row r="196">
          <cell r="B196" t="str">
            <v>8510</v>
          </cell>
          <cell r="C196" t="str">
            <v>#</v>
          </cell>
          <cell r="D196" t="str">
            <v>カヤバ工業(株)</v>
          </cell>
          <cell r="E196" t="str">
            <v>54</v>
          </cell>
        </row>
        <row r="197">
          <cell r="B197" t="str">
            <v>3040</v>
          </cell>
          <cell r="C197" t="str">
            <v>#</v>
          </cell>
          <cell r="D197" t="str">
            <v>カルソニック(株)</v>
          </cell>
          <cell r="E197" t="str">
            <v>54</v>
          </cell>
        </row>
        <row r="198">
          <cell r="B198" t="str">
            <v>8453</v>
          </cell>
          <cell r="C198" t="str">
            <v>#</v>
          </cell>
          <cell r="D198" t="str">
            <v>川口特殊機鋼(株)</v>
          </cell>
          <cell r="E198" t="str">
            <v>30</v>
          </cell>
        </row>
        <row r="199">
          <cell r="B199" t="str">
            <v>0556</v>
          </cell>
          <cell r="C199" t="str">
            <v>#</v>
          </cell>
          <cell r="D199" t="str">
            <v>川口内燃機鋳造(株)</v>
          </cell>
          <cell r="E199" t="str">
            <v>53</v>
          </cell>
        </row>
        <row r="200">
          <cell r="B200" t="str">
            <v>3511</v>
          </cell>
          <cell r="C200" t="str">
            <v>#</v>
          </cell>
          <cell r="D200" t="str">
            <v>川崎重工業(株)</v>
          </cell>
          <cell r="E200" t="str">
            <v>56</v>
          </cell>
        </row>
        <row r="201">
          <cell r="B201" t="str">
            <v>0000ｴ</v>
          </cell>
          <cell r="C201" t="str">
            <v>#</v>
          </cell>
          <cell r="D201" t="str">
            <v>川崎製鉄(株)</v>
          </cell>
          <cell r="E201" t="str">
            <v>10</v>
          </cell>
        </row>
        <row r="202">
          <cell r="B202" t="str">
            <v>8562</v>
          </cell>
          <cell r="C202" t="str">
            <v>#</v>
          </cell>
          <cell r="D202" t="str">
            <v>川崎設備工業(株)</v>
          </cell>
          <cell r="E202" t="str">
            <v>30</v>
          </cell>
        </row>
        <row r="203">
          <cell r="B203" t="str">
            <v>0501</v>
          </cell>
          <cell r="C203" t="str">
            <v>#</v>
          </cell>
          <cell r="D203" t="str">
            <v>川崎鍛工(株)</v>
          </cell>
          <cell r="E203" t="str">
            <v>53</v>
          </cell>
        </row>
        <row r="204">
          <cell r="B204" t="str">
            <v>5009</v>
          </cell>
          <cell r="C204" t="str">
            <v>#</v>
          </cell>
          <cell r="D204" t="str">
            <v>川崎自動車工業(株)</v>
          </cell>
          <cell r="E204" t="str">
            <v>53</v>
          </cell>
        </row>
        <row r="205">
          <cell r="B205" t="str">
            <v>8416</v>
          </cell>
          <cell r="C205" t="str">
            <v>#</v>
          </cell>
          <cell r="D205" t="str">
            <v>(株)川崎モデル製作所</v>
          </cell>
          <cell r="E205" t="str">
            <v>30</v>
          </cell>
        </row>
        <row r="206">
          <cell r="B206" t="str">
            <v>8454</v>
          </cell>
          <cell r="C206" t="str">
            <v>#</v>
          </cell>
          <cell r="D206" t="str">
            <v>川重商事(株)</v>
          </cell>
          <cell r="E206" t="str">
            <v>30</v>
          </cell>
        </row>
        <row r="207">
          <cell r="B207" t="str">
            <v>8433</v>
          </cell>
          <cell r="C207" t="str">
            <v>#</v>
          </cell>
          <cell r="D207" t="str">
            <v>川商エレクトロニクス(株)</v>
          </cell>
          <cell r="E207" t="str">
            <v>30</v>
          </cell>
        </row>
        <row r="208">
          <cell r="B208" t="str">
            <v>8776</v>
          </cell>
          <cell r="C208" t="str">
            <v>#</v>
          </cell>
          <cell r="D208" t="str">
            <v>(株)川田建設</v>
          </cell>
          <cell r="E208" t="str">
            <v>30</v>
          </cell>
        </row>
        <row r="209">
          <cell r="B209" t="str">
            <v>8362</v>
          </cell>
          <cell r="C209" t="str">
            <v>#</v>
          </cell>
          <cell r="D209" t="str">
            <v>川鍛機工(株)</v>
          </cell>
          <cell r="E209" t="str">
            <v>30</v>
          </cell>
        </row>
        <row r="210">
          <cell r="B210" t="str">
            <v>7611</v>
          </cell>
          <cell r="C210" t="str">
            <v>#</v>
          </cell>
          <cell r="D210" t="str">
            <v>(株)川炉耐火工業所</v>
          </cell>
          <cell r="E210" t="str">
            <v>15</v>
          </cell>
        </row>
        <row r="211">
          <cell r="B211" t="str">
            <v>7513</v>
          </cell>
          <cell r="C211" t="str">
            <v>#</v>
          </cell>
          <cell r="D211" t="str">
            <v>関西ペイント(株)</v>
          </cell>
          <cell r="E211" t="str">
            <v>15</v>
          </cell>
        </row>
        <row r="212">
          <cell r="B212" t="str">
            <v>2648</v>
          </cell>
          <cell r="C212" t="str">
            <v>#</v>
          </cell>
          <cell r="D212" t="str">
            <v>(株)カンセイ</v>
          </cell>
          <cell r="E212" t="str">
            <v>62</v>
          </cell>
        </row>
        <row r="213">
          <cell r="B213" t="str">
            <v>8643</v>
          </cell>
          <cell r="C213" t="str">
            <v>#</v>
          </cell>
          <cell r="D213" t="str">
            <v>(株)関電工</v>
          </cell>
          <cell r="E213" t="str">
            <v>30</v>
          </cell>
        </row>
        <row r="214">
          <cell r="B214" t="str">
            <v>8257</v>
          </cell>
          <cell r="C214" t="str">
            <v>#</v>
          </cell>
          <cell r="D214" t="str">
            <v>関東計器工業(株)</v>
          </cell>
          <cell r="E214" t="str">
            <v>30</v>
          </cell>
        </row>
        <row r="215">
          <cell r="B215" t="str">
            <v>5069</v>
          </cell>
          <cell r="C215" t="str">
            <v>#</v>
          </cell>
          <cell r="D215" t="str">
            <v>(株)関東商会</v>
          </cell>
          <cell r="E215" t="str">
            <v>64</v>
          </cell>
        </row>
        <row r="216">
          <cell r="B216" t="str">
            <v>8657</v>
          </cell>
          <cell r="C216" t="str">
            <v>#</v>
          </cell>
          <cell r="D216" t="str">
            <v>北日本通信建設(株)</v>
          </cell>
          <cell r="E216" t="str">
            <v>30</v>
          </cell>
        </row>
        <row r="217">
          <cell r="B217" t="str">
            <v>2631</v>
          </cell>
          <cell r="C217" t="str">
            <v>#</v>
          </cell>
          <cell r="D217" t="str">
            <v>(株)北原製作所</v>
          </cell>
          <cell r="E217" t="str">
            <v>62</v>
          </cell>
        </row>
        <row r="218">
          <cell r="B218" t="str">
            <v>3527</v>
          </cell>
          <cell r="C218" t="str">
            <v>#</v>
          </cell>
          <cell r="D218" t="str">
            <v>(株)北村製作所</v>
          </cell>
          <cell r="E218" t="str">
            <v>77</v>
          </cell>
        </row>
        <row r="219">
          <cell r="B219" t="str">
            <v>8929</v>
          </cell>
          <cell r="C219" t="str">
            <v>#</v>
          </cell>
          <cell r="D219" t="str">
            <v>(株)キック</v>
          </cell>
          <cell r="E219" t="str">
            <v>64</v>
          </cell>
        </row>
        <row r="220">
          <cell r="B220" t="str">
            <v>9116</v>
          </cell>
          <cell r="C220" t="str">
            <v>#</v>
          </cell>
          <cell r="D220" t="str">
            <v>岐阜精機工業(株)</v>
          </cell>
          <cell r="E220" t="str">
            <v>30</v>
          </cell>
        </row>
        <row r="221">
          <cell r="B221" t="str">
            <v>9215</v>
          </cell>
          <cell r="C221" t="str">
            <v>#</v>
          </cell>
          <cell r="D221" t="str">
            <v>(株)木村鋳造所</v>
          </cell>
          <cell r="E221" t="str">
            <v>30</v>
          </cell>
        </row>
        <row r="222">
          <cell r="B222" t="str">
            <v>9290</v>
          </cell>
          <cell r="C222" t="str">
            <v>#</v>
          </cell>
          <cell r="D222" t="str">
            <v>(株)木村洋行</v>
          </cell>
          <cell r="E222" t="str">
            <v>75</v>
          </cell>
        </row>
        <row r="223">
          <cell r="B223" t="str">
            <v>0068</v>
          </cell>
          <cell r="C223" t="str">
            <v>#</v>
          </cell>
          <cell r="D223" t="str">
            <v>キャタラー工業(株)</v>
          </cell>
          <cell r="E223" t="str">
            <v>51</v>
          </cell>
        </row>
        <row r="224">
          <cell r="B224" t="str">
            <v>5527</v>
          </cell>
          <cell r="C224" t="str">
            <v>#</v>
          </cell>
          <cell r="D224" t="str">
            <v>(株)ギャレットターボ</v>
          </cell>
          <cell r="E224" t="str">
            <v>51</v>
          </cell>
        </row>
        <row r="225">
          <cell r="B225" t="str">
            <v>9909</v>
          </cell>
          <cell r="C225" t="str">
            <v>#</v>
          </cell>
          <cell r="D225" t="str">
            <v xml:space="preserve">(株)久永洋行  </v>
          </cell>
          <cell r="E225" t="str">
            <v>64</v>
          </cell>
        </row>
        <row r="226">
          <cell r="B226" t="str">
            <v>8673</v>
          </cell>
          <cell r="C226" t="str">
            <v>#</v>
          </cell>
          <cell r="D226" t="str">
            <v>(有)共栄産業</v>
          </cell>
          <cell r="E226" t="str">
            <v>30</v>
          </cell>
        </row>
        <row r="227">
          <cell r="B227" t="str">
            <v>9124</v>
          </cell>
          <cell r="C227" t="str">
            <v>#</v>
          </cell>
          <cell r="D227" t="str">
            <v>(有)共栄商社</v>
          </cell>
          <cell r="E227" t="str">
            <v>30</v>
          </cell>
        </row>
        <row r="228">
          <cell r="B228" t="str">
            <v>7730</v>
          </cell>
          <cell r="C228" t="str">
            <v>#</v>
          </cell>
          <cell r="D228" t="str">
            <v>共信電気(株)</v>
          </cell>
          <cell r="E228" t="str">
            <v>30</v>
          </cell>
        </row>
        <row r="229">
          <cell r="B229" t="str">
            <v>9258</v>
          </cell>
          <cell r="C229" t="str">
            <v>#</v>
          </cell>
          <cell r="D229" t="str">
            <v>京セラ(株)</v>
          </cell>
          <cell r="E229" t="str">
            <v>51</v>
          </cell>
        </row>
        <row r="230">
          <cell r="B230" t="str">
            <v>8605</v>
          </cell>
          <cell r="C230" t="str">
            <v>#</v>
          </cell>
          <cell r="D230" t="str">
            <v>(株)京電社</v>
          </cell>
          <cell r="E230" t="str">
            <v>30</v>
          </cell>
        </row>
        <row r="231">
          <cell r="B231" t="str">
            <v>9147</v>
          </cell>
          <cell r="C231" t="str">
            <v>#</v>
          </cell>
          <cell r="D231" t="str">
            <v>協同電気(株)</v>
          </cell>
          <cell r="E231" t="str">
            <v>15</v>
          </cell>
        </row>
        <row r="232">
          <cell r="B232" t="str">
            <v>7009</v>
          </cell>
          <cell r="C232" t="str">
            <v>#</v>
          </cell>
          <cell r="D232" t="str">
            <v>協同油脂(株)</v>
          </cell>
          <cell r="E232" t="str">
            <v>15</v>
          </cell>
        </row>
        <row r="233">
          <cell r="B233" t="str">
            <v>8710</v>
          </cell>
          <cell r="C233" t="str">
            <v>#</v>
          </cell>
          <cell r="D233" t="str">
            <v>協和建興(株)</v>
          </cell>
          <cell r="E233" t="str">
            <v>30</v>
          </cell>
        </row>
        <row r="234">
          <cell r="B234" t="str">
            <v>8452</v>
          </cell>
          <cell r="C234" t="str">
            <v>#</v>
          </cell>
          <cell r="D234" t="str">
            <v>共和工業(株)</v>
          </cell>
          <cell r="E234" t="str">
            <v>30</v>
          </cell>
        </row>
        <row r="235">
          <cell r="B235" t="str">
            <v>8880</v>
          </cell>
          <cell r="C235" t="str">
            <v>#</v>
          </cell>
          <cell r="D235" t="str">
            <v>共和興業(株)</v>
          </cell>
          <cell r="E235" t="str">
            <v>30</v>
          </cell>
        </row>
        <row r="236">
          <cell r="B236" t="str">
            <v>0559</v>
          </cell>
          <cell r="C236" t="str">
            <v>#</v>
          </cell>
          <cell r="D236" t="str">
            <v xml:space="preserve">協和合金(株)　  </v>
          </cell>
          <cell r="E236" t="str">
            <v>56</v>
          </cell>
        </row>
        <row r="237">
          <cell r="B237" t="str">
            <v>4609</v>
          </cell>
          <cell r="C237" t="str">
            <v>#</v>
          </cell>
          <cell r="D237" t="str">
            <v>共和産業(株)</v>
          </cell>
          <cell r="E237" t="str">
            <v>62</v>
          </cell>
        </row>
        <row r="238">
          <cell r="B238" t="str">
            <v>8506</v>
          </cell>
          <cell r="C238" t="str">
            <v>#</v>
          </cell>
          <cell r="D238" t="str">
            <v>協和産業(株)</v>
          </cell>
          <cell r="E238" t="str">
            <v>30</v>
          </cell>
        </row>
        <row r="239">
          <cell r="B239" t="str">
            <v>8591</v>
          </cell>
          <cell r="C239" t="str">
            <v>#</v>
          </cell>
          <cell r="D239" t="str">
            <v>共和産業(株)</v>
          </cell>
          <cell r="E239" t="str">
            <v>30</v>
          </cell>
        </row>
        <row r="240">
          <cell r="B240" t="str">
            <v>7714</v>
          </cell>
          <cell r="C240" t="str">
            <v>#</v>
          </cell>
          <cell r="D240" t="str">
            <v>共和電機(株)</v>
          </cell>
          <cell r="E240" t="str">
            <v>30</v>
          </cell>
        </row>
        <row r="241">
          <cell r="B241" t="str">
            <v>8622</v>
          </cell>
          <cell r="C241" t="str">
            <v>#</v>
          </cell>
          <cell r="D241" t="str">
            <v>(株)共和電業</v>
          </cell>
          <cell r="E241" t="str">
            <v>30</v>
          </cell>
        </row>
        <row r="242">
          <cell r="B242" t="str">
            <v>4643</v>
          </cell>
          <cell r="C242" t="str">
            <v>#</v>
          </cell>
          <cell r="D242" t="str">
            <v>(株)キョ－ワナスタ</v>
          </cell>
          <cell r="E242" t="str">
            <v>62</v>
          </cell>
        </row>
        <row r="243">
          <cell r="B243" t="str">
            <v>3534</v>
          </cell>
          <cell r="C243" t="str">
            <v>#</v>
          </cell>
          <cell r="D243" t="str">
            <v>極東開発工業(株)</v>
          </cell>
          <cell r="E243" t="str">
            <v>64</v>
          </cell>
        </row>
        <row r="244">
          <cell r="B244" t="str">
            <v>5529</v>
          </cell>
          <cell r="C244" t="str">
            <v>#</v>
          </cell>
          <cell r="D244" t="str">
            <v>極東機械産業(株)</v>
          </cell>
          <cell r="E244" t="str">
            <v>51</v>
          </cell>
        </row>
        <row r="245">
          <cell r="B245" t="str">
            <v>8344</v>
          </cell>
          <cell r="C245" t="str">
            <v>#</v>
          </cell>
          <cell r="D245" t="str">
            <v>極東貿易(株)</v>
          </cell>
          <cell r="E245" t="str">
            <v>30</v>
          </cell>
        </row>
        <row r="246">
          <cell r="B246" t="str">
            <v>0549</v>
          </cell>
          <cell r="C246" t="str">
            <v>#</v>
          </cell>
          <cell r="D246" t="str">
            <v>桐生機械(株)</v>
          </cell>
          <cell r="E246" t="str">
            <v>53</v>
          </cell>
        </row>
        <row r="247">
          <cell r="B247" t="str">
            <v>8118</v>
          </cell>
          <cell r="C247" t="str">
            <v>#</v>
          </cell>
          <cell r="D247" t="str">
            <v>(株)琴工社</v>
          </cell>
          <cell r="E247" t="str">
            <v>30</v>
          </cell>
        </row>
        <row r="248">
          <cell r="B248" t="str">
            <v>7102</v>
          </cell>
          <cell r="C248" t="str">
            <v>#</v>
          </cell>
          <cell r="D248" t="str">
            <v>金商又一(株)</v>
          </cell>
          <cell r="E248" t="str">
            <v>15</v>
          </cell>
        </row>
        <row r="249">
          <cell r="B249" t="str">
            <v>8254</v>
          </cell>
          <cell r="C249" t="str">
            <v>#</v>
          </cell>
          <cell r="D249" t="str">
            <v>近常精機(株)</v>
          </cell>
          <cell r="E249" t="str">
            <v>30</v>
          </cell>
        </row>
        <row r="250">
          <cell r="B250" t="str">
            <v>9194</v>
          </cell>
          <cell r="C250" t="str">
            <v>#</v>
          </cell>
          <cell r="D250" t="str">
            <v>(株)きんでん</v>
          </cell>
          <cell r="E250" t="str">
            <v>30</v>
          </cell>
        </row>
        <row r="251">
          <cell r="B251" t="str">
            <v>2656</v>
          </cell>
          <cell r="C251" t="str">
            <v>#</v>
          </cell>
          <cell r="D251" t="str">
            <v>ｸｰﾊﾟｰｵｰﾄﾓｰﾃｨﾌﾞ(株)</v>
          </cell>
          <cell r="E251" t="str">
            <v>75</v>
          </cell>
        </row>
        <row r="252">
          <cell r="B252" t="str">
            <v>8303</v>
          </cell>
          <cell r="C252" t="str">
            <v>#</v>
          </cell>
          <cell r="D252" t="str">
            <v>(株)草飼製作所</v>
          </cell>
          <cell r="E252" t="str">
            <v>30</v>
          </cell>
        </row>
        <row r="253">
          <cell r="B253" t="str">
            <v>9928</v>
          </cell>
          <cell r="C253" t="str">
            <v>#</v>
          </cell>
          <cell r="D253" t="str">
            <v>クシロブレーキ(株)</v>
          </cell>
          <cell r="E253" t="str">
            <v>54</v>
          </cell>
        </row>
        <row r="254">
          <cell r="B254" t="str">
            <v>8761</v>
          </cell>
          <cell r="C254" t="str">
            <v>#</v>
          </cell>
          <cell r="D254" t="str">
            <v>楠原興運(株)</v>
          </cell>
          <cell r="E254" t="str">
            <v>30</v>
          </cell>
        </row>
        <row r="255">
          <cell r="B255" t="str">
            <v>2007</v>
          </cell>
          <cell r="C255" t="str">
            <v>#</v>
          </cell>
          <cell r="D255" t="str">
            <v>(株)クゼー</v>
          </cell>
          <cell r="E255" t="str">
            <v>62</v>
          </cell>
        </row>
        <row r="256">
          <cell r="B256" t="str">
            <v>7605</v>
          </cell>
          <cell r="C256" t="str">
            <v>#</v>
          </cell>
          <cell r="D256" t="str">
            <v>クニミネ工業(株)</v>
          </cell>
          <cell r="E256" t="str">
            <v>15</v>
          </cell>
        </row>
        <row r="257">
          <cell r="B257" t="str">
            <v>5057</v>
          </cell>
          <cell r="C257" t="str">
            <v>#</v>
          </cell>
          <cell r="D257" t="str">
            <v>久保田工業(株)</v>
          </cell>
          <cell r="E257" t="str">
            <v>53</v>
          </cell>
        </row>
        <row r="258">
          <cell r="B258" t="str">
            <v>8765</v>
          </cell>
          <cell r="C258" t="str">
            <v>#</v>
          </cell>
          <cell r="D258" t="str">
            <v>(株)熊谷組</v>
          </cell>
          <cell r="E258" t="str">
            <v>30</v>
          </cell>
        </row>
        <row r="259">
          <cell r="B259" t="str">
            <v>8756</v>
          </cell>
          <cell r="C259" t="str">
            <v>#</v>
          </cell>
          <cell r="D259" t="str">
            <v>(株)久米建築事務所</v>
          </cell>
          <cell r="E259" t="str">
            <v>30</v>
          </cell>
        </row>
        <row r="260">
          <cell r="B260" t="str">
            <v>2633</v>
          </cell>
          <cell r="C260" t="str">
            <v>#</v>
          </cell>
          <cell r="D260" t="str">
            <v>クラリオン(株)</v>
          </cell>
          <cell r="E260" t="str">
            <v>62</v>
          </cell>
        </row>
        <row r="261">
          <cell r="B261" t="str">
            <v>8594</v>
          </cell>
          <cell r="C261" t="str">
            <v>#</v>
          </cell>
          <cell r="D261" t="str">
            <v>(株)栗林商会</v>
          </cell>
          <cell r="E261" t="str">
            <v>30</v>
          </cell>
        </row>
        <row r="262">
          <cell r="B262" t="str">
            <v>8458</v>
          </cell>
          <cell r="C262" t="str">
            <v>#</v>
          </cell>
          <cell r="D262" t="str">
            <v>(株)栗本鐵工所</v>
          </cell>
          <cell r="E262" t="str">
            <v>30</v>
          </cell>
        </row>
        <row r="263">
          <cell r="B263" t="str">
            <v>8117</v>
          </cell>
          <cell r="C263" t="str">
            <v>#</v>
          </cell>
          <cell r="D263" t="str">
            <v>クレノートン(株)</v>
          </cell>
          <cell r="E263" t="str">
            <v>30</v>
          </cell>
        </row>
        <row r="264">
          <cell r="B264" t="str">
            <v>7624</v>
          </cell>
          <cell r="C264" t="str">
            <v>#</v>
          </cell>
          <cell r="D264" t="str">
            <v>(株)クロス</v>
          </cell>
          <cell r="E264" t="str">
            <v>15</v>
          </cell>
        </row>
        <row r="265">
          <cell r="B265" t="str">
            <v>7628</v>
          </cell>
          <cell r="C265" t="str">
            <v>#</v>
          </cell>
          <cell r="D265" t="str">
            <v>群栄化学工業(株)</v>
          </cell>
          <cell r="E265" t="str">
            <v>15</v>
          </cell>
        </row>
        <row r="266">
          <cell r="B266" t="str">
            <v>8265</v>
          </cell>
          <cell r="C266" t="str">
            <v>#</v>
          </cell>
          <cell r="D266" t="str">
            <v>(株)啓愛社ｴﾇ･ｴﾑ･ﾋﾞ-</v>
          </cell>
          <cell r="E266" t="str">
            <v>64</v>
          </cell>
        </row>
        <row r="267">
          <cell r="B267" t="str">
            <v>4644</v>
          </cell>
          <cell r="C267" t="str">
            <v>#</v>
          </cell>
          <cell r="D267" t="str">
            <v>(株)啓愛社製作所</v>
          </cell>
          <cell r="E267" t="str">
            <v>64</v>
          </cell>
        </row>
        <row r="268">
          <cell r="B268" t="str">
            <v>5073</v>
          </cell>
          <cell r="C268" t="str">
            <v>#</v>
          </cell>
          <cell r="D268" t="str">
            <v>京浜興産(株)</v>
          </cell>
          <cell r="E268" t="str">
            <v>53</v>
          </cell>
        </row>
        <row r="269">
          <cell r="B269" t="str">
            <v>5062</v>
          </cell>
          <cell r="C269" t="str">
            <v>#</v>
          </cell>
          <cell r="D269" t="str">
            <v>京浜精密工業(株)</v>
          </cell>
          <cell r="E269" t="str">
            <v>53</v>
          </cell>
        </row>
        <row r="270">
          <cell r="B270" t="str">
            <v>8674</v>
          </cell>
          <cell r="C270" t="str">
            <v>#</v>
          </cell>
          <cell r="D270" t="str">
            <v>京浜日立情報機器(株)</v>
          </cell>
          <cell r="E270" t="str">
            <v>30</v>
          </cell>
        </row>
        <row r="271">
          <cell r="B271" t="str">
            <v>8881</v>
          </cell>
          <cell r="C271" t="str">
            <v>#</v>
          </cell>
          <cell r="D271" t="str">
            <v>(株)京葉興業</v>
          </cell>
          <cell r="E271" t="str">
            <v>30</v>
          </cell>
        </row>
        <row r="272">
          <cell r="B272" t="str">
            <v>2017</v>
          </cell>
          <cell r="C272" t="str">
            <v>#</v>
          </cell>
          <cell r="D272" t="str">
            <v>(株)ケーヒン</v>
          </cell>
          <cell r="E272" t="str">
            <v>64</v>
          </cell>
        </row>
        <row r="273">
          <cell r="B273" t="str">
            <v>2646</v>
          </cell>
          <cell r="C273" t="str">
            <v>#</v>
          </cell>
          <cell r="D273" t="str">
            <v>(株)ケンウッド</v>
          </cell>
          <cell r="E273" t="str">
            <v>64</v>
          </cell>
        </row>
        <row r="274">
          <cell r="B274" t="str">
            <v>8701</v>
          </cell>
          <cell r="C274" t="str">
            <v>#</v>
          </cell>
          <cell r="D274" t="str">
            <v>(株)小泉工務店</v>
          </cell>
          <cell r="E274" t="str">
            <v>30</v>
          </cell>
        </row>
        <row r="275">
          <cell r="B275" t="str">
            <v>2716</v>
          </cell>
          <cell r="C275" t="str">
            <v>#</v>
          </cell>
          <cell r="D275" t="str">
            <v>(株)小糸製作所</v>
          </cell>
          <cell r="E275" t="str">
            <v>62</v>
          </cell>
        </row>
        <row r="276">
          <cell r="B276" t="str">
            <v>9294</v>
          </cell>
          <cell r="C276" t="str">
            <v>#</v>
          </cell>
          <cell r="D276" t="str">
            <v>興亜ビジネス(株)</v>
          </cell>
          <cell r="E276" t="str">
            <v>73</v>
          </cell>
        </row>
        <row r="277">
          <cell r="B277" t="str">
            <v>8666</v>
          </cell>
          <cell r="C277" t="str">
            <v>#</v>
          </cell>
          <cell r="D277" t="str">
            <v>鋼管機械工業(株)</v>
          </cell>
          <cell r="E277" t="str">
            <v>30</v>
          </cell>
        </row>
        <row r="278">
          <cell r="B278" t="str">
            <v>8667</v>
          </cell>
          <cell r="C278" t="str">
            <v>#</v>
          </cell>
          <cell r="D278" t="str">
            <v>鋼管電設工業(株)</v>
          </cell>
          <cell r="E278" t="str">
            <v>30</v>
          </cell>
        </row>
        <row r="279">
          <cell r="B279" t="str">
            <v>8428</v>
          </cell>
          <cell r="C279" t="str">
            <v>#</v>
          </cell>
          <cell r="D279" t="str">
            <v>虹技(株)</v>
          </cell>
          <cell r="E279" t="str">
            <v>30</v>
          </cell>
        </row>
        <row r="280">
          <cell r="B280" t="str">
            <v>2413</v>
          </cell>
          <cell r="C280" t="str">
            <v>#</v>
          </cell>
          <cell r="D280" t="str">
            <v>興国インテック(株)</v>
          </cell>
          <cell r="E280" t="str">
            <v>64</v>
          </cell>
        </row>
        <row r="281">
          <cell r="B281" t="str">
            <v>3638</v>
          </cell>
          <cell r="C281" t="str">
            <v>#</v>
          </cell>
          <cell r="D281" t="str">
            <v>興国ｺﾝﾄﾛｰﾙｹｰﾌﾞﾙ(株)</v>
          </cell>
          <cell r="E281" t="str">
            <v>56</v>
          </cell>
        </row>
        <row r="282">
          <cell r="B282" t="str">
            <v>0542</v>
          </cell>
          <cell r="C282" t="str">
            <v>#</v>
          </cell>
          <cell r="D282" t="str">
            <v>高周波熱錬(株)</v>
          </cell>
          <cell r="E282" t="str">
            <v>53</v>
          </cell>
        </row>
        <row r="283">
          <cell r="B283" t="str">
            <v>8204</v>
          </cell>
          <cell r="C283" t="str">
            <v>#</v>
          </cell>
          <cell r="D283" t="str">
            <v>(株)ｺｰｼﾝｲﾝﾃｯｸｽ</v>
          </cell>
          <cell r="E283" t="str">
            <v>30</v>
          </cell>
        </row>
        <row r="284">
          <cell r="B284" t="str">
            <v>7851</v>
          </cell>
          <cell r="C284" t="str">
            <v>#</v>
          </cell>
          <cell r="D284" t="str">
            <v>(協)公清企業</v>
          </cell>
          <cell r="E284" t="str">
            <v>10</v>
          </cell>
        </row>
        <row r="285">
          <cell r="B285" t="str">
            <v>8273</v>
          </cell>
          <cell r="C285" t="str">
            <v>#</v>
          </cell>
          <cell r="D285" t="str">
            <v>江南ゴム(株)</v>
          </cell>
          <cell r="E285" t="str">
            <v>30</v>
          </cell>
        </row>
        <row r="286">
          <cell r="B286" t="str">
            <v>8762</v>
          </cell>
          <cell r="C286" t="str">
            <v>#</v>
          </cell>
          <cell r="D286" t="str">
            <v>鴻池運輸(株)</v>
          </cell>
          <cell r="E286" t="str">
            <v>30</v>
          </cell>
        </row>
        <row r="287">
          <cell r="B287" t="str">
            <v>8274</v>
          </cell>
          <cell r="C287" t="str">
            <v>#</v>
          </cell>
          <cell r="D287" t="str">
            <v>向野商事(株)</v>
          </cell>
          <cell r="E287" t="str">
            <v>30</v>
          </cell>
        </row>
        <row r="288">
          <cell r="B288" t="str">
            <v>0000ｷ</v>
          </cell>
          <cell r="C288" t="str">
            <v>#</v>
          </cell>
          <cell r="D288" t="str">
            <v>(株)神戸製鋼所</v>
          </cell>
          <cell r="E288" t="str">
            <v>10</v>
          </cell>
        </row>
        <row r="289">
          <cell r="B289" t="str">
            <v>8469</v>
          </cell>
          <cell r="C289" t="str">
            <v>#</v>
          </cell>
          <cell r="D289" t="str">
            <v>光洋機械工業(株)</v>
          </cell>
          <cell r="E289" t="str">
            <v>30</v>
          </cell>
        </row>
        <row r="290">
          <cell r="B290" t="str">
            <v>2201</v>
          </cell>
          <cell r="C290" t="str">
            <v>#</v>
          </cell>
          <cell r="D290" t="str">
            <v>光洋精工(株)</v>
          </cell>
          <cell r="E290" t="str">
            <v>54</v>
          </cell>
        </row>
        <row r="291">
          <cell r="B291" t="str">
            <v>0573</v>
          </cell>
          <cell r="C291" t="str">
            <v>#</v>
          </cell>
          <cell r="D291" t="str">
            <v>鋼鈴機工(株)</v>
          </cell>
          <cell r="E291" t="str">
            <v>15</v>
          </cell>
        </row>
        <row r="292">
          <cell r="B292" t="str">
            <v>8123</v>
          </cell>
          <cell r="C292" t="str">
            <v>#</v>
          </cell>
          <cell r="D292" t="str">
            <v>光和精工(株)</v>
          </cell>
          <cell r="E292" t="str">
            <v>30</v>
          </cell>
        </row>
        <row r="293">
          <cell r="B293" t="str">
            <v>9183</v>
          </cell>
          <cell r="C293" t="str">
            <v>#</v>
          </cell>
          <cell r="D293" t="str">
            <v>(株)コーディックス</v>
          </cell>
          <cell r="E293" t="str">
            <v>30</v>
          </cell>
        </row>
        <row r="294">
          <cell r="B294" t="str">
            <v>9795</v>
          </cell>
          <cell r="C294" t="str">
            <v>#</v>
          </cell>
          <cell r="D294" t="str">
            <v>ｺｰﾝｽﾞ&amp;ｶﾝﾊﾟﾆｰﾘﾐﾃｯﾄﾞ</v>
          </cell>
          <cell r="E294" t="str">
            <v>30</v>
          </cell>
        </row>
        <row r="295">
          <cell r="B295" t="str">
            <v>8102</v>
          </cell>
          <cell r="C295" t="str">
            <v>#</v>
          </cell>
          <cell r="D295" t="str">
            <v>(株)コガネイ</v>
          </cell>
          <cell r="E295" t="str">
            <v>30</v>
          </cell>
        </row>
        <row r="296">
          <cell r="B296" t="str">
            <v>3630</v>
          </cell>
          <cell r="C296" t="str">
            <v>#</v>
          </cell>
          <cell r="D296" t="str">
            <v>国際化工(株)</v>
          </cell>
          <cell r="E296" t="str">
            <v>64</v>
          </cell>
        </row>
        <row r="297">
          <cell r="B297" t="str">
            <v>8392</v>
          </cell>
          <cell r="C297" t="str">
            <v>#</v>
          </cell>
          <cell r="D297" t="str">
            <v>国際興業(株)</v>
          </cell>
          <cell r="E297" t="str">
            <v>30</v>
          </cell>
        </row>
        <row r="298">
          <cell r="B298" t="str">
            <v>8462</v>
          </cell>
          <cell r="C298" t="str">
            <v>#</v>
          </cell>
          <cell r="D298" t="str">
            <v>国際鉄工(株)</v>
          </cell>
          <cell r="E298" t="str">
            <v>30</v>
          </cell>
        </row>
        <row r="299">
          <cell r="B299" t="str">
            <v>8422</v>
          </cell>
          <cell r="C299" t="str">
            <v>#</v>
          </cell>
          <cell r="D299" t="str">
            <v>国策機工(株)</v>
          </cell>
          <cell r="E299" t="str">
            <v>30</v>
          </cell>
        </row>
        <row r="300">
          <cell r="B300" t="str">
            <v>3211</v>
          </cell>
          <cell r="C300" t="str">
            <v>#</v>
          </cell>
          <cell r="D300" t="str">
            <v>国産部品工業(株)</v>
          </cell>
          <cell r="E300" t="str">
            <v>51</v>
          </cell>
        </row>
        <row r="301">
          <cell r="B301" t="str">
            <v>7627</v>
          </cell>
          <cell r="C301" t="str">
            <v>#</v>
          </cell>
          <cell r="D301" t="str">
            <v>互交産業(株)</v>
          </cell>
          <cell r="E301" t="str">
            <v>15</v>
          </cell>
        </row>
        <row r="302">
          <cell r="B302" t="str">
            <v>8004</v>
          </cell>
          <cell r="C302" t="str">
            <v>#</v>
          </cell>
          <cell r="D302" t="str">
            <v>コサリ－ベルマン(株)</v>
          </cell>
          <cell r="E302" t="str">
            <v>30</v>
          </cell>
        </row>
        <row r="303">
          <cell r="B303" t="str">
            <v>9677</v>
          </cell>
          <cell r="C303" t="str">
            <v>#</v>
          </cell>
          <cell r="D303" t="str">
            <v>(株)コシダテック</v>
          </cell>
          <cell r="E303" t="str">
            <v>51</v>
          </cell>
        </row>
        <row r="304">
          <cell r="B304" t="str">
            <v>8267</v>
          </cell>
          <cell r="C304" t="str">
            <v>#</v>
          </cell>
          <cell r="D304" t="str">
            <v>ｺｽﾓｴﾝｼﾞﾆｱﾘﾝｸﾞ(株)</v>
          </cell>
          <cell r="E304" t="str">
            <v>30</v>
          </cell>
        </row>
        <row r="305">
          <cell r="B305" t="str">
            <v>7040</v>
          </cell>
          <cell r="C305" t="str">
            <v>#</v>
          </cell>
          <cell r="D305" t="str">
            <v>コスモ石油(株)</v>
          </cell>
          <cell r="E305" t="str">
            <v>15</v>
          </cell>
        </row>
        <row r="306">
          <cell r="B306" t="str">
            <v>3512</v>
          </cell>
          <cell r="C306" t="str">
            <v>#</v>
          </cell>
          <cell r="D306" t="str">
            <v>小平産業(株)</v>
          </cell>
          <cell r="E306" t="str">
            <v>64</v>
          </cell>
        </row>
        <row r="307">
          <cell r="B307" t="str">
            <v>4639</v>
          </cell>
          <cell r="C307" t="str">
            <v>#</v>
          </cell>
          <cell r="D307" t="str">
            <v>児玉化学工業(株)</v>
          </cell>
          <cell r="E307" t="str">
            <v>62</v>
          </cell>
        </row>
        <row r="308">
          <cell r="B308" t="str">
            <v>4630</v>
          </cell>
          <cell r="C308" t="str">
            <v>#</v>
          </cell>
          <cell r="D308" t="str">
            <v>(株)コトブキ</v>
          </cell>
          <cell r="E308" t="str">
            <v>62</v>
          </cell>
        </row>
        <row r="309">
          <cell r="B309" t="str">
            <v>5063</v>
          </cell>
          <cell r="C309" t="str">
            <v>#</v>
          </cell>
          <cell r="D309" t="str">
            <v>(株)コバユー</v>
          </cell>
          <cell r="E309" t="str">
            <v>64</v>
          </cell>
        </row>
        <row r="310">
          <cell r="B310" t="str">
            <v>5543</v>
          </cell>
          <cell r="C310" t="str">
            <v>#</v>
          </cell>
          <cell r="D310" t="str">
            <v>ｺﾏﾂ･ｾﾞｯﾄｴﾌ･ｵｰﾄﾓｰﾃｨﾌﾞ(株)</v>
          </cell>
          <cell r="E310" t="str">
            <v>75</v>
          </cell>
        </row>
        <row r="311">
          <cell r="B311" t="str">
            <v>8448</v>
          </cell>
          <cell r="C311" t="str">
            <v>#</v>
          </cell>
          <cell r="D311" t="str">
            <v>コマツアーテック(株)</v>
          </cell>
          <cell r="E311" t="str">
            <v>30</v>
          </cell>
        </row>
        <row r="312">
          <cell r="B312" t="str">
            <v>8467</v>
          </cell>
          <cell r="C312" t="str">
            <v>#</v>
          </cell>
          <cell r="D312" t="str">
            <v>コマツ工機(株)</v>
          </cell>
          <cell r="E312" t="str">
            <v>30</v>
          </cell>
        </row>
        <row r="313">
          <cell r="B313" t="str">
            <v>8783</v>
          </cell>
          <cell r="C313" t="str">
            <v>#</v>
          </cell>
          <cell r="D313" t="str">
            <v>五洋建設(株)</v>
          </cell>
          <cell r="E313" t="str">
            <v>30</v>
          </cell>
        </row>
        <row r="314">
          <cell r="B314" t="str">
            <v>9589</v>
          </cell>
          <cell r="C314" t="str">
            <v>#</v>
          </cell>
          <cell r="D314" t="str">
            <v>コロンビア貿易(株)</v>
          </cell>
          <cell r="E314" t="str">
            <v>30</v>
          </cell>
        </row>
        <row r="315">
          <cell r="B315" t="str">
            <v>9125</v>
          </cell>
          <cell r="C315" t="str">
            <v>#</v>
          </cell>
          <cell r="D315" t="str">
            <v>(有)紺野企業</v>
          </cell>
          <cell r="E315" t="str">
            <v>30</v>
          </cell>
        </row>
        <row r="316">
          <cell r="B316" t="str">
            <v>2012</v>
          </cell>
          <cell r="C316" t="str">
            <v>#</v>
          </cell>
          <cell r="D316" t="str">
            <v>埼玉機器(株)</v>
          </cell>
          <cell r="E316" t="str">
            <v>54</v>
          </cell>
        </row>
        <row r="317">
          <cell r="B317" t="str">
            <v>0017</v>
          </cell>
          <cell r="C317" t="str">
            <v>#</v>
          </cell>
          <cell r="D317" t="str">
            <v>(株)酒井新</v>
          </cell>
          <cell r="E317" t="str">
            <v>10</v>
          </cell>
        </row>
        <row r="318">
          <cell r="B318" t="str">
            <v>9798</v>
          </cell>
          <cell r="C318" t="str">
            <v>#</v>
          </cell>
          <cell r="D318" t="str">
            <v>サカタインクス(株)</v>
          </cell>
          <cell r="E318" t="str">
            <v>30</v>
          </cell>
        </row>
        <row r="319">
          <cell r="B319" t="str">
            <v>4605</v>
          </cell>
          <cell r="C319" t="str">
            <v>#</v>
          </cell>
          <cell r="D319" t="str">
            <v>相模塗装(株)</v>
          </cell>
          <cell r="E319" t="str">
            <v>62</v>
          </cell>
        </row>
        <row r="320">
          <cell r="B320" t="str">
            <v>9216</v>
          </cell>
          <cell r="C320" t="str">
            <v>#</v>
          </cell>
          <cell r="D320" t="str">
            <v>坂本重工(株)</v>
          </cell>
          <cell r="E320" t="str">
            <v>30</v>
          </cell>
        </row>
        <row r="321">
          <cell r="B321" t="str">
            <v>9231</v>
          </cell>
          <cell r="C321" t="str">
            <v>#</v>
          </cell>
          <cell r="D321" t="str">
            <v>(株)佐藤木型製作所</v>
          </cell>
          <cell r="E321" t="str">
            <v>30</v>
          </cell>
        </row>
        <row r="322">
          <cell r="B322" t="str">
            <v>0040</v>
          </cell>
          <cell r="C322" t="str">
            <v>#</v>
          </cell>
          <cell r="D322" t="str">
            <v>佐藤金属(株)</v>
          </cell>
          <cell r="E322" t="str">
            <v>10</v>
          </cell>
        </row>
        <row r="323">
          <cell r="B323" t="str">
            <v>0022</v>
          </cell>
          <cell r="C323" t="str">
            <v>#</v>
          </cell>
          <cell r="D323" t="str">
            <v>佐藤商事(株)</v>
          </cell>
          <cell r="E323" t="str">
            <v>10</v>
          </cell>
        </row>
        <row r="324">
          <cell r="B324" t="str">
            <v>4612</v>
          </cell>
          <cell r="C324" t="str">
            <v>#</v>
          </cell>
          <cell r="D324" t="str">
            <v>(株)サニ－化成</v>
          </cell>
          <cell r="E324" t="str">
            <v>62</v>
          </cell>
        </row>
        <row r="325">
          <cell r="B325" t="str">
            <v>8703</v>
          </cell>
          <cell r="C325" t="str">
            <v>#</v>
          </cell>
          <cell r="D325" t="str">
            <v>(株)佐野工務所</v>
          </cell>
          <cell r="E325" t="str">
            <v>30</v>
          </cell>
        </row>
        <row r="326">
          <cell r="B326" t="str">
            <v>0075</v>
          </cell>
          <cell r="C326" t="str">
            <v>#</v>
          </cell>
          <cell r="D326" t="str">
            <v>三星ジャパン(株)</v>
          </cell>
          <cell r="E326" t="str">
            <v>10</v>
          </cell>
        </row>
        <row r="327">
          <cell r="B327" t="str">
            <v>9184</v>
          </cell>
          <cell r="C327" t="str">
            <v>#</v>
          </cell>
          <cell r="D327" t="str">
            <v>(株)サム電子機械</v>
          </cell>
          <cell r="E327" t="str">
            <v>30</v>
          </cell>
        </row>
        <row r="328">
          <cell r="B328" t="str">
            <v>9799</v>
          </cell>
          <cell r="C328" t="str">
            <v>#</v>
          </cell>
          <cell r="D328" t="str">
            <v>(株)佐山</v>
          </cell>
          <cell r="E328" t="str">
            <v>15</v>
          </cell>
        </row>
        <row r="329">
          <cell r="B329" t="str">
            <v>9820</v>
          </cell>
          <cell r="C329" t="str">
            <v>#</v>
          </cell>
          <cell r="D329" t="str">
            <v>サンエイ(株)</v>
          </cell>
          <cell r="E329" t="str">
            <v>30</v>
          </cell>
        </row>
        <row r="330">
          <cell r="B330" t="str">
            <v>3104</v>
          </cell>
          <cell r="C330" t="str">
            <v>#</v>
          </cell>
          <cell r="D330" t="str">
            <v>三桜工業(株)</v>
          </cell>
          <cell r="E330" t="str">
            <v>54</v>
          </cell>
        </row>
        <row r="331">
          <cell r="B331" t="str">
            <v>9527</v>
          </cell>
          <cell r="C331" t="str">
            <v>#</v>
          </cell>
          <cell r="D331" t="str">
            <v>(株)三起金型製作所</v>
          </cell>
          <cell r="E331" t="str">
            <v>30</v>
          </cell>
        </row>
        <row r="332">
          <cell r="B332" t="str">
            <v>8577</v>
          </cell>
          <cell r="C332" t="str">
            <v>#</v>
          </cell>
          <cell r="D332" t="str">
            <v>三機工業(株)</v>
          </cell>
          <cell r="E332" t="str">
            <v>30</v>
          </cell>
        </row>
        <row r="333">
          <cell r="B333" t="str">
            <v>3030</v>
          </cell>
          <cell r="C333" t="str">
            <v>#</v>
          </cell>
          <cell r="D333" t="str">
            <v>(株)三機製作所</v>
          </cell>
          <cell r="E333" t="str">
            <v>64</v>
          </cell>
        </row>
        <row r="334">
          <cell r="B334" t="str">
            <v>8370</v>
          </cell>
          <cell r="C334" t="str">
            <v>#</v>
          </cell>
          <cell r="D334" t="str">
            <v>(株)三喜製作所</v>
          </cell>
          <cell r="E334" t="str">
            <v>30</v>
          </cell>
        </row>
        <row r="335">
          <cell r="B335" t="str">
            <v>4629</v>
          </cell>
          <cell r="C335" t="str">
            <v>#</v>
          </cell>
          <cell r="D335" t="str">
            <v>三協(株)</v>
          </cell>
          <cell r="E335" t="str">
            <v>64</v>
          </cell>
        </row>
        <row r="336">
          <cell r="B336" t="str">
            <v>9781</v>
          </cell>
          <cell r="C336" t="str">
            <v>#</v>
          </cell>
          <cell r="D336" t="str">
            <v>三協ｲﾝﾀﾅｼｮﾅﾙ(株)</v>
          </cell>
          <cell r="E336" t="str">
            <v>30</v>
          </cell>
        </row>
        <row r="337">
          <cell r="B337" t="str">
            <v>9784</v>
          </cell>
          <cell r="C337" t="str">
            <v>#</v>
          </cell>
          <cell r="D337" t="str">
            <v>三協オイルレス工業(株)</v>
          </cell>
          <cell r="E337" t="str">
            <v>30</v>
          </cell>
        </row>
        <row r="338">
          <cell r="B338" t="str">
            <v>9134</v>
          </cell>
          <cell r="C338" t="str">
            <v>#</v>
          </cell>
          <cell r="D338" t="str">
            <v>三京塗料(株)</v>
          </cell>
          <cell r="E338" t="str">
            <v>15</v>
          </cell>
        </row>
        <row r="339">
          <cell r="B339" t="str">
            <v>8307</v>
          </cell>
          <cell r="C339" t="str">
            <v>#</v>
          </cell>
          <cell r="D339" t="str">
            <v>三恵機械(株)</v>
          </cell>
          <cell r="E339" t="str">
            <v>30</v>
          </cell>
        </row>
        <row r="340">
          <cell r="B340" t="str">
            <v>4615</v>
          </cell>
          <cell r="C340" t="str">
            <v>#</v>
          </cell>
          <cell r="D340" t="str">
            <v>三恵技研工業(株)</v>
          </cell>
          <cell r="E340" t="str">
            <v>62</v>
          </cell>
        </row>
        <row r="341">
          <cell r="B341" t="str">
            <v>7016</v>
          </cell>
          <cell r="C341" t="str">
            <v>#</v>
          </cell>
          <cell r="D341" t="str">
            <v>三恵商事(株)</v>
          </cell>
          <cell r="E341" t="str">
            <v>15</v>
          </cell>
        </row>
        <row r="342">
          <cell r="B342" t="str">
            <v>9244</v>
          </cell>
          <cell r="C342" t="str">
            <v>#</v>
          </cell>
          <cell r="D342" t="str">
            <v>三建産業(株)</v>
          </cell>
          <cell r="E342" t="str">
            <v>30</v>
          </cell>
        </row>
        <row r="343">
          <cell r="B343" t="str">
            <v>3035</v>
          </cell>
          <cell r="C343" t="str">
            <v>#</v>
          </cell>
          <cell r="D343" t="str">
            <v>(株)三五</v>
          </cell>
          <cell r="E343" t="str">
            <v>54</v>
          </cell>
        </row>
        <row r="344">
          <cell r="B344" t="str">
            <v>9817</v>
          </cell>
          <cell r="C344" t="str">
            <v>#</v>
          </cell>
          <cell r="D344" t="str">
            <v>(株)三光</v>
          </cell>
          <cell r="E344" t="str">
            <v>15</v>
          </cell>
        </row>
        <row r="345">
          <cell r="B345" t="str">
            <v>8589</v>
          </cell>
          <cell r="C345" t="str">
            <v>#</v>
          </cell>
          <cell r="D345" t="str">
            <v>三興商事(株)</v>
          </cell>
          <cell r="E345" t="str">
            <v>30</v>
          </cell>
        </row>
        <row r="346">
          <cell r="B346" t="str">
            <v>8269</v>
          </cell>
          <cell r="C346" t="str">
            <v>#</v>
          </cell>
          <cell r="D346" t="str">
            <v>(株)三幸商店</v>
          </cell>
          <cell r="E346" t="str">
            <v>30</v>
          </cell>
        </row>
        <row r="347">
          <cell r="B347" t="str">
            <v>8272</v>
          </cell>
          <cell r="C347" t="str">
            <v>#</v>
          </cell>
          <cell r="D347" t="str">
            <v>(株)サンコー</v>
          </cell>
          <cell r="E347" t="str">
            <v>64</v>
          </cell>
        </row>
        <row r="348">
          <cell r="B348" t="str">
            <v>7006</v>
          </cell>
          <cell r="C348" t="str">
            <v>#</v>
          </cell>
          <cell r="D348" t="str">
            <v>三進化学工業(株)</v>
          </cell>
          <cell r="E348" t="str">
            <v>15</v>
          </cell>
        </row>
        <row r="349">
          <cell r="B349" t="str">
            <v>9702</v>
          </cell>
          <cell r="C349" t="str">
            <v>#</v>
          </cell>
          <cell r="D349" t="str">
            <v>サンスター技研(株)</v>
          </cell>
          <cell r="E349" t="str">
            <v>15</v>
          </cell>
        </row>
        <row r="350">
          <cell r="B350" t="str">
            <v>2820</v>
          </cell>
          <cell r="C350" t="str">
            <v>#</v>
          </cell>
          <cell r="D350" t="str">
            <v>三省物産(株)</v>
          </cell>
          <cell r="E350" t="str">
            <v>62</v>
          </cell>
        </row>
        <row r="351">
          <cell r="B351" t="str">
            <v>8263</v>
          </cell>
          <cell r="C351" t="str">
            <v>#</v>
          </cell>
          <cell r="D351" t="str">
            <v>サンドビック(株)</v>
          </cell>
          <cell r="E351" t="str">
            <v>30</v>
          </cell>
        </row>
        <row r="352">
          <cell r="B352" t="str">
            <v>8434</v>
          </cell>
          <cell r="C352" t="str">
            <v>#</v>
          </cell>
          <cell r="D352" t="str">
            <v>三宝精機工業(株)</v>
          </cell>
          <cell r="E352" t="str">
            <v>30</v>
          </cell>
        </row>
        <row r="353">
          <cell r="B353" t="str">
            <v>5072</v>
          </cell>
          <cell r="C353" t="str">
            <v>#</v>
          </cell>
          <cell r="D353" t="str">
            <v>(株)三友精機</v>
          </cell>
          <cell r="E353" t="str">
            <v>30</v>
          </cell>
        </row>
        <row r="354">
          <cell r="B354" t="str">
            <v>9210</v>
          </cell>
          <cell r="C354" t="str">
            <v>#</v>
          </cell>
          <cell r="D354" t="str">
            <v>三洋機工商事(株)</v>
          </cell>
          <cell r="E354" t="str">
            <v>30</v>
          </cell>
        </row>
        <row r="355">
          <cell r="B355" t="str">
            <v>9176</v>
          </cell>
          <cell r="C355" t="str">
            <v>#</v>
          </cell>
          <cell r="D355" t="str">
            <v>三陽商事(株)</v>
          </cell>
          <cell r="E355" t="str">
            <v>51</v>
          </cell>
        </row>
        <row r="356">
          <cell r="B356" t="str">
            <v>2634</v>
          </cell>
          <cell r="C356" t="str">
            <v>#</v>
          </cell>
          <cell r="D356" t="str">
            <v>三洋電機ｶｰｴﾚｸﾄﾛﾆｸｽ(株)</v>
          </cell>
          <cell r="E356" t="str">
            <v>62</v>
          </cell>
        </row>
        <row r="357">
          <cell r="B357" t="str">
            <v>4614</v>
          </cell>
          <cell r="C357" t="str">
            <v>#</v>
          </cell>
          <cell r="D357" t="str">
            <v>(株)三陽電機製作所</v>
          </cell>
          <cell r="E357" t="str">
            <v>62</v>
          </cell>
        </row>
        <row r="358">
          <cell r="B358" t="str">
            <v>0000ｵ</v>
          </cell>
          <cell r="C358" t="str">
            <v>#</v>
          </cell>
          <cell r="D358" t="str">
            <v>山陽特殊製鋼(株)</v>
          </cell>
          <cell r="E358" t="str">
            <v>10</v>
          </cell>
        </row>
        <row r="359">
          <cell r="B359" t="str">
            <v>2629</v>
          </cell>
          <cell r="C359" t="str">
            <v>#</v>
          </cell>
          <cell r="D359" t="str">
            <v>三洋ﾗｲﾌｴﾚｸﾄﾛﾆｸｽ(株)</v>
          </cell>
          <cell r="E359" t="str">
            <v>64</v>
          </cell>
        </row>
        <row r="360">
          <cell r="B360" t="str">
            <v>8364</v>
          </cell>
          <cell r="C360" t="str">
            <v>#</v>
          </cell>
          <cell r="D360" t="str">
            <v>三立興産(株)</v>
          </cell>
          <cell r="E360" t="str">
            <v>30</v>
          </cell>
        </row>
        <row r="361">
          <cell r="B361" t="str">
            <v>9932</v>
          </cell>
          <cell r="C361" t="str">
            <v>#</v>
          </cell>
          <cell r="D361" t="str">
            <v>三和建鉄(株)</v>
          </cell>
          <cell r="E361" t="str">
            <v>30</v>
          </cell>
        </row>
        <row r="362">
          <cell r="B362" t="str">
            <v>5515</v>
          </cell>
          <cell r="C362" t="str">
            <v>#</v>
          </cell>
          <cell r="D362" t="str">
            <v>三輪精機(株)</v>
          </cell>
          <cell r="E362" t="str">
            <v>54</v>
          </cell>
        </row>
        <row r="363">
          <cell r="B363" t="str">
            <v>9268</v>
          </cell>
          <cell r="C363" t="str">
            <v>#</v>
          </cell>
          <cell r="D363" t="str">
            <v>三和精機(株)</v>
          </cell>
          <cell r="E363" t="str">
            <v>30</v>
          </cell>
        </row>
        <row r="364">
          <cell r="B364" t="str">
            <v>9182</v>
          </cell>
          <cell r="C364" t="str">
            <v>#</v>
          </cell>
          <cell r="D364" t="str">
            <v>三和ﾊﾟｯｷﾝｸﾞ工業(株)</v>
          </cell>
          <cell r="E364" t="str">
            <v>51</v>
          </cell>
        </row>
        <row r="365">
          <cell r="B365" t="str">
            <v>3203</v>
          </cell>
          <cell r="C365" t="str">
            <v>#</v>
          </cell>
          <cell r="D365" t="str">
            <v>三和部品工業(株)</v>
          </cell>
          <cell r="E365" t="str">
            <v>64</v>
          </cell>
        </row>
        <row r="366">
          <cell r="B366" t="str">
            <v>9252</v>
          </cell>
          <cell r="C366" t="str">
            <v>#</v>
          </cell>
          <cell r="D366" t="str">
            <v>シーアイ緑化土木(株)</v>
          </cell>
          <cell r="E366" t="str">
            <v>30</v>
          </cell>
        </row>
        <row r="367">
          <cell r="B367" t="str">
            <v>4619</v>
          </cell>
          <cell r="C367" t="str">
            <v>#</v>
          </cell>
          <cell r="D367" t="str">
            <v>(株)シーエスアイ</v>
          </cell>
          <cell r="E367" t="str">
            <v>64</v>
          </cell>
        </row>
        <row r="368">
          <cell r="B368" t="str">
            <v>9377</v>
          </cell>
          <cell r="C368" t="str">
            <v>#</v>
          </cell>
          <cell r="D368" t="str">
            <v>(株)ｼﾞｰｹｰｴﾇ･ｼﾞｬﾊﾟﾝ</v>
          </cell>
          <cell r="E368" t="str">
            <v>71</v>
          </cell>
        </row>
        <row r="369">
          <cell r="B369" t="str">
            <v>8003</v>
          </cell>
          <cell r="C369" t="str">
            <v>#</v>
          </cell>
          <cell r="D369" t="str">
            <v>(株)シーケービー</v>
          </cell>
          <cell r="E369" t="str">
            <v>30</v>
          </cell>
        </row>
        <row r="370">
          <cell r="B370" t="str">
            <v>8013</v>
          </cell>
          <cell r="C370" t="str">
            <v>#</v>
          </cell>
          <cell r="D370" t="str">
            <v>(株)ｼｰ･ｺｰﾚﾝｽ商会</v>
          </cell>
          <cell r="E370" t="str">
            <v>30</v>
          </cell>
        </row>
        <row r="371">
          <cell r="B371" t="str">
            <v>7048</v>
          </cell>
          <cell r="C371" t="str">
            <v>#</v>
          </cell>
          <cell r="D371" t="str">
            <v>シーシーアイ(株)</v>
          </cell>
          <cell r="E371" t="str">
            <v>15</v>
          </cell>
        </row>
        <row r="372">
          <cell r="B372" t="str">
            <v>7312</v>
          </cell>
          <cell r="C372" t="str">
            <v>#</v>
          </cell>
          <cell r="D372" t="str">
            <v>シールエンド(株)</v>
          </cell>
          <cell r="E372" t="str">
            <v>15</v>
          </cell>
        </row>
        <row r="373">
          <cell r="B373" t="str">
            <v>2022</v>
          </cell>
          <cell r="C373" t="str">
            <v>#</v>
          </cell>
          <cell r="D373" t="str">
            <v>(株)JKCﾄﾗｯｸﾌﾞﾚｰｷｼｽﾃﾑｽﾞ</v>
          </cell>
          <cell r="E373" t="str">
            <v>54</v>
          </cell>
        </row>
        <row r="374">
          <cell r="B374" t="str">
            <v>2823</v>
          </cell>
          <cell r="C374" t="str">
            <v>#</v>
          </cell>
          <cell r="D374" t="str">
            <v>ジェコー(株)</v>
          </cell>
          <cell r="E374" t="str">
            <v>62</v>
          </cell>
        </row>
        <row r="375">
          <cell r="B375" t="str">
            <v>8470</v>
          </cell>
          <cell r="C375" t="str">
            <v>#</v>
          </cell>
          <cell r="D375" t="str">
            <v>(株)滋賀山下</v>
          </cell>
          <cell r="E375" t="str">
            <v>30</v>
          </cell>
        </row>
        <row r="376">
          <cell r="B376" t="str">
            <v>0046</v>
          </cell>
          <cell r="C376" t="str">
            <v>#</v>
          </cell>
          <cell r="D376" t="str">
            <v>敷島アルミニウム(株)</v>
          </cell>
          <cell r="E376" t="str">
            <v>10</v>
          </cell>
        </row>
        <row r="377">
          <cell r="B377" t="str">
            <v>7852</v>
          </cell>
          <cell r="C377" t="str">
            <v>#</v>
          </cell>
          <cell r="D377" t="str">
            <v>システム機器(株)</v>
          </cell>
          <cell r="E377" t="str">
            <v>30</v>
          </cell>
        </row>
        <row r="378">
          <cell r="B378" t="str">
            <v>0515</v>
          </cell>
          <cell r="C378" t="str">
            <v>#</v>
          </cell>
          <cell r="D378" t="str">
            <v>(自動車鋳物(株))</v>
          </cell>
          <cell r="E378" t="str">
            <v>53</v>
          </cell>
        </row>
        <row r="379">
          <cell r="B379" t="str">
            <v>5065</v>
          </cell>
          <cell r="C379" t="str">
            <v>#</v>
          </cell>
          <cell r="D379" t="str">
            <v>(自動車鋳物(株))</v>
          </cell>
          <cell r="E379" t="str">
            <v>53</v>
          </cell>
        </row>
        <row r="380">
          <cell r="B380" t="str">
            <v>9520</v>
          </cell>
          <cell r="C380" t="str">
            <v>#</v>
          </cell>
          <cell r="D380" t="str">
            <v>(自動車鋳物(株))</v>
          </cell>
          <cell r="E380" t="str">
            <v>73</v>
          </cell>
        </row>
        <row r="381">
          <cell r="B381" t="str">
            <v>0521</v>
          </cell>
          <cell r="C381" t="str">
            <v>#</v>
          </cell>
          <cell r="D381" t="str">
            <v>自動車鋳物(株)</v>
          </cell>
          <cell r="E381" t="str">
            <v>53</v>
          </cell>
        </row>
        <row r="382">
          <cell r="B382" t="str">
            <v>2008</v>
          </cell>
          <cell r="C382" t="str">
            <v>#</v>
          </cell>
          <cell r="D382" t="str">
            <v>自動車機器(株)</v>
          </cell>
          <cell r="E382" t="str">
            <v>54</v>
          </cell>
        </row>
        <row r="383">
          <cell r="B383" t="str">
            <v>2602</v>
          </cell>
          <cell r="C383" t="str">
            <v>#</v>
          </cell>
          <cell r="D383" t="str">
            <v>自動車電機工業(株)</v>
          </cell>
          <cell r="E383" t="str">
            <v>62</v>
          </cell>
        </row>
        <row r="384">
          <cell r="B384" t="str">
            <v>2005</v>
          </cell>
          <cell r="C384" t="str">
            <v>#</v>
          </cell>
          <cell r="D384" t="str">
            <v>自動車部品工業(株)</v>
          </cell>
          <cell r="E384" t="str">
            <v>53</v>
          </cell>
        </row>
        <row r="385">
          <cell r="B385" t="str">
            <v>8429</v>
          </cell>
          <cell r="C385" t="str">
            <v>#</v>
          </cell>
          <cell r="D385" t="str">
            <v>(株)シバックス</v>
          </cell>
          <cell r="E385" t="str">
            <v>30</v>
          </cell>
        </row>
        <row r="386">
          <cell r="B386" t="str">
            <v>9706</v>
          </cell>
          <cell r="C386" t="str">
            <v>#</v>
          </cell>
          <cell r="D386" t="str">
            <v>(株)シマセイ</v>
          </cell>
          <cell r="E386" t="str">
            <v>30</v>
          </cell>
        </row>
        <row r="387">
          <cell r="B387" t="str">
            <v>3629</v>
          </cell>
          <cell r="C387" t="str">
            <v>#</v>
          </cell>
          <cell r="D387" t="str">
            <v>(株)嶋田ﾁｬﾝﾈﾙ製作所</v>
          </cell>
          <cell r="E387" t="str">
            <v>62</v>
          </cell>
        </row>
        <row r="388">
          <cell r="B388" t="str">
            <v>8711</v>
          </cell>
          <cell r="C388" t="str">
            <v>#</v>
          </cell>
          <cell r="D388" t="str">
            <v>清水建設(株)</v>
          </cell>
          <cell r="E388" t="str">
            <v>30</v>
          </cell>
        </row>
        <row r="389">
          <cell r="B389" t="str">
            <v>4642</v>
          </cell>
          <cell r="C389" t="str">
            <v>#</v>
          </cell>
          <cell r="D389" t="str">
            <v>（有)志村塗装工業</v>
          </cell>
          <cell r="E389" t="str">
            <v>64</v>
          </cell>
        </row>
        <row r="390">
          <cell r="B390" t="str">
            <v>8270</v>
          </cell>
          <cell r="C390" t="str">
            <v>#</v>
          </cell>
          <cell r="D390" t="str">
            <v>ジャテック(株)</v>
          </cell>
          <cell r="E390" t="str">
            <v>64</v>
          </cell>
        </row>
        <row r="391">
          <cell r="B391" t="str">
            <v>5533</v>
          </cell>
          <cell r="C391" t="str">
            <v>#</v>
          </cell>
          <cell r="D391" t="str">
            <v>ジャトコ(株)</v>
          </cell>
          <cell r="E391" t="str">
            <v>56</v>
          </cell>
        </row>
        <row r="392">
          <cell r="B392" t="str">
            <v>0000ｻ</v>
          </cell>
          <cell r="C392" t="str">
            <v>#</v>
          </cell>
          <cell r="D392" t="str">
            <v>(株)ジャパンエナジ－</v>
          </cell>
          <cell r="E392" t="str">
            <v>15</v>
          </cell>
        </row>
        <row r="393">
          <cell r="B393" t="str">
            <v>8411</v>
          </cell>
          <cell r="C393" t="str">
            <v>#</v>
          </cell>
          <cell r="D393" t="str">
            <v>(株)秀鋼社</v>
          </cell>
          <cell r="E393" t="str">
            <v>30</v>
          </cell>
        </row>
        <row r="394">
          <cell r="B394" t="str">
            <v>9696</v>
          </cell>
          <cell r="C394" t="str">
            <v>#</v>
          </cell>
          <cell r="D394" t="str">
            <v>首都圏ﾊﾟﾅｿﾆｯｸFA(株)</v>
          </cell>
          <cell r="E394" t="str">
            <v>30</v>
          </cell>
        </row>
        <row r="395">
          <cell r="B395" t="str">
            <v>8603</v>
          </cell>
          <cell r="C395" t="str">
            <v>#</v>
          </cell>
          <cell r="D395" t="str">
            <v>(株)勝栄電業社</v>
          </cell>
          <cell r="E395" t="str">
            <v>30</v>
          </cell>
        </row>
        <row r="396">
          <cell r="B396" t="str">
            <v>8431</v>
          </cell>
          <cell r="C396" t="str">
            <v>#</v>
          </cell>
          <cell r="D396" t="str">
            <v>(株)湘南ｵｰﾄﾒｰｼｮﾝ</v>
          </cell>
          <cell r="E396" t="str">
            <v>30</v>
          </cell>
        </row>
        <row r="397">
          <cell r="B397" t="str">
            <v>8388</v>
          </cell>
          <cell r="C397" t="str">
            <v>#</v>
          </cell>
          <cell r="D397" t="str">
            <v>湘南精工(株)</v>
          </cell>
          <cell r="E397" t="str">
            <v>30</v>
          </cell>
        </row>
        <row r="398">
          <cell r="B398" t="str">
            <v>3622</v>
          </cell>
          <cell r="C398" t="str">
            <v>#</v>
          </cell>
          <cell r="D398" t="str">
            <v>(株)城南製作所</v>
          </cell>
          <cell r="E398" t="str">
            <v>62</v>
          </cell>
        </row>
        <row r="399">
          <cell r="B399" t="str">
            <v>3027</v>
          </cell>
          <cell r="C399" t="str">
            <v>#</v>
          </cell>
          <cell r="D399" t="str">
            <v>(株)湘南ユニテック</v>
          </cell>
          <cell r="E399" t="str">
            <v>64</v>
          </cell>
        </row>
        <row r="400">
          <cell r="B400" t="str">
            <v>0529</v>
          </cell>
          <cell r="C400" t="str">
            <v>#</v>
          </cell>
          <cell r="D400" t="str">
            <v>(株)庄和</v>
          </cell>
          <cell r="E400" t="str">
            <v>53</v>
          </cell>
        </row>
        <row r="401">
          <cell r="B401" t="str">
            <v>8262</v>
          </cell>
          <cell r="C401" t="str">
            <v>#</v>
          </cell>
          <cell r="D401" t="str">
            <v>(株)昭和</v>
          </cell>
          <cell r="E401" t="str">
            <v>30</v>
          </cell>
        </row>
        <row r="402">
          <cell r="B402" t="str">
            <v>7021</v>
          </cell>
          <cell r="C402" t="str">
            <v>#</v>
          </cell>
          <cell r="D402" t="str">
            <v>昭和シェル石油(株)</v>
          </cell>
          <cell r="E402" t="str">
            <v>15</v>
          </cell>
        </row>
        <row r="403">
          <cell r="B403" t="str">
            <v>0045</v>
          </cell>
          <cell r="C403" t="str">
            <v>#</v>
          </cell>
          <cell r="D403" t="str">
            <v>昭和電工(株)</v>
          </cell>
          <cell r="E403" t="str">
            <v>10</v>
          </cell>
        </row>
        <row r="404">
          <cell r="B404" t="str">
            <v>9219</v>
          </cell>
          <cell r="C404" t="str">
            <v>#</v>
          </cell>
          <cell r="D404" t="str">
            <v>昭和電線電纜(株)</v>
          </cell>
          <cell r="E404" t="str">
            <v>30</v>
          </cell>
        </row>
        <row r="405">
          <cell r="B405" t="str">
            <v>5036</v>
          </cell>
          <cell r="C405" t="str">
            <v>#</v>
          </cell>
          <cell r="D405" t="str">
            <v>(株)ショーワ</v>
          </cell>
          <cell r="E405" t="str">
            <v>54</v>
          </cell>
        </row>
        <row r="406">
          <cell r="B406" t="str">
            <v>8450</v>
          </cell>
          <cell r="C406" t="str">
            <v>#</v>
          </cell>
          <cell r="D406" t="str">
            <v>白鳥鋳物(株)</v>
          </cell>
          <cell r="E406" t="str">
            <v>30</v>
          </cell>
        </row>
        <row r="407">
          <cell r="B407" t="str">
            <v>3631</v>
          </cell>
          <cell r="C407" t="str">
            <v>#</v>
          </cell>
          <cell r="D407" t="str">
            <v>シロキ工業(株)</v>
          </cell>
          <cell r="E407" t="str">
            <v>62</v>
          </cell>
        </row>
        <row r="408">
          <cell r="B408" t="str">
            <v>9740</v>
          </cell>
          <cell r="C408" t="str">
            <v>#</v>
          </cell>
          <cell r="D408" t="str">
            <v>(株)城下ｴﾝｼﾞﾆｱﾘﾝｸﾞ</v>
          </cell>
          <cell r="E408" t="str">
            <v>30</v>
          </cell>
        </row>
        <row r="409">
          <cell r="B409" t="str">
            <v>2004</v>
          </cell>
          <cell r="C409" t="str">
            <v>#</v>
          </cell>
          <cell r="D409" t="str">
            <v>辰栄工業(株)</v>
          </cell>
          <cell r="E409" t="str">
            <v>56</v>
          </cell>
        </row>
        <row r="410">
          <cell r="B410" t="str">
            <v>4618</v>
          </cell>
          <cell r="C410" t="str">
            <v>#</v>
          </cell>
          <cell r="D410" t="str">
            <v>(株)伸栄工業</v>
          </cell>
          <cell r="E410" t="str">
            <v>62</v>
          </cell>
        </row>
        <row r="411">
          <cell r="B411" t="str">
            <v>9800</v>
          </cell>
          <cell r="C411" t="str">
            <v>#</v>
          </cell>
          <cell r="D411" t="str">
            <v>陣上工業(株)</v>
          </cell>
          <cell r="E411" t="str">
            <v>30</v>
          </cell>
        </row>
        <row r="412">
          <cell r="B412" t="str">
            <v>9123</v>
          </cell>
          <cell r="C412" t="str">
            <v>#</v>
          </cell>
          <cell r="D412" t="str">
            <v>(株)神環保</v>
          </cell>
          <cell r="E412" t="str">
            <v>30</v>
          </cell>
        </row>
        <row r="413">
          <cell r="B413" t="str">
            <v>8573</v>
          </cell>
          <cell r="C413" t="str">
            <v>#</v>
          </cell>
          <cell r="D413" t="str">
            <v>神鋼電機(株)</v>
          </cell>
          <cell r="E413" t="str">
            <v>30</v>
          </cell>
        </row>
        <row r="414">
          <cell r="B414" t="str">
            <v>2305</v>
          </cell>
          <cell r="C414" t="str">
            <v>#</v>
          </cell>
          <cell r="D414" t="str">
            <v>新神戸電機(株)</v>
          </cell>
          <cell r="E414" t="str">
            <v>62</v>
          </cell>
        </row>
        <row r="415">
          <cell r="B415" t="str">
            <v>9293</v>
          </cell>
          <cell r="C415" t="str">
            <v>#</v>
          </cell>
          <cell r="D415" t="str">
            <v>伸工貿易(株)</v>
          </cell>
          <cell r="E415" t="str">
            <v>75</v>
          </cell>
        </row>
        <row r="416">
          <cell r="B416" t="str">
            <v>4515</v>
          </cell>
          <cell r="C416" t="str">
            <v>#</v>
          </cell>
          <cell r="D416" t="str">
            <v>新三工商事(株)</v>
          </cell>
          <cell r="E416" t="str">
            <v>64</v>
          </cell>
        </row>
        <row r="417">
          <cell r="B417" t="str">
            <v>8301</v>
          </cell>
          <cell r="C417" t="str">
            <v>#</v>
          </cell>
          <cell r="D417" t="str">
            <v>新東工業(株)</v>
          </cell>
          <cell r="E417" t="str">
            <v>30</v>
          </cell>
        </row>
        <row r="418">
          <cell r="B418" t="str">
            <v>0000ｺ</v>
          </cell>
          <cell r="C418" t="str">
            <v>#</v>
          </cell>
          <cell r="D418" t="str">
            <v>神東塗料(株)</v>
          </cell>
          <cell r="E418" t="str">
            <v>15</v>
          </cell>
        </row>
        <row r="419">
          <cell r="B419" t="str">
            <v>8505</v>
          </cell>
          <cell r="C419" t="str">
            <v>#</v>
          </cell>
          <cell r="D419" t="str">
            <v>ｼﾝﾄﾞﾗｰｴﾚﾍﾞｰﾀ(株)</v>
          </cell>
          <cell r="E419" t="str">
            <v>30</v>
          </cell>
        </row>
        <row r="420">
          <cell r="B420" t="str">
            <v>0576</v>
          </cell>
          <cell r="C420" t="str">
            <v>#</v>
          </cell>
          <cell r="D420" t="str">
            <v>(株)シンニッタン</v>
          </cell>
          <cell r="E420" t="str">
            <v>53</v>
          </cell>
        </row>
        <row r="421">
          <cell r="B421" t="str">
            <v>0000ｱ</v>
          </cell>
          <cell r="C421" t="str">
            <v>#</v>
          </cell>
          <cell r="D421" t="str">
            <v>新日本製鐵(株)</v>
          </cell>
          <cell r="E421" t="str">
            <v>10</v>
          </cell>
        </row>
        <row r="422">
          <cell r="B422" t="str">
            <v>8669</v>
          </cell>
          <cell r="C422" t="str">
            <v>#</v>
          </cell>
          <cell r="D422" t="str">
            <v>真保炉材工業(株)</v>
          </cell>
          <cell r="E422" t="str">
            <v>30</v>
          </cell>
        </row>
        <row r="423">
          <cell r="B423" t="str">
            <v>9908</v>
          </cell>
          <cell r="C423" t="str">
            <v>#</v>
          </cell>
          <cell r="D423" t="str">
            <v>新明和ｵｰﾄｴﾝｼﾞﾆｱﾘﾝｸﾞ(株)</v>
          </cell>
          <cell r="E423" t="str">
            <v>64</v>
          </cell>
        </row>
        <row r="424">
          <cell r="B424" t="str">
            <v>7733</v>
          </cell>
          <cell r="C424" t="str">
            <v>#</v>
          </cell>
          <cell r="D424" t="str">
            <v>(株)進和</v>
          </cell>
          <cell r="E424" t="str">
            <v>30</v>
          </cell>
        </row>
        <row r="425">
          <cell r="B425" t="str">
            <v>9807</v>
          </cell>
          <cell r="C425" t="str">
            <v>#</v>
          </cell>
          <cell r="D425" t="str">
            <v>(株)新和</v>
          </cell>
          <cell r="E425" t="str">
            <v>30</v>
          </cell>
        </row>
        <row r="426">
          <cell r="B426" t="str">
            <v>4636</v>
          </cell>
          <cell r="C426" t="str">
            <v>#</v>
          </cell>
          <cell r="D426" t="str">
            <v>新和工業(株)</v>
          </cell>
          <cell r="E426" t="str">
            <v>62</v>
          </cell>
        </row>
        <row r="427">
          <cell r="B427" t="str">
            <v>9224</v>
          </cell>
          <cell r="C427" t="str">
            <v>#</v>
          </cell>
          <cell r="D427" t="str">
            <v>辰和工業(株)</v>
          </cell>
          <cell r="E427" t="str">
            <v>30</v>
          </cell>
        </row>
        <row r="428">
          <cell r="B428" t="str">
            <v>9801</v>
          </cell>
          <cell r="C428" t="str">
            <v>#</v>
          </cell>
          <cell r="D428" t="str">
            <v>新和産業(株)</v>
          </cell>
          <cell r="E428" t="str">
            <v>30</v>
          </cell>
        </row>
        <row r="429">
          <cell r="B429" t="str">
            <v>8251</v>
          </cell>
          <cell r="C429" t="str">
            <v>#</v>
          </cell>
          <cell r="D429" t="str">
            <v>(有)鈴木商店</v>
          </cell>
          <cell r="E429" t="str">
            <v>30</v>
          </cell>
        </row>
        <row r="430">
          <cell r="B430" t="str">
            <v>8137</v>
          </cell>
          <cell r="C430" t="str">
            <v>#</v>
          </cell>
          <cell r="D430" t="str">
            <v>鈴幸商事(株)</v>
          </cell>
          <cell r="E430" t="str">
            <v>30</v>
          </cell>
        </row>
        <row r="431">
          <cell r="B431" t="str">
            <v>0053</v>
          </cell>
          <cell r="C431" t="str">
            <v>#</v>
          </cell>
          <cell r="D431" t="str">
            <v>鈴丸産業(株)</v>
          </cell>
          <cell r="E431" t="str">
            <v>10</v>
          </cell>
        </row>
        <row r="432">
          <cell r="B432" t="str">
            <v>0044</v>
          </cell>
          <cell r="C432" t="str">
            <v>#</v>
          </cell>
          <cell r="D432" t="str">
            <v>鈴与商事(株)</v>
          </cell>
          <cell r="E432" t="str">
            <v>62</v>
          </cell>
        </row>
        <row r="433">
          <cell r="B433" t="str">
            <v>2714</v>
          </cell>
          <cell r="C433" t="str">
            <v>#</v>
          </cell>
          <cell r="D433" t="str">
            <v>スタンレー電気(株)</v>
          </cell>
          <cell r="E433" t="str">
            <v>62</v>
          </cell>
        </row>
        <row r="434">
          <cell r="B434" t="str">
            <v>7625</v>
          </cell>
          <cell r="C434" t="str">
            <v>#</v>
          </cell>
          <cell r="D434" t="str">
            <v>ステイト工業(株)</v>
          </cell>
          <cell r="E434" t="str">
            <v>15</v>
          </cell>
        </row>
        <row r="435">
          <cell r="B435" t="str">
            <v>9223</v>
          </cell>
          <cell r="C435" t="str">
            <v>#</v>
          </cell>
          <cell r="D435" t="str">
            <v>角南商事(株)</v>
          </cell>
          <cell r="E435" t="str">
            <v>30</v>
          </cell>
        </row>
        <row r="436">
          <cell r="B436" t="str">
            <v>0031</v>
          </cell>
          <cell r="C436" t="str">
            <v>#</v>
          </cell>
          <cell r="D436" t="str">
            <v>住金物産(株)</v>
          </cell>
          <cell r="E436" t="str">
            <v>10</v>
          </cell>
        </row>
        <row r="437">
          <cell r="B437" t="str">
            <v>0000ｼ</v>
          </cell>
          <cell r="C437" t="str">
            <v>#</v>
          </cell>
          <cell r="D437" t="str">
            <v>住商機電販売(株)</v>
          </cell>
          <cell r="E437" t="str">
            <v>30</v>
          </cell>
        </row>
        <row r="438">
          <cell r="B438" t="str">
            <v>7400</v>
          </cell>
          <cell r="C438" t="str">
            <v>#</v>
          </cell>
          <cell r="D438" t="str">
            <v>隅田化学(株)</v>
          </cell>
          <cell r="E438" t="str">
            <v>15</v>
          </cell>
        </row>
        <row r="439">
          <cell r="B439" t="str">
            <v>0000ｳ</v>
          </cell>
          <cell r="C439" t="str">
            <v>#</v>
          </cell>
          <cell r="D439" t="str">
            <v>住友金属工業(株)</v>
          </cell>
          <cell r="E439" t="str">
            <v>10</v>
          </cell>
        </row>
        <row r="440">
          <cell r="B440" t="str">
            <v>0042</v>
          </cell>
          <cell r="C440" t="str">
            <v>#</v>
          </cell>
          <cell r="D440" t="str">
            <v>住友商事(株)</v>
          </cell>
          <cell r="E440" t="str">
            <v>54</v>
          </cell>
        </row>
        <row r="441">
          <cell r="B441" t="str">
            <v>3636</v>
          </cell>
          <cell r="C441" t="str">
            <v>#</v>
          </cell>
          <cell r="D441" t="str">
            <v>住友スリーエム(株)</v>
          </cell>
          <cell r="E441" t="str">
            <v>62</v>
          </cell>
        </row>
        <row r="442">
          <cell r="B442" t="str">
            <v>2409</v>
          </cell>
          <cell r="C442" t="str">
            <v>#</v>
          </cell>
          <cell r="D442" t="str">
            <v>住友電気工業(株)</v>
          </cell>
          <cell r="E442" t="str">
            <v>54</v>
          </cell>
        </row>
        <row r="443">
          <cell r="B443" t="str">
            <v>8214</v>
          </cell>
          <cell r="C443" t="str">
            <v>#</v>
          </cell>
          <cell r="D443" t="str">
            <v>住友電工イゲタロイ(株)</v>
          </cell>
          <cell r="E443" t="str">
            <v>30</v>
          </cell>
        </row>
        <row r="444">
          <cell r="B444" t="str">
            <v>3616</v>
          </cell>
          <cell r="C444" t="str">
            <v>#</v>
          </cell>
          <cell r="D444" t="str">
            <v>住江織物(株)</v>
          </cell>
          <cell r="E444" t="str">
            <v>62</v>
          </cell>
        </row>
        <row r="445">
          <cell r="B445" t="str">
            <v>7307</v>
          </cell>
          <cell r="C445" t="str">
            <v>#</v>
          </cell>
          <cell r="D445" t="str">
            <v>(株)スリ－ボンド</v>
          </cell>
          <cell r="E445" t="str">
            <v>15</v>
          </cell>
        </row>
        <row r="446">
          <cell r="B446" t="str">
            <v>8413</v>
          </cell>
          <cell r="C446" t="str">
            <v>#</v>
          </cell>
          <cell r="D446" t="str">
            <v>(株)駿河ｴﾝｼﾞﾆｱﾘﾝｸﾞ</v>
          </cell>
          <cell r="E446" t="str">
            <v>30</v>
          </cell>
        </row>
        <row r="447">
          <cell r="B447" t="str">
            <v>9203</v>
          </cell>
          <cell r="C447" t="str">
            <v>#</v>
          </cell>
          <cell r="D447" t="str">
            <v>駿河ダイテック(株)</v>
          </cell>
          <cell r="E447" t="str">
            <v>30</v>
          </cell>
        </row>
        <row r="448">
          <cell r="B448" t="str">
            <v>9250</v>
          </cell>
          <cell r="C448" t="str">
            <v>#</v>
          </cell>
          <cell r="D448" t="str">
            <v>スルザー ジャパン(株)</v>
          </cell>
          <cell r="E448" t="str">
            <v>30</v>
          </cell>
        </row>
        <row r="449">
          <cell r="B449" t="str">
            <v>9243</v>
          </cell>
          <cell r="C449" t="str">
            <v>#</v>
          </cell>
          <cell r="D449" t="str">
            <v>セイコープレシジョン(株)</v>
          </cell>
          <cell r="E449" t="str">
            <v>30</v>
          </cell>
        </row>
        <row r="450">
          <cell r="B450" t="str">
            <v>7823</v>
          </cell>
          <cell r="C450" t="str">
            <v>#</v>
          </cell>
          <cell r="D450" t="str">
            <v>(株)セイブンドー</v>
          </cell>
          <cell r="E450" t="str">
            <v>15</v>
          </cell>
        </row>
        <row r="451">
          <cell r="B451" t="str">
            <v>8420</v>
          </cell>
          <cell r="C451" t="str">
            <v>#</v>
          </cell>
          <cell r="D451" t="str">
            <v>ゼオン興産(株)</v>
          </cell>
          <cell r="E451" t="str">
            <v>30</v>
          </cell>
        </row>
        <row r="452">
          <cell r="B452" t="str">
            <v>8671</v>
          </cell>
          <cell r="C452" t="str">
            <v>#</v>
          </cell>
          <cell r="D452" t="str">
            <v>関口電設(株)</v>
          </cell>
          <cell r="E452" t="str">
            <v>30</v>
          </cell>
        </row>
        <row r="453">
          <cell r="B453" t="str">
            <v>7704</v>
          </cell>
          <cell r="C453" t="str">
            <v>#</v>
          </cell>
          <cell r="D453" t="str">
            <v>(株)関根商店</v>
          </cell>
          <cell r="E453" t="str">
            <v>15</v>
          </cell>
        </row>
        <row r="454">
          <cell r="B454" t="str">
            <v>2000</v>
          </cell>
          <cell r="C454" t="str">
            <v>#</v>
          </cell>
          <cell r="D454" t="str">
            <v>(株)ゼクセル</v>
          </cell>
          <cell r="E454" t="str">
            <v>51</v>
          </cell>
        </row>
        <row r="455">
          <cell r="B455" t="str">
            <v>2550</v>
          </cell>
          <cell r="C455" t="str">
            <v>#</v>
          </cell>
          <cell r="D455" t="str">
            <v>(株)ｾﾞｸｾﾙｺｰﾙﾄﾞｼｽﾃﾑｽﾞ</v>
          </cell>
          <cell r="E455" t="str">
            <v>62</v>
          </cell>
        </row>
        <row r="456">
          <cell r="B456" t="str">
            <v>9461</v>
          </cell>
          <cell r="C456" t="str">
            <v>#</v>
          </cell>
          <cell r="D456" t="str">
            <v>ｾﾞｯﾄ･ｴﾌ･ｼﾞｬﾊﾟﾝ(株)</v>
          </cell>
          <cell r="E456" t="str">
            <v>75</v>
          </cell>
        </row>
        <row r="457">
          <cell r="B457" t="str">
            <v>9754</v>
          </cell>
          <cell r="C457" t="str">
            <v>#</v>
          </cell>
          <cell r="D457" t="str">
            <v xml:space="preserve">(株)銭高組 </v>
          </cell>
          <cell r="E457" t="str">
            <v>30</v>
          </cell>
        </row>
        <row r="458">
          <cell r="B458" t="str">
            <v>7303</v>
          </cell>
          <cell r="C458" t="str">
            <v>#</v>
          </cell>
          <cell r="D458" t="str">
            <v>セメダイン(株)</v>
          </cell>
          <cell r="E458" t="str">
            <v>15</v>
          </cell>
        </row>
        <row r="459">
          <cell r="B459" t="str">
            <v>8457</v>
          </cell>
          <cell r="C459" t="str">
            <v>#</v>
          </cell>
          <cell r="D459" t="str">
            <v>(株)セラフォーム</v>
          </cell>
          <cell r="E459" t="str">
            <v>30</v>
          </cell>
        </row>
        <row r="460">
          <cell r="B460" t="str">
            <v>2649</v>
          </cell>
          <cell r="C460" t="str">
            <v>#</v>
          </cell>
          <cell r="D460" t="str">
            <v>ｾﾝｻｰﾃｸﾉﾛｼﾞｰ(株)</v>
          </cell>
          <cell r="E460" t="str">
            <v>62</v>
          </cell>
        </row>
        <row r="461">
          <cell r="B461" t="str">
            <v>8504</v>
          </cell>
          <cell r="C461" t="str">
            <v>#</v>
          </cell>
          <cell r="D461" t="str">
            <v>(株)総研</v>
          </cell>
          <cell r="E461" t="str">
            <v>30</v>
          </cell>
        </row>
        <row r="462">
          <cell r="B462" t="str">
            <v>9563</v>
          </cell>
          <cell r="C462" t="str">
            <v>#</v>
          </cell>
          <cell r="D462" t="str">
            <v>ソニーテクトロニクス(株)</v>
          </cell>
          <cell r="E462" t="str">
            <v>30</v>
          </cell>
        </row>
        <row r="463">
          <cell r="B463" t="str">
            <v>9757</v>
          </cell>
          <cell r="C463" t="str">
            <v>#</v>
          </cell>
          <cell r="D463" t="str">
            <v>ソマール(株)</v>
          </cell>
          <cell r="E463" t="str">
            <v>30</v>
          </cell>
        </row>
        <row r="464">
          <cell r="B464" t="str">
            <v>5071</v>
          </cell>
          <cell r="C464" t="str">
            <v>#</v>
          </cell>
          <cell r="D464" t="str">
            <v>(株)ソミック石川</v>
          </cell>
          <cell r="E464" t="str">
            <v>54</v>
          </cell>
        </row>
        <row r="465">
          <cell r="B465" t="str">
            <v>7306</v>
          </cell>
          <cell r="C465" t="str">
            <v>#</v>
          </cell>
          <cell r="D465" t="str">
            <v>ダイアボンド工業(株)</v>
          </cell>
          <cell r="E465" t="str">
            <v>15</v>
          </cell>
        </row>
        <row r="466">
          <cell r="B466" t="str">
            <v>5512</v>
          </cell>
          <cell r="C466" t="str">
            <v>#</v>
          </cell>
          <cell r="D466" t="str">
            <v>(株)大安工業所</v>
          </cell>
          <cell r="E466" t="str">
            <v>53</v>
          </cell>
        </row>
        <row r="467">
          <cell r="B467" t="str">
            <v>8250</v>
          </cell>
          <cell r="C467" t="str">
            <v>#</v>
          </cell>
          <cell r="D467" t="str">
            <v>第一実業(株)</v>
          </cell>
          <cell r="E467" t="str">
            <v>30</v>
          </cell>
        </row>
        <row r="468">
          <cell r="B468" t="str">
            <v>7713</v>
          </cell>
          <cell r="C468" t="str">
            <v>#</v>
          </cell>
          <cell r="D468" t="str">
            <v>第一商事(株)</v>
          </cell>
          <cell r="E468" t="str">
            <v>30</v>
          </cell>
        </row>
        <row r="469">
          <cell r="B469" t="str">
            <v>8439</v>
          </cell>
          <cell r="C469" t="str">
            <v>#</v>
          </cell>
          <cell r="D469" t="str">
            <v>(株)第一通商</v>
          </cell>
          <cell r="E469" t="str">
            <v>30</v>
          </cell>
        </row>
        <row r="470">
          <cell r="B470" t="str">
            <v>2718</v>
          </cell>
          <cell r="C470" t="str">
            <v>#</v>
          </cell>
          <cell r="D470" t="str">
            <v>第一電装部品(株)</v>
          </cell>
          <cell r="E470" t="str">
            <v>62</v>
          </cell>
        </row>
        <row r="471">
          <cell r="B471" t="str">
            <v>3021</v>
          </cell>
          <cell r="C471" t="str">
            <v>#</v>
          </cell>
          <cell r="D471" t="str">
            <v>第一プレス工業(株)</v>
          </cell>
          <cell r="E471" t="str">
            <v>54</v>
          </cell>
        </row>
        <row r="472">
          <cell r="B472" t="str">
            <v>9462</v>
          </cell>
          <cell r="C472" t="str">
            <v>#</v>
          </cell>
          <cell r="D472" t="str">
            <v>大宇ジャパン(株)</v>
          </cell>
          <cell r="E472" t="str">
            <v>73</v>
          </cell>
        </row>
        <row r="473">
          <cell r="B473" t="str">
            <v>4606</v>
          </cell>
          <cell r="C473" t="str">
            <v>#</v>
          </cell>
          <cell r="D473" t="str">
            <v>大榮産業(株)</v>
          </cell>
          <cell r="E473" t="str">
            <v>62</v>
          </cell>
        </row>
        <row r="474">
          <cell r="B474" t="str">
            <v>8653</v>
          </cell>
          <cell r="C474" t="str">
            <v>#</v>
          </cell>
          <cell r="D474" t="str">
            <v>大栄電子(株)</v>
          </cell>
          <cell r="E474" t="str">
            <v>30</v>
          </cell>
        </row>
        <row r="475">
          <cell r="B475" t="str">
            <v>0047</v>
          </cell>
          <cell r="C475" t="str">
            <v>#</v>
          </cell>
          <cell r="D475" t="str">
            <v>(株)大紀ｱﾙﾐﾆｳﾑ工業所</v>
          </cell>
          <cell r="E475" t="str">
            <v>10</v>
          </cell>
        </row>
        <row r="476">
          <cell r="B476" t="str">
            <v>8400</v>
          </cell>
          <cell r="C476" t="str">
            <v>#</v>
          </cell>
          <cell r="D476" t="str">
            <v>(株)大気社</v>
          </cell>
          <cell r="E476" t="str">
            <v>30</v>
          </cell>
        </row>
        <row r="477">
          <cell r="B477" t="str">
            <v>3639</v>
          </cell>
          <cell r="C477" t="str">
            <v>#</v>
          </cell>
          <cell r="D477" t="str">
            <v>ﾀﾞｲｷｮｰﾍﾞﾊﾞｽﾄ(株)</v>
          </cell>
          <cell r="E477" t="str">
            <v>62</v>
          </cell>
        </row>
        <row r="478">
          <cell r="B478" t="str">
            <v>7737</v>
          </cell>
          <cell r="C478" t="str">
            <v>#</v>
          </cell>
          <cell r="D478" t="str">
            <v>ダイキン工業(株)</v>
          </cell>
          <cell r="E478" t="str">
            <v>64</v>
          </cell>
        </row>
        <row r="479">
          <cell r="B479" t="str">
            <v>9158</v>
          </cell>
          <cell r="C479" t="str">
            <v>#</v>
          </cell>
          <cell r="D479" t="str">
            <v>ダイキンプラント(株)</v>
          </cell>
          <cell r="E479" t="str">
            <v>30</v>
          </cell>
        </row>
        <row r="480">
          <cell r="B480" t="str">
            <v>8438</v>
          </cell>
          <cell r="C480" t="str">
            <v>#</v>
          </cell>
          <cell r="D480" t="str">
            <v>大興電子通信(株)</v>
          </cell>
          <cell r="E480" t="str">
            <v>30</v>
          </cell>
        </row>
        <row r="481">
          <cell r="B481" t="str">
            <v>8737</v>
          </cell>
          <cell r="C481" t="str">
            <v>#</v>
          </cell>
          <cell r="D481" t="str">
            <v>大成建設(株)</v>
          </cell>
          <cell r="E481" t="str">
            <v>30</v>
          </cell>
        </row>
        <row r="482">
          <cell r="B482" t="str">
            <v>7729</v>
          </cell>
          <cell r="C482" t="str">
            <v>#</v>
          </cell>
          <cell r="D482" t="str">
            <v>大成合金(株)</v>
          </cell>
          <cell r="E482" t="str">
            <v>15</v>
          </cell>
        </row>
        <row r="483">
          <cell r="B483" t="str">
            <v>9112</v>
          </cell>
          <cell r="C483" t="str">
            <v>#</v>
          </cell>
          <cell r="D483" t="str">
            <v>大同アミスター(株)</v>
          </cell>
          <cell r="E483" t="str">
            <v>30</v>
          </cell>
        </row>
        <row r="484">
          <cell r="B484" t="str">
            <v>7033</v>
          </cell>
          <cell r="C484" t="str">
            <v>#</v>
          </cell>
          <cell r="D484" t="str">
            <v>大同化学工業(株)</v>
          </cell>
          <cell r="E484" t="str">
            <v>15</v>
          </cell>
        </row>
        <row r="485">
          <cell r="B485" t="str">
            <v>8235</v>
          </cell>
          <cell r="C485" t="str">
            <v>#</v>
          </cell>
          <cell r="D485" t="str">
            <v>大同計器(株)</v>
          </cell>
          <cell r="E485" t="str">
            <v>30</v>
          </cell>
        </row>
        <row r="486">
          <cell r="B486" t="str">
            <v>0039</v>
          </cell>
          <cell r="C486" t="str">
            <v>#</v>
          </cell>
          <cell r="D486" t="str">
            <v>大同鋼管(株)</v>
          </cell>
          <cell r="E486" t="str">
            <v>10</v>
          </cell>
        </row>
        <row r="487">
          <cell r="B487" t="str">
            <v>2509</v>
          </cell>
          <cell r="C487" t="str">
            <v>#</v>
          </cell>
          <cell r="D487" t="str">
            <v>大同興業(株)</v>
          </cell>
          <cell r="E487" t="str">
            <v>64</v>
          </cell>
        </row>
        <row r="488">
          <cell r="B488" t="str">
            <v>2814</v>
          </cell>
          <cell r="C488" t="str">
            <v>#</v>
          </cell>
          <cell r="D488" t="str">
            <v>大同工業(株)</v>
          </cell>
          <cell r="E488" t="str">
            <v>62</v>
          </cell>
        </row>
        <row r="489">
          <cell r="B489" t="str">
            <v>8586</v>
          </cell>
          <cell r="C489" t="str">
            <v>#</v>
          </cell>
          <cell r="D489" t="str">
            <v>大同工業(株)</v>
          </cell>
          <cell r="E489" t="str">
            <v>30</v>
          </cell>
        </row>
        <row r="490">
          <cell r="B490" t="str">
            <v>0014</v>
          </cell>
          <cell r="C490" t="str">
            <v>#</v>
          </cell>
          <cell r="D490" t="str">
            <v>大同特殊鋼(株)</v>
          </cell>
          <cell r="E490" t="str">
            <v>53</v>
          </cell>
        </row>
        <row r="491">
          <cell r="B491" t="str">
            <v>9175</v>
          </cell>
          <cell r="C491" t="str">
            <v>#</v>
          </cell>
          <cell r="D491" t="str">
            <v>大同ほくさん(株)</v>
          </cell>
          <cell r="E491" t="str">
            <v>15</v>
          </cell>
        </row>
        <row r="492">
          <cell r="B492" t="str">
            <v>2702</v>
          </cell>
          <cell r="C492" t="str">
            <v>#</v>
          </cell>
          <cell r="D492" t="str">
            <v>大同メタル工業(株)</v>
          </cell>
          <cell r="E492" t="str">
            <v>51</v>
          </cell>
        </row>
        <row r="493">
          <cell r="B493" t="str">
            <v>0000ｸ</v>
          </cell>
          <cell r="C493" t="str">
            <v>#</v>
          </cell>
          <cell r="D493" t="str">
            <v>大日本塗料(株)</v>
          </cell>
          <cell r="E493" t="str">
            <v>15</v>
          </cell>
        </row>
        <row r="494">
          <cell r="B494" t="str">
            <v>7505</v>
          </cell>
          <cell r="C494" t="str">
            <v>#</v>
          </cell>
          <cell r="D494" t="str">
            <v>大宝化学工業(株)</v>
          </cell>
          <cell r="E494" t="str">
            <v>15</v>
          </cell>
        </row>
        <row r="495">
          <cell r="B495" t="str">
            <v>9103</v>
          </cell>
          <cell r="C495" t="str">
            <v>#</v>
          </cell>
          <cell r="D495" t="str">
            <v>タイホー工業(株)</v>
          </cell>
          <cell r="E495" t="str">
            <v>30</v>
          </cell>
        </row>
        <row r="496">
          <cell r="B496" t="str">
            <v>9247</v>
          </cell>
          <cell r="C496" t="str">
            <v>#</v>
          </cell>
          <cell r="D496" t="str">
            <v>大豊工業(株)</v>
          </cell>
          <cell r="E496" t="str">
            <v>51</v>
          </cell>
        </row>
        <row r="497">
          <cell r="B497" t="str">
            <v>7049</v>
          </cell>
          <cell r="C497" t="str">
            <v>#</v>
          </cell>
          <cell r="D497" t="str">
            <v>大洋石油(株)</v>
          </cell>
          <cell r="E497" t="str">
            <v>15</v>
          </cell>
        </row>
        <row r="498">
          <cell r="B498" t="str">
            <v>8305</v>
          </cell>
          <cell r="C498" t="str">
            <v>#</v>
          </cell>
          <cell r="D498" t="str">
            <v>太洋鋳機(株)</v>
          </cell>
          <cell r="E498" t="str">
            <v>30</v>
          </cell>
        </row>
        <row r="499">
          <cell r="B499" t="str">
            <v>9681</v>
          </cell>
          <cell r="C499" t="str">
            <v>#</v>
          </cell>
          <cell r="D499" t="str">
            <v>(株)大和木型製作所</v>
          </cell>
          <cell r="E499" t="str">
            <v>30</v>
          </cell>
        </row>
        <row r="500">
          <cell r="B500" t="str">
            <v>8533</v>
          </cell>
          <cell r="C500" t="str">
            <v>#</v>
          </cell>
          <cell r="D500" t="str">
            <v>大和商工(株)</v>
          </cell>
          <cell r="E500" t="str">
            <v>30</v>
          </cell>
        </row>
        <row r="501">
          <cell r="B501" t="str">
            <v>9151</v>
          </cell>
          <cell r="C501" t="str">
            <v>#</v>
          </cell>
          <cell r="D501" t="str">
            <v>(株)泰和製作所</v>
          </cell>
          <cell r="E501" t="str">
            <v>30</v>
          </cell>
        </row>
        <row r="502">
          <cell r="B502" t="str">
            <v>8735</v>
          </cell>
          <cell r="C502" t="str">
            <v>#</v>
          </cell>
          <cell r="D502" t="str">
            <v>大和ハウス工業(株)</v>
          </cell>
          <cell r="E502" t="str">
            <v>30</v>
          </cell>
        </row>
        <row r="503">
          <cell r="B503" t="str">
            <v>8436</v>
          </cell>
          <cell r="C503" t="str">
            <v>#</v>
          </cell>
          <cell r="D503" t="str">
            <v>高木鋳工(株)</v>
          </cell>
          <cell r="E503" t="str">
            <v>30</v>
          </cell>
        </row>
        <row r="504">
          <cell r="B504" t="str">
            <v>3632</v>
          </cell>
          <cell r="C504" t="str">
            <v>#</v>
          </cell>
          <cell r="D504" t="str">
            <v>タカタ(株)</v>
          </cell>
          <cell r="E504" t="str">
            <v>62</v>
          </cell>
        </row>
        <row r="505">
          <cell r="B505" t="str">
            <v>3515</v>
          </cell>
          <cell r="C505" t="str">
            <v>#</v>
          </cell>
          <cell r="D505" t="str">
            <v>高田工業(株)</v>
          </cell>
          <cell r="E505" t="str">
            <v>64</v>
          </cell>
        </row>
        <row r="506">
          <cell r="B506" t="str">
            <v>3539</v>
          </cell>
          <cell r="C506" t="str">
            <v>#</v>
          </cell>
          <cell r="D506" t="str">
            <v>高田車体(株)</v>
          </cell>
          <cell r="E506" t="str">
            <v>64</v>
          </cell>
        </row>
        <row r="507">
          <cell r="B507" t="str">
            <v>8583</v>
          </cell>
          <cell r="C507" t="str">
            <v>#</v>
          </cell>
          <cell r="D507" t="str">
            <v>高千穂交易(株)</v>
          </cell>
          <cell r="E507" t="str">
            <v>30</v>
          </cell>
        </row>
        <row r="508">
          <cell r="B508" t="str">
            <v>8139</v>
          </cell>
          <cell r="C508" t="str">
            <v>#</v>
          </cell>
          <cell r="D508" t="str">
            <v>高輪精機(株)</v>
          </cell>
          <cell r="E508" t="str">
            <v>30</v>
          </cell>
        </row>
        <row r="509">
          <cell r="B509" t="str">
            <v>0520</v>
          </cell>
          <cell r="C509" t="str">
            <v>#</v>
          </cell>
          <cell r="D509" t="str">
            <v>滝沢工業(株)</v>
          </cell>
          <cell r="E509" t="str">
            <v>53</v>
          </cell>
        </row>
        <row r="510">
          <cell r="B510" t="str">
            <v>8670</v>
          </cell>
          <cell r="C510" t="str">
            <v>#</v>
          </cell>
          <cell r="D510" t="str">
            <v>タクマ汎用機械(株)</v>
          </cell>
          <cell r="E510" t="str">
            <v>30</v>
          </cell>
        </row>
        <row r="511">
          <cell r="B511" t="str">
            <v>3045</v>
          </cell>
          <cell r="C511" t="str">
            <v>#</v>
          </cell>
          <cell r="D511" t="str">
            <v>(株)武部鉄工所</v>
          </cell>
          <cell r="E511" t="str">
            <v>64</v>
          </cell>
        </row>
        <row r="512">
          <cell r="B512" t="str">
            <v>3007</v>
          </cell>
          <cell r="C512" t="str">
            <v>#</v>
          </cell>
          <cell r="D512" t="str">
            <v>多田プレス工業(株)</v>
          </cell>
          <cell r="E512" t="str">
            <v>64</v>
          </cell>
        </row>
        <row r="513">
          <cell r="B513" t="str">
            <v>2831</v>
          </cell>
          <cell r="C513" t="str">
            <v>#</v>
          </cell>
          <cell r="D513" t="str">
            <v>(株)タチエス</v>
          </cell>
          <cell r="E513" t="str">
            <v>62</v>
          </cell>
        </row>
        <row r="514">
          <cell r="B514" t="str">
            <v>8651</v>
          </cell>
          <cell r="C514" t="str">
            <v>#</v>
          </cell>
          <cell r="D514" t="str">
            <v xml:space="preserve">(株)立花商会 </v>
          </cell>
          <cell r="E514" t="str">
            <v>30</v>
          </cell>
        </row>
        <row r="515">
          <cell r="B515" t="str">
            <v>4601</v>
          </cell>
          <cell r="C515" t="str">
            <v>#</v>
          </cell>
          <cell r="D515" t="str">
            <v>(株)タチバナ製作所</v>
          </cell>
          <cell r="E515" t="str">
            <v>64</v>
          </cell>
        </row>
        <row r="516">
          <cell r="B516" t="str">
            <v>3016</v>
          </cell>
          <cell r="C516" t="str">
            <v>#</v>
          </cell>
          <cell r="D516" t="str">
            <v>(株)タック</v>
          </cell>
          <cell r="E516" t="str">
            <v>64</v>
          </cell>
        </row>
        <row r="517">
          <cell r="B517" t="str">
            <v>8408</v>
          </cell>
          <cell r="C517" t="str">
            <v>#</v>
          </cell>
          <cell r="D517" t="str">
            <v>立松モールド工業(株)</v>
          </cell>
          <cell r="E517" t="str">
            <v>30</v>
          </cell>
        </row>
        <row r="518">
          <cell r="B518" t="str">
            <v>7206</v>
          </cell>
          <cell r="C518" t="str">
            <v>#</v>
          </cell>
          <cell r="D518" t="str">
            <v>田邊工業(株)</v>
          </cell>
          <cell r="E518" t="str">
            <v>15</v>
          </cell>
        </row>
        <row r="519">
          <cell r="B519" t="str">
            <v>0056</v>
          </cell>
          <cell r="C519" t="str">
            <v>#</v>
          </cell>
          <cell r="D519" t="str">
            <v>谷口運送(株)</v>
          </cell>
          <cell r="E519" t="str">
            <v>30</v>
          </cell>
        </row>
        <row r="520">
          <cell r="B520" t="str">
            <v>8773</v>
          </cell>
          <cell r="C520" t="str">
            <v>#</v>
          </cell>
          <cell r="D520" t="str">
            <v>(株)玉川組</v>
          </cell>
          <cell r="E520" t="str">
            <v>30</v>
          </cell>
        </row>
        <row r="521">
          <cell r="B521" t="str">
            <v>4624</v>
          </cell>
          <cell r="C521" t="str">
            <v>#</v>
          </cell>
          <cell r="D521" t="str">
            <v>(株)タマダイ</v>
          </cell>
          <cell r="E521" t="str">
            <v>53</v>
          </cell>
        </row>
        <row r="522">
          <cell r="B522" t="str">
            <v>8410</v>
          </cell>
          <cell r="C522" t="str">
            <v>#</v>
          </cell>
          <cell r="D522" t="str">
            <v>(株)タマディック</v>
          </cell>
          <cell r="E522" t="str">
            <v>30</v>
          </cell>
        </row>
        <row r="523">
          <cell r="B523" t="str">
            <v>0547</v>
          </cell>
          <cell r="C523" t="str">
            <v>#</v>
          </cell>
          <cell r="D523" t="str">
            <v>田村工業(株)</v>
          </cell>
          <cell r="E523" t="str">
            <v>53</v>
          </cell>
        </row>
        <row r="524">
          <cell r="B524" t="str">
            <v>5027</v>
          </cell>
          <cell r="C524" t="str">
            <v>#</v>
          </cell>
          <cell r="D524" t="str">
            <v>(株)為我井製作所</v>
          </cell>
          <cell r="E524" t="str">
            <v>53</v>
          </cell>
        </row>
        <row r="525">
          <cell r="B525" t="str">
            <v>8771</v>
          </cell>
          <cell r="C525" t="str">
            <v>#</v>
          </cell>
          <cell r="D525" t="str">
            <v>(株)地崎工業</v>
          </cell>
          <cell r="E525" t="str">
            <v>30</v>
          </cell>
        </row>
        <row r="526">
          <cell r="B526" t="str">
            <v>5003</v>
          </cell>
          <cell r="C526" t="str">
            <v>#</v>
          </cell>
          <cell r="D526" t="str">
            <v>(株)知立精螺製作所</v>
          </cell>
          <cell r="E526" t="str">
            <v>64</v>
          </cell>
        </row>
        <row r="527">
          <cell r="B527" t="str">
            <v>2834</v>
          </cell>
          <cell r="C527" t="str">
            <v>#</v>
          </cell>
          <cell r="D527" t="str">
            <v>中央精機(株)</v>
          </cell>
          <cell r="E527" t="str">
            <v>54</v>
          </cell>
        </row>
        <row r="528">
          <cell r="B528" t="str">
            <v>8136</v>
          </cell>
          <cell r="C528" t="str">
            <v>#</v>
          </cell>
          <cell r="D528" t="str">
            <v>中央精機(株)</v>
          </cell>
          <cell r="E528" t="str">
            <v>30</v>
          </cell>
        </row>
        <row r="529">
          <cell r="B529" t="str">
            <v>2211</v>
          </cell>
          <cell r="C529" t="str">
            <v>#</v>
          </cell>
          <cell r="D529" t="str">
            <v>中央精工(株)</v>
          </cell>
          <cell r="E529" t="str">
            <v>30</v>
          </cell>
        </row>
        <row r="530">
          <cell r="B530" t="str">
            <v>9744</v>
          </cell>
          <cell r="C530" t="str">
            <v>#</v>
          </cell>
          <cell r="D530" t="str">
            <v>(株)中央設備商会</v>
          </cell>
          <cell r="E530" t="str">
            <v>30</v>
          </cell>
        </row>
        <row r="531">
          <cell r="B531" t="str">
            <v>9276</v>
          </cell>
          <cell r="C531" t="str">
            <v>#</v>
          </cell>
          <cell r="D531" t="str">
            <v>中央電気工事(株)</v>
          </cell>
          <cell r="E531" t="str">
            <v>30</v>
          </cell>
        </row>
        <row r="532">
          <cell r="B532" t="str">
            <v>7000</v>
          </cell>
          <cell r="C532" t="str">
            <v>#</v>
          </cell>
          <cell r="D532" t="str">
            <v>中央日石(株)</v>
          </cell>
          <cell r="E532" t="str">
            <v>15</v>
          </cell>
        </row>
        <row r="533">
          <cell r="B533" t="str">
            <v>8532</v>
          </cell>
          <cell r="C533" t="str">
            <v>#</v>
          </cell>
          <cell r="D533" t="str">
            <v>中外炉工業(株)</v>
          </cell>
          <cell r="E533" t="str">
            <v>30</v>
          </cell>
        </row>
        <row r="534">
          <cell r="B534" t="str">
            <v>8045</v>
          </cell>
          <cell r="C534" t="str">
            <v>#</v>
          </cell>
          <cell r="D534" t="str">
            <v>千代田化工建設(株)</v>
          </cell>
          <cell r="E534" t="str">
            <v>30</v>
          </cell>
        </row>
        <row r="535">
          <cell r="B535" t="str">
            <v>2824</v>
          </cell>
          <cell r="C535" t="str">
            <v>#</v>
          </cell>
          <cell r="D535" t="str">
            <v>千代田工販(株)</v>
          </cell>
          <cell r="E535" t="str">
            <v>64</v>
          </cell>
        </row>
        <row r="536">
          <cell r="B536" t="str">
            <v>9126</v>
          </cell>
          <cell r="C536" t="str">
            <v>#</v>
          </cell>
          <cell r="D536" t="str">
            <v>(株)千代田ﾋﾞﾙﾏﾈｼﾞﾒﾝﾄ</v>
          </cell>
          <cell r="E536" t="str">
            <v>30</v>
          </cell>
        </row>
        <row r="537">
          <cell r="B537" t="str">
            <v>8046</v>
          </cell>
          <cell r="C537" t="str">
            <v>#</v>
          </cell>
          <cell r="D537" t="str">
            <v>月島プラステック(株)</v>
          </cell>
          <cell r="E537" t="str">
            <v>30</v>
          </cell>
        </row>
        <row r="538">
          <cell r="B538" t="str">
            <v>7504</v>
          </cell>
          <cell r="C538" t="str">
            <v>#</v>
          </cell>
          <cell r="D538" t="str">
            <v>(株)槌屋</v>
          </cell>
          <cell r="E538" t="str">
            <v>15</v>
          </cell>
        </row>
        <row r="539">
          <cell r="B539" t="str">
            <v>8676</v>
          </cell>
          <cell r="C539" t="str">
            <v>#</v>
          </cell>
          <cell r="D539" t="str">
            <v>椿本興業(株)</v>
          </cell>
          <cell r="E539" t="str">
            <v>30</v>
          </cell>
        </row>
        <row r="540">
          <cell r="B540" t="str">
            <v>2832</v>
          </cell>
          <cell r="C540" t="str">
            <v>#</v>
          </cell>
          <cell r="D540" t="str">
            <v>(株)椿本チェイン</v>
          </cell>
          <cell r="E540" t="str">
            <v>51</v>
          </cell>
        </row>
        <row r="541">
          <cell r="B541" t="str">
            <v>8503</v>
          </cell>
          <cell r="C541" t="str">
            <v>#</v>
          </cell>
          <cell r="D541" t="str">
            <v>ツバコー神奈川販売(株)</v>
          </cell>
          <cell r="E541" t="str">
            <v>30</v>
          </cell>
        </row>
        <row r="542">
          <cell r="B542" t="str">
            <v>3640</v>
          </cell>
          <cell r="C542" t="str">
            <v>#</v>
          </cell>
          <cell r="D542" t="str">
            <v>テイ・エス テック(株)</v>
          </cell>
          <cell r="E542" t="str">
            <v>62</v>
          </cell>
        </row>
        <row r="543">
          <cell r="B543" t="str">
            <v>9835</v>
          </cell>
          <cell r="C543" t="str">
            <v>#</v>
          </cell>
          <cell r="D543" t="str">
            <v>TRI PETCH ISUZU SALES CO.LTD</v>
          </cell>
          <cell r="E543" t="str">
            <v>30</v>
          </cell>
        </row>
        <row r="544">
          <cell r="B544" t="str">
            <v>2403</v>
          </cell>
          <cell r="C544" t="str">
            <v>#</v>
          </cell>
          <cell r="D544" t="str">
            <v>(株)ﾃｨｰｱｰﾙｱｲｻｲﾀﾏ</v>
          </cell>
          <cell r="E544" t="str">
            <v>64</v>
          </cell>
        </row>
        <row r="545">
          <cell r="B545" t="str">
            <v>9259</v>
          </cell>
          <cell r="C545" t="str">
            <v>#</v>
          </cell>
          <cell r="D545" t="str">
            <v>ＴＲＷ ＳＳＪ(株)</v>
          </cell>
          <cell r="E545" t="str">
            <v>64</v>
          </cell>
        </row>
        <row r="546">
          <cell r="B546" t="str">
            <v>9255</v>
          </cell>
          <cell r="C546" t="str">
            <v>#</v>
          </cell>
          <cell r="D546" t="str">
            <v>(株)Ｔ･Ｓ･Ｙ</v>
          </cell>
          <cell r="E546" t="str">
            <v>54</v>
          </cell>
        </row>
        <row r="547">
          <cell r="B547" t="str">
            <v>5521</v>
          </cell>
          <cell r="C547" t="str">
            <v>#</v>
          </cell>
          <cell r="D547" t="str">
            <v>ディーゼルユニット(株)</v>
          </cell>
          <cell r="E547" t="str">
            <v>51</v>
          </cell>
        </row>
        <row r="548">
          <cell r="B548" t="str">
            <v>0500</v>
          </cell>
          <cell r="C548" t="str">
            <v>#</v>
          </cell>
          <cell r="D548" t="str">
            <v>ＴＤＦ(株)</v>
          </cell>
          <cell r="E548" t="str">
            <v>53</v>
          </cell>
        </row>
        <row r="549">
          <cell r="B549" t="str">
            <v>9267</v>
          </cell>
          <cell r="C549" t="str">
            <v>#</v>
          </cell>
          <cell r="D549" t="str">
            <v>ＴＤＫ(株)</v>
          </cell>
          <cell r="E549" t="str">
            <v>30</v>
          </cell>
        </row>
        <row r="550">
          <cell r="B550" t="str">
            <v>2350</v>
          </cell>
          <cell r="C550" t="str">
            <v>#</v>
          </cell>
          <cell r="D550" t="str">
            <v>帝国ﾋﾟｽﾄﾝﾘﾝｸﾞ(株)</v>
          </cell>
          <cell r="E550" t="str">
            <v>51</v>
          </cell>
        </row>
        <row r="551">
          <cell r="B551" t="str">
            <v>7701</v>
          </cell>
          <cell r="C551" t="str">
            <v>#</v>
          </cell>
          <cell r="D551" t="str">
            <v>帝都工業資材(株)</v>
          </cell>
          <cell r="E551" t="str">
            <v>15</v>
          </cell>
        </row>
        <row r="552">
          <cell r="B552" t="str">
            <v>8142</v>
          </cell>
          <cell r="C552" t="str">
            <v>#</v>
          </cell>
          <cell r="D552" t="str">
            <v>(株)テーエムシー</v>
          </cell>
          <cell r="E552" t="str">
            <v>30</v>
          </cell>
        </row>
        <row r="553">
          <cell r="B553" t="str">
            <v>9249</v>
          </cell>
          <cell r="C553" t="str">
            <v>#</v>
          </cell>
          <cell r="D553" t="str">
            <v>テーラーボブソン(株)</v>
          </cell>
          <cell r="E553" t="str">
            <v>30</v>
          </cell>
        </row>
        <row r="554">
          <cell r="B554" t="str">
            <v>8658</v>
          </cell>
          <cell r="C554" t="str">
            <v>#</v>
          </cell>
          <cell r="D554" t="str">
            <v>(株)テクセル</v>
          </cell>
          <cell r="E554" t="str">
            <v>30</v>
          </cell>
        </row>
        <row r="555">
          <cell r="B555" t="str">
            <v>3026</v>
          </cell>
          <cell r="C555" t="str">
            <v>#</v>
          </cell>
          <cell r="D555" t="str">
            <v>(株)テクノステート</v>
          </cell>
          <cell r="E555" t="str">
            <v>64</v>
          </cell>
        </row>
        <row r="556">
          <cell r="B556" t="str">
            <v>9246</v>
          </cell>
          <cell r="C556" t="str">
            <v>#</v>
          </cell>
          <cell r="D556" t="str">
            <v>(株)テクノ･プレシジョン</v>
          </cell>
          <cell r="E556" t="str">
            <v>30</v>
          </cell>
        </row>
        <row r="557">
          <cell r="B557" t="str">
            <v>8394</v>
          </cell>
          <cell r="C557" t="str">
            <v>#</v>
          </cell>
          <cell r="D557" t="str">
            <v>(株)デッカー</v>
          </cell>
          <cell r="E557" t="str">
            <v>30</v>
          </cell>
        </row>
        <row r="558">
          <cell r="B558" t="str">
            <v>3011</v>
          </cell>
          <cell r="C558" t="str">
            <v>#</v>
          </cell>
          <cell r="D558" t="str">
            <v>(株)テネックス</v>
          </cell>
          <cell r="E558" t="str">
            <v>51</v>
          </cell>
        </row>
        <row r="559">
          <cell r="B559" t="str">
            <v>8784</v>
          </cell>
          <cell r="C559" t="str">
            <v>#</v>
          </cell>
          <cell r="D559" t="str">
            <v>(株)寺田土木</v>
          </cell>
          <cell r="E559" t="str">
            <v>30</v>
          </cell>
        </row>
        <row r="560">
          <cell r="B560" t="str">
            <v>2214</v>
          </cell>
          <cell r="C560" t="str">
            <v>#</v>
          </cell>
          <cell r="D560" t="str">
            <v>ﾃﾞﾙﾌｧｲ･ｻｷﾞﾉｰ･ｴﾇｴｽｹｰ(株)</v>
          </cell>
          <cell r="E560" t="str">
            <v>54</v>
          </cell>
        </row>
        <row r="561">
          <cell r="B561" t="str">
            <v>0543</v>
          </cell>
          <cell r="C561" t="str">
            <v>#</v>
          </cell>
          <cell r="D561" t="str">
            <v>電気興業(株)</v>
          </cell>
          <cell r="E561" t="str">
            <v>30</v>
          </cell>
        </row>
        <row r="562">
          <cell r="B562" t="str">
            <v>2607</v>
          </cell>
          <cell r="C562" t="str">
            <v>#</v>
          </cell>
          <cell r="D562" t="str">
            <v>(株)デンソー</v>
          </cell>
          <cell r="E562" t="str">
            <v>51</v>
          </cell>
        </row>
        <row r="563">
          <cell r="B563" t="str">
            <v>9742</v>
          </cell>
          <cell r="C563" t="str">
            <v>#</v>
          </cell>
          <cell r="D563" t="str">
            <v>(株)Ｔｏｏ</v>
          </cell>
          <cell r="E563" t="str">
            <v>15</v>
          </cell>
        </row>
        <row r="564">
          <cell r="B564" t="str">
            <v>9949</v>
          </cell>
          <cell r="C564" t="str">
            <v>#</v>
          </cell>
          <cell r="D564" t="str">
            <v>東奥いすゞﾓｰﾀｰ(株)</v>
          </cell>
          <cell r="E564" t="str">
            <v>64</v>
          </cell>
        </row>
        <row r="565">
          <cell r="B565" t="str">
            <v>4611</v>
          </cell>
          <cell r="C565" t="str">
            <v>#</v>
          </cell>
          <cell r="D565" t="str">
            <v>東海興業(株)</v>
          </cell>
          <cell r="E565" t="str">
            <v>62</v>
          </cell>
        </row>
        <row r="566">
          <cell r="B566" t="str">
            <v>2416</v>
          </cell>
          <cell r="C566" t="str">
            <v>#</v>
          </cell>
          <cell r="D566" t="str">
            <v>東海ゴム工業(株)</v>
          </cell>
          <cell r="E566" t="str">
            <v>64</v>
          </cell>
        </row>
        <row r="567">
          <cell r="B567" t="str">
            <v>8446</v>
          </cell>
          <cell r="C567" t="str">
            <v>#</v>
          </cell>
          <cell r="D567" t="str">
            <v xml:space="preserve">東海溶材(株) </v>
          </cell>
          <cell r="E567" t="str">
            <v>30</v>
          </cell>
        </row>
        <row r="568">
          <cell r="B568" t="str">
            <v>2635</v>
          </cell>
          <cell r="C568" t="str">
            <v>#</v>
          </cell>
          <cell r="D568" t="str">
            <v>(株)東海理化電機製作所</v>
          </cell>
          <cell r="E568" t="str">
            <v>62</v>
          </cell>
        </row>
        <row r="569">
          <cell r="B569" t="str">
            <v>2637</v>
          </cell>
          <cell r="C569" t="str">
            <v>#</v>
          </cell>
          <cell r="D569" t="str">
            <v>(株)東海理機製作所</v>
          </cell>
          <cell r="E569" t="str">
            <v>64</v>
          </cell>
        </row>
        <row r="570">
          <cell r="B570" t="str">
            <v>3509</v>
          </cell>
          <cell r="C570" t="str">
            <v>#</v>
          </cell>
          <cell r="D570" t="str">
            <v>東急車輛製造(株)</v>
          </cell>
          <cell r="E570" t="str">
            <v>64</v>
          </cell>
        </row>
        <row r="571">
          <cell r="B571" t="str">
            <v>9726</v>
          </cell>
          <cell r="C571" t="str">
            <v>#</v>
          </cell>
          <cell r="D571" t="str">
            <v>東京ｱｲ･ｲｰ･ｼｰ(株)</v>
          </cell>
          <cell r="E571" t="str">
            <v>30</v>
          </cell>
        </row>
        <row r="572">
          <cell r="B572" t="str">
            <v>2610</v>
          </cell>
          <cell r="C572" t="str">
            <v>#</v>
          </cell>
          <cell r="D572" t="str">
            <v>東京いすゞ自動車(株)</v>
          </cell>
          <cell r="E572" t="str">
            <v>30</v>
          </cell>
        </row>
        <row r="573">
          <cell r="B573" t="str">
            <v>9164</v>
          </cell>
          <cell r="C573" t="str">
            <v>#</v>
          </cell>
          <cell r="D573" t="str">
            <v>東京エレクトロン(株)</v>
          </cell>
          <cell r="E573" t="str">
            <v>30</v>
          </cell>
        </row>
        <row r="574">
          <cell r="B574" t="str">
            <v>7514</v>
          </cell>
          <cell r="C574" t="str">
            <v>#</v>
          </cell>
          <cell r="D574" t="str">
            <v>東京化学塗料(株)</v>
          </cell>
          <cell r="E574" t="str">
            <v>15</v>
          </cell>
        </row>
        <row r="575">
          <cell r="B575" t="str">
            <v>8725</v>
          </cell>
          <cell r="C575" t="str">
            <v>#</v>
          </cell>
          <cell r="D575" t="str">
            <v>東京瓦斯(株)</v>
          </cell>
          <cell r="E575" t="str">
            <v>30</v>
          </cell>
        </row>
        <row r="576">
          <cell r="B576" t="str">
            <v>0555</v>
          </cell>
          <cell r="C576" t="str">
            <v>#</v>
          </cell>
          <cell r="D576" t="str">
            <v>(株)東京軽合金製作所</v>
          </cell>
          <cell r="E576" t="str">
            <v>53</v>
          </cell>
        </row>
        <row r="577">
          <cell r="B577" t="str">
            <v>2401</v>
          </cell>
          <cell r="C577" t="str">
            <v>#</v>
          </cell>
          <cell r="D577" t="str">
            <v>(株)東京ゴム製作所</v>
          </cell>
          <cell r="E577" t="str">
            <v>64</v>
          </cell>
        </row>
        <row r="578">
          <cell r="B578" t="str">
            <v>7100</v>
          </cell>
          <cell r="C578" t="str">
            <v>#</v>
          </cell>
          <cell r="D578" t="str">
            <v>東京商事(株)</v>
          </cell>
          <cell r="E578" t="str">
            <v>15</v>
          </cell>
        </row>
        <row r="579">
          <cell r="B579" t="str">
            <v>8107</v>
          </cell>
          <cell r="C579" t="str">
            <v>#</v>
          </cell>
          <cell r="D579" t="str">
            <v>東京精工(株)</v>
          </cell>
          <cell r="E579" t="str">
            <v>30</v>
          </cell>
        </row>
        <row r="580">
          <cell r="B580" t="str">
            <v>9207</v>
          </cell>
          <cell r="C580" t="str">
            <v>#</v>
          </cell>
          <cell r="D580" t="str">
            <v>東京鍛圧工業(株)</v>
          </cell>
          <cell r="E580" t="str">
            <v>30</v>
          </cell>
        </row>
        <row r="581">
          <cell r="B581" t="str">
            <v>2006</v>
          </cell>
          <cell r="C581" t="str">
            <v>#</v>
          </cell>
          <cell r="D581" t="str">
            <v>東京部品工業(株)</v>
          </cell>
          <cell r="E581" t="str">
            <v>54</v>
          </cell>
        </row>
        <row r="582">
          <cell r="B582" t="str">
            <v>9766</v>
          </cell>
          <cell r="C582" t="str">
            <v>#</v>
          </cell>
          <cell r="D582" t="str">
            <v>東京プラント(株)</v>
          </cell>
          <cell r="E582" t="str">
            <v>30</v>
          </cell>
        </row>
        <row r="583">
          <cell r="B583" t="str">
            <v>9745</v>
          </cell>
          <cell r="C583" t="str">
            <v>#</v>
          </cell>
          <cell r="D583" t="str">
            <v>東京貿易(株)</v>
          </cell>
          <cell r="E583" t="str">
            <v>30</v>
          </cell>
        </row>
        <row r="584">
          <cell r="B584" t="str">
            <v>3005</v>
          </cell>
          <cell r="C584" t="str">
            <v>#</v>
          </cell>
          <cell r="D584" t="str">
            <v>東京ﾗﾁﾞｴｰﾀｰ製造(株)</v>
          </cell>
          <cell r="E584" t="str">
            <v>54</v>
          </cell>
        </row>
        <row r="585">
          <cell r="B585" t="str">
            <v>5501</v>
          </cell>
          <cell r="C585" t="str">
            <v>#</v>
          </cell>
          <cell r="D585" t="str">
            <v>東京器(株)</v>
          </cell>
          <cell r="E585" t="str">
            <v>51</v>
          </cell>
        </row>
        <row r="586">
          <cell r="B586" t="str">
            <v>9211</v>
          </cell>
          <cell r="C586" t="str">
            <v>#</v>
          </cell>
          <cell r="D586" t="str">
            <v>(株)東郷製作所</v>
          </cell>
          <cell r="E586" t="str">
            <v>64</v>
          </cell>
        </row>
        <row r="587">
          <cell r="B587" t="str">
            <v>2638</v>
          </cell>
          <cell r="C587" t="str">
            <v>#</v>
          </cell>
          <cell r="D587" t="str">
            <v>(株)東芝</v>
          </cell>
          <cell r="E587" t="str">
            <v>30</v>
          </cell>
        </row>
        <row r="588">
          <cell r="B588" t="str">
            <v>8461</v>
          </cell>
          <cell r="C588" t="str">
            <v>#</v>
          </cell>
          <cell r="D588" t="str">
            <v>東芝機械(株)</v>
          </cell>
          <cell r="E588" t="str">
            <v>30</v>
          </cell>
        </row>
        <row r="589">
          <cell r="B589" t="str">
            <v>8409</v>
          </cell>
          <cell r="C589" t="str">
            <v>#</v>
          </cell>
          <cell r="D589" t="str">
            <v>東芝ケミカル(株)</v>
          </cell>
          <cell r="E589" t="str">
            <v>30</v>
          </cell>
        </row>
        <row r="590">
          <cell r="B590" t="str">
            <v>8108</v>
          </cell>
          <cell r="C590" t="str">
            <v>#</v>
          </cell>
          <cell r="D590" t="str">
            <v>東芝タンガロイ(株)</v>
          </cell>
          <cell r="E590" t="str">
            <v>30</v>
          </cell>
        </row>
        <row r="591">
          <cell r="B591" t="str">
            <v>2651</v>
          </cell>
          <cell r="C591" t="str">
            <v>#</v>
          </cell>
          <cell r="D591" t="str">
            <v>東芝東日本ﾗｲﾌｴﾚｸﾄﾛﾆｸｽ(株)</v>
          </cell>
          <cell r="E591" t="str">
            <v>64</v>
          </cell>
        </row>
        <row r="592">
          <cell r="B592" t="str">
            <v>7603</v>
          </cell>
          <cell r="C592" t="str">
            <v>#</v>
          </cell>
          <cell r="D592" t="str">
            <v>(株)トウチュウ</v>
          </cell>
          <cell r="E592" t="str">
            <v>15</v>
          </cell>
        </row>
        <row r="593">
          <cell r="B593" t="str">
            <v>9178</v>
          </cell>
          <cell r="C593" t="str">
            <v>#</v>
          </cell>
          <cell r="D593" t="str">
            <v>東部ネットワーク(株)</v>
          </cell>
          <cell r="E593" t="str">
            <v>15</v>
          </cell>
        </row>
        <row r="594">
          <cell r="B594" t="str">
            <v>3006</v>
          </cell>
          <cell r="C594" t="str">
            <v>#</v>
          </cell>
          <cell r="D594" t="str">
            <v>東プレ(株)</v>
          </cell>
          <cell r="E594" t="str">
            <v>64</v>
          </cell>
        </row>
        <row r="595">
          <cell r="B595" t="str">
            <v>7203</v>
          </cell>
          <cell r="C595" t="str">
            <v>#</v>
          </cell>
          <cell r="D595" t="str">
            <v>東邦酸素工業(株)</v>
          </cell>
          <cell r="E595" t="str">
            <v>15</v>
          </cell>
        </row>
        <row r="596">
          <cell r="B596" t="str">
            <v>9749</v>
          </cell>
          <cell r="C596" t="str">
            <v>#</v>
          </cell>
          <cell r="D596" t="str">
            <v>(有)東洋金型製作所</v>
          </cell>
          <cell r="E596" t="str">
            <v>30</v>
          </cell>
        </row>
        <row r="597">
          <cell r="B597" t="str">
            <v>3641</v>
          </cell>
          <cell r="C597" t="str">
            <v>#</v>
          </cell>
          <cell r="D597" t="str">
            <v>東陽工業(株)</v>
          </cell>
          <cell r="E597" t="str">
            <v>62</v>
          </cell>
        </row>
        <row r="598">
          <cell r="B598" t="str">
            <v>2103</v>
          </cell>
          <cell r="C598" t="str">
            <v>#</v>
          </cell>
          <cell r="D598" t="str">
            <v>東洋ゴム工業(株)</v>
          </cell>
          <cell r="E598" t="str">
            <v>54</v>
          </cell>
        </row>
        <row r="599">
          <cell r="B599" t="str">
            <v>8116</v>
          </cell>
          <cell r="C599" t="str">
            <v>#</v>
          </cell>
          <cell r="D599" t="str">
            <v>(株)東陽テクニカ</v>
          </cell>
          <cell r="E599" t="str">
            <v>30</v>
          </cell>
        </row>
        <row r="600">
          <cell r="B600" t="str">
            <v>8460</v>
          </cell>
          <cell r="C600" t="str">
            <v>#</v>
          </cell>
          <cell r="D600" t="str">
            <v>東洋電溶(株)</v>
          </cell>
          <cell r="E600" t="str">
            <v>30</v>
          </cell>
        </row>
        <row r="601">
          <cell r="B601" t="str">
            <v>8125</v>
          </cell>
          <cell r="C601" t="str">
            <v>#</v>
          </cell>
          <cell r="D601" t="str">
            <v>東洋刃物(株)</v>
          </cell>
          <cell r="E601" t="str">
            <v>30</v>
          </cell>
        </row>
        <row r="602">
          <cell r="B602" t="str">
            <v>3046</v>
          </cell>
          <cell r="C602" t="str">
            <v>#</v>
          </cell>
          <cell r="D602" t="str">
            <v>東洋ラジェーター(株)</v>
          </cell>
          <cell r="E602" t="str">
            <v>51</v>
          </cell>
        </row>
        <row r="603">
          <cell r="B603" t="str">
            <v>9381</v>
          </cell>
          <cell r="C603" t="str">
            <v>#</v>
          </cell>
          <cell r="D603" t="str">
            <v>東洋機製造(株)</v>
          </cell>
          <cell r="E603" t="str">
            <v>51</v>
          </cell>
        </row>
        <row r="604">
          <cell r="B604" t="str">
            <v>0072</v>
          </cell>
          <cell r="C604" t="str">
            <v>#</v>
          </cell>
          <cell r="D604" t="str">
            <v>東レ･デュポン(株)</v>
          </cell>
          <cell r="E604" t="str">
            <v>10</v>
          </cell>
        </row>
        <row r="605">
          <cell r="B605" t="str">
            <v>0545</v>
          </cell>
          <cell r="C605" t="str">
            <v>#</v>
          </cell>
          <cell r="D605" t="str">
            <v>同和鉱業(株)</v>
          </cell>
          <cell r="E605" t="str">
            <v>53</v>
          </cell>
        </row>
        <row r="606">
          <cell r="B606" t="str">
            <v>5005</v>
          </cell>
          <cell r="C606" t="str">
            <v>#</v>
          </cell>
          <cell r="D606" t="str">
            <v>同和工業(株)</v>
          </cell>
          <cell r="E606" t="str">
            <v>53</v>
          </cell>
        </row>
        <row r="607">
          <cell r="B607" t="str">
            <v>7745</v>
          </cell>
          <cell r="C607" t="str">
            <v>#</v>
          </cell>
          <cell r="D607" t="str">
            <v>東和産業(株)</v>
          </cell>
          <cell r="E607" t="str">
            <v>30</v>
          </cell>
        </row>
        <row r="608">
          <cell r="B608" t="str">
            <v>0000ｽ</v>
          </cell>
          <cell r="C608" t="str">
            <v>#</v>
          </cell>
          <cell r="D608" t="str">
            <v>トーア・スチール(株)</v>
          </cell>
          <cell r="E608" t="str">
            <v>10</v>
          </cell>
        </row>
        <row r="609">
          <cell r="B609" t="str">
            <v>9213</v>
          </cell>
          <cell r="C609" t="str">
            <v>#</v>
          </cell>
          <cell r="D609" t="str">
            <v>(株)トーエネック</v>
          </cell>
          <cell r="E609" t="str">
            <v>30</v>
          </cell>
        </row>
        <row r="610">
          <cell r="B610" t="str">
            <v>8007</v>
          </cell>
          <cell r="C610" t="str">
            <v>#</v>
          </cell>
          <cell r="D610" t="str">
            <v>(株)トーメン</v>
          </cell>
          <cell r="E610" t="str">
            <v>30</v>
          </cell>
        </row>
        <row r="611">
          <cell r="B611" t="str">
            <v>8324</v>
          </cell>
          <cell r="C611" t="str">
            <v>#</v>
          </cell>
          <cell r="D611" t="str">
            <v>トーヨーエイテック(株)</v>
          </cell>
          <cell r="E611" t="str">
            <v>30</v>
          </cell>
        </row>
        <row r="612">
          <cell r="B612" t="str">
            <v>8536</v>
          </cell>
          <cell r="C612" t="str">
            <v>#</v>
          </cell>
          <cell r="D612" t="str">
            <v>(株)トーヨコ理研</v>
          </cell>
          <cell r="E612" t="str">
            <v>30</v>
          </cell>
        </row>
        <row r="613">
          <cell r="B613" t="str">
            <v>2422</v>
          </cell>
          <cell r="C613" t="str">
            <v>#</v>
          </cell>
          <cell r="D613" t="str">
            <v>(株)十川ゴム</v>
          </cell>
          <cell r="E613" t="str">
            <v>64</v>
          </cell>
        </row>
        <row r="614">
          <cell r="B614" t="str">
            <v>2002</v>
          </cell>
          <cell r="C614" t="str">
            <v>#</v>
          </cell>
          <cell r="D614" t="str">
            <v>トキコ(株)</v>
          </cell>
          <cell r="E614" t="str">
            <v>54</v>
          </cell>
        </row>
        <row r="615">
          <cell r="B615" t="str">
            <v>9539</v>
          </cell>
          <cell r="C615" t="str">
            <v>#</v>
          </cell>
          <cell r="D615" t="str">
            <v>ﾄｷｺ東ﾒﾝﾃﾅﾝｽ(株)</v>
          </cell>
          <cell r="E615" t="str">
            <v>30</v>
          </cell>
        </row>
        <row r="616">
          <cell r="B616" t="str">
            <v>8607</v>
          </cell>
          <cell r="C616" t="str">
            <v>#</v>
          </cell>
          <cell r="D616" t="str">
            <v xml:space="preserve">トキコ油器(株) </v>
          </cell>
          <cell r="E616" t="str">
            <v>30</v>
          </cell>
        </row>
        <row r="617">
          <cell r="B617" t="str">
            <v>7309</v>
          </cell>
          <cell r="C617" t="str">
            <v>#</v>
          </cell>
          <cell r="D617" t="str">
            <v>トキワ化成(株)</v>
          </cell>
          <cell r="E617" t="str">
            <v>15</v>
          </cell>
        </row>
        <row r="618">
          <cell r="B618" t="str">
            <v>8124</v>
          </cell>
          <cell r="C618" t="str">
            <v>#</v>
          </cell>
          <cell r="D618" t="str">
            <v>常盤産業(株)</v>
          </cell>
          <cell r="E618" t="str">
            <v>30</v>
          </cell>
        </row>
        <row r="619">
          <cell r="B619" t="str">
            <v>3012</v>
          </cell>
          <cell r="C619" t="str">
            <v>#</v>
          </cell>
          <cell r="D619" t="str">
            <v>特殊工作(株)</v>
          </cell>
          <cell r="E619" t="str">
            <v>51</v>
          </cell>
        </row>
        <row r="620">
          <cell r="B620" t="str">
            <v>9562</v>
          </cell>
          <cell r="C620" t="str">
            <v>#</v>
          </cell>
          <cell r="D620" t="str">
            <v>特殊メタル(株)</v>
          </cell>
          <cell r="E620" t="str">
            <v>53</v>
          </cell>
        </row>
        <row r="621">
          <cell r="B621" t="str">
            <v>0034</v>
          </cell>
          <cell r="C621" t="str">
            <v>#</v>
          </cell>
          <cell r="D621" t="str">
            <v>(株)徳田練磨工作所</v>
          </cell>
          <cell r="E621" t="str">
            <v>10</v>
          </cell>
        </row>
        <row r="622">
          <cell r="B622" t="str">
            <v>8744</v>
          </cell>
          <cell r="C622" t="str">
            <v>#</v>
          </cell>
          <cell r="D622" t="str">
            <v xml:space="preserve">戸田建設(株) </v>
          </cell>
          <cell r="E622" t="str">
            <v>30</v>
          </cell>
        </row>
        <row r="623">
          <cell r="B623" t="str">
            <v>5528</v>
          </cell>
          <cell r="C623" t="str">
            <v>#</v>
          </cell>
          <cell r="D623" t="str">
            <v>栃木富士産業(株)</v>
          </cell>
          <cell r="E623" t="str">
            <v>56</v>
          </cell>
        </row>
        <row r="624">
          <cell r="B624" t="str">
            <v>7812</v>
          </cell>
          <cell r="C624" t="str">
            <v>#</v>
          </cell>
          <cell r="D624" t="str">
            <v>ﾄﾞｯﾄﾞｳｪﾙﾏｰｹﾃｨﾝｸﾞ(株)</v>
          </cell>
          <cell r="E624" t="str">
            <v>51</v>
          </cell>
        </row>
        <row r="625">
          <cell r="B625" t="str">
            <v>8432</v>
          </cell>
          <cell r="C625" t="str">
            <v>#</v>
          </cell>
          <cell r="D625" t="str">
            <v>ﾄｯﾊﾟﾝ ｴﾑｱﾝﾄﾞｱｲ(株)</v>
          </cell>
          <cell r="E625" t="str">
            <v>30</v>
          </cell>
        </row>
        <row r="626">
          <cell r="B626" t="str">
            <v>4602</v>
          </cell>
          <cell r="C626" t="str">
            <v>#</v>
          </cell>
          <cell r="D626" t="str">
            <v>(株)トップス</v>
          </cell>
          <cell r="E626" t="str">
            <v>62</v>
          </cell>
        </row>
        <row r="627">
          <cell r="B627" t="str">
            <v>0577</v>
          </cell>
          <cell r="C627" t="str">
            <v>#</v>
          </cell>
          <cell r="D627" t="str">
            <v>図南鍛工(株)</v>
          </cell>
          <cell r="E627" t="str">
            <v>53</v>
          </cell>
        </row>
        <row r="628">
          <cell r="B628" t="str">
            <v>9660</v>
          </cell>
          <cell r="C628" t="str">
            <v>#</v>
          </cell>
          <cell r="D628" t="str">
            <v>鳥羽工研(株)</v>
          </cell>
          <cell r="E628" t="str">
            <v>30</v>
          </cell>
        </row>
        <row r="629">
          <cell r="B629" t="str">
            <v>2800</v>
          </cell>
          <cell r="C629" t="str">
            <v>#</v>
          </cell>
          <cell r="D629" t="str">
            <v>トピー工業(株)</v>
          </cell>
          <cell r="E629" t="str">
            <v>54</v>
          </cell>
        </row>
        <row r="630">
          <cell r="B630" t="str">
            <v>9902</v>
          </cell>
          <cell r="C630" t="str">
            <v>#</v>
          </cell>
          <cell r="D630" t="str">
            <v>トピー実業(株)</v>
          </cell>
          <cell r="E630" t="str">
            <v>54</v>
          </cell>
        </row>
        <row r="631">
          <cell r="B631" t="str">
            <v>8759</v>
          </cell>
          <cell r="C631" t="str">
            <v>#</v>
          </cell>
          <cell r="D631" t="str">
            <v>飛島建設(株)</v>
          </cell>
          <cell r="E631" t="str">
            <v>30</v>
          </cell>
        </row>
        <row r="632">
          <cell r="B632" t="str">
            <v>9821</v>
          </cell>
          <cell r="C632" t="str">
            <v>#</v>
          </cell>
          <cell r="D632" t="str">
            <v>富島運輸(株)</v>
          </cell>
          <cell r="E632" t="str">
            <v>30</v>
          </cell>
        </row>
        <row r="633">
          <cell r="B633" t="str">
            <v>8237</v>
          </cell>
          <cell r="C633" t="str">
            <v>#</v>
          </cell>
          <cell r="D633" t="str">
            <v>(株)トミタ</v>
          </cell>
          <cell r="E633" t="str">
            <v>30</v>
          </cell>
        </row>
        <row r="634">
          <cell r="B634" t="str">
            <v>8412</v>
          </cell>
          <cell r="C634" t="str">
            <v>#</v>
          </cell>
          <cell r="D634" t="str">
            <v>(株)冨塚製作所</v>
          </cell>
          <cell r="E634" t="str">
            <v>30</v>
          </cell>
        </row>
        <row r="635">
          <cell r="B635" t="str">
            <v>8309</v>
          </cell>
          <cell r="C635" t="str">
            <v>#</v>
          </cell>
          <cell r="D635" t="str">
            <v>豊田工機(株)</v>
          </cell>
          <cell r="E635" t="str">
            <v>30</v>
          </cell>
          <cell r="F635">
            <v>0</v>
          </cell>
        </row>
        <row r="636">
          <cell r="B636" t="str">
            <v>2404</v>
          </cell>
          <cell r="C636" t="str">
            <v>#</v>
          </cell>
          <cell r="D636" t="str">
            <v>豊田合成(株)</v>
          </cell>
          <cell r="E636" t="str">
            <v>62</v>
          </cell>
        </row>
        <row r="637">
          <cell r="B637" t="str">
            <v>0016</v>
          </cell>
          <cell r="C637" t="str">
            <v>#</v>
          </cell>
          <cell r="D637" t="str">
            <v>豊田通商(株)</v>
          </cell>
          <cell r="E637" t="str">
            <v>10</v>
          </cell>
        </row>
        <row r="638">
          <cell r="B638" t="str">
            <v>3047</v>
          </cell>
          <cell r="C638" t="str">
            <v>#</v>
          </cell>
          <cell r="D638" t="str">
            <v>豊田鉄工(株)</v>
          </cell>
          <cell r="E638" t="str">
            <v>64</v>
          </cell>
        </row>
        <row r="639">
          <cell r="B639" t="str">
            <v>2650</v>
          </cell>
          <cell r="C639" t="str">
            <v>#</v>
          </cell>
          <cell r="D639" t="str">
            <v>(株)トランストロン</v>
          </cell>
          <cell r="E639" t="str">
            <v>62</v>
          </cell>
        </row>
        <row r="640">
          <cell r="B640" t="str">
            <v>9802</v>
          </cell>
          <cell r="C640" t="str">
            <v>#</v>
          </cell>
          <cell r="D640" t="str">
            <v>トリニティ工業(株)</v>
          </cell>
          <cell r="E640" t="str">
            <v>30</v>
          </cell>
        </row>
        <row r="641">
          <cell r="B641" t="str">
            <v>2609</v>
          </cell>
          <cell r="C641" t="str">
            <v>#</v>
          </cell>
          <cell r="D641" t="str">
            <v>ナイルス部品(株)</v>
          </cell>
          <cell r="E641" t="str">
            <v>62</v>
          </cell>
        </row>
        <row r="642">
          <cell r="B642" t="str">
            <v>0015</v>
          </cell>
          <cell r="C642" t="str">
            <v>#</v>
          </cell>
          <cell r="D642" t="str">
            <v>中川特殊鋼(株)</v>
          </cell>
          <cell r="E642" t="str">
            <v>10</v>
          </cell>
        </row>
        <row r="643">
          <cell r="B643" t="str">
            <v>0074</v>
          </cell>
          <cell r="C643" t="str">
            <v>#</v>
          </cell>
          <cell r="D643" t="str">
            <v>長瀬産業(株)</v>
          </cell>
          <cell r="E643" t="str">
            <v>10</v>
          </cell>
        </row>
        <row r="644">
          <cell r="B644" t="str">
            <v>9803</v>
          </cell>
          <cell r="C644" t="str">
            <v>#</v>
          </cell>
          <cell r="D644" t="str">
            <v>中西金属工業(株)</v>
          </cell>
          <cell r="E644" t="str">
            <v>30</v>
          </cell>
        </row>
        <row r="645">
          <cell r="B645" t="str">
            <v>7735</v>
          </cell>
          <cell r="C645" t="str">
            <v>#</v>
          </cell>
          <cell r="D645" t="str">
            <v>ナカノ(株)</v>
          </cell>
          <cell r="E645" t="str">
            <v>15</v>
          </cell>
        </row>
        <row r="646">
          <cell r="B646" t="str">
            <v>8391</v>
          </cell>
          <cell r="C646" t="str">
            <v>#</v>
          </cell>
          <cell r="D646" t="str">
            <v>(株)中野計器</v>
          </cell>
          <cell r="E646" t="str">
            <v>30</v>
          </cell>
        </row>
        <row r="647">
          <cell r="B647" t="str">
            <v>5013</v>
          </cell>
          <cell r="C647" t="str">
            <v>#</v>
          </cell>
          <cell r="D647" t="str">
            <v>(株)長野製作所</v>
          </cell>
          <cell r="E647" t="str">
            <v>53</v>
          </cell>
        </row>
        <row r="648">
          <cell r="B648" t="str">
            <v>0548</v>
          </cell>
          <cell r="C648" t="str">
            <v>#</v>
          </cell>
          <cell r="D648" t="str">
            <v>(株)中村鍛造所</v>
          </cell>
          <cell r="E648" t="str">
            <v>53</v>
          </cell>
        </row>
        <row r="649">
          <cell r="B649" t="str">
            <v>9206</v>
          </cell>
          <cell r="C649" t="str">
            <v>#</v>
          </cell>
          <cell r="D649" t="str">
            <v>ナジコスパイサー(株)</v>
          </cell>
          <cell r="E649" t="str">
            <v>75</v>
          </cell>
        </row>
        <row r="650">
          <cell r="B650" t="str">
            <v>8425</v>
          </cell>
          <cell r="C650" t="str">
            <v>#</v>
          </cell>
          <cell r="D650" t="str">
            <v>(株)ナ・デックス</v>
          </cell>
          <cell r="E650" t="str">
            <v>30</v>
          </cell>
        </row>
        <row r="651">
          <cell r="B651" t="str">
            <v>8387</v>
          </cell>
          <cell r="C651" t="str">
            <v>#</v>
          </cell>
          <cell r="D651" t="str">
            <v>浪速鋳機販売(株)</v>
          </cell>
          <cell r="E651" t="str">
            <v>30</v>
          </cell>
        </row>
        <row r="652">
          <cell r="B652" t="str">
            <v>3403</v>
          </cell>
          <cell r="C652" t="str">
            <v>#</v>
          </cell>
          <cell r="D652" t="str">
            <v>(株)ナブコ</v>
          </cell>
          <cell r="E652" t="str">
            <v>54</v>
          </cell>
        </row>
        <row r="653">
          <cell r="B653" t="str">
            <v>5522</v>
          </cell>
          <cell r="C653" t="str">
            <v>#</v>
          </cell>
          <cell r="D653" t="str">
            <v>新潟コンバーター(株)</v>
          </cell>
          <cell r="E653" t="str">
            <v>51</v>
          </cell>
        </row>
        <row r="654">
          <cell r="B654" t="str">
            <v>8435</v>
          </cell>
          <cell r="C654" t="str">
            <v>#</v>
          </cell>
          <cell r="D654" t="str">
            <v>西川計測(株)</v>
          </cell>
          <cell r="E654" t="str">
            <v>30</v>
          </cell>
        </row>
        <row r="655">
          <cell r="B655" t="str">
            <v>2414</v>
          </cell>
          <cell r="C655" t="str">
            <v>#</v>
          </cell>
          <cell r="D655" t="str">
            <v>西川ゴム工業(株)</v>
          </cell>
          <cell r="E655" t="str">
            <v>62</v>
          </cell>
        </row>
        <row r="656">
          <cell r="B656" t="str">
            <v>3502</v>
          </cell>
          <cell r="C656" t="str">
            <v>#</v>
          </cell>
          <cell r="D656" t="str">
            <v>西日本車体工業(株)</v>
          </cell>
          <cell r="E656" t="str">
            <v>77</v>
          </cell>
        </row>
        <row r="657">
          <cell r="B657" t="str">
            <v>9214</v>
          </cell>
          <cell r="C657" t="str">
            <v>#</v>
          </cell>
          <cell r="D657" t="str">
            <v>西松建設(株)</v>
          </cell>
          <cell r="E657" t="str">
            <v>30</v>
          </cell>
        </row>
        <row r="658">
          <cell r="B658" t="str">
            <v>9271</v>
          </cell>
          <cell r="C658" t="str">
            <v>#</v>
          </cell>
          <cell r="D658" t="str">
            <v>日米礦油(株)</v>
          </cell>
          <cell r="E658" t="str">
            <v>15</v>
          </cell>
        </row>
        <row r="659">
          <cell r="B659" t="str">
            <v>8018</v>
          </cell>
          <cell r="C659" t="str">
            <v>#</v>
          </cell>
          <cell r="D659" t="str">
            <v>ニチメン(株)</v>
          </cell>
          <cell r="E659" t="str">
            <v>75</v>
          </cell>
        </row>
        <row r="660">
          <cell r="B660" t="str">
            <v>2423</v>
          </cell>
          <cell r="C660" t="str">
            <v>#</v>
          </cell>
          <cell r="D660" t="str">
            <v>(株)ニチリン</v>
          </cell>
          <cell r="E660" t="str">
            <v>64</v>
          </cell>
        </row>
        <row r="661">
          <cell r="B661" t="str">
            <v>9274</v>
          </cell>
          <cell r="C661" t="str">
            <v>#</v>
          </cell>
          <cell r="D661" t="str">
            <v>日揮情報システム(株)</v>
          </cell>
          <cell r="E661" t="str">
            <v>30</v>
          </cell>
        </row>
        <row r="662">
          <cell r="B662" t="str">
            <v>9772</v>
          </cell>
          <cell r="C662" t="str">
            <v>#</v>
          </cell>
          <cell r="D662" t="str">
            <v>日型工業(株)</v>
          </cell>
          <cell r="E662" t="str">
            <v>30</v>
          </cell>
        </row>
        <row r="663">
          <cell r="B663" t="str">
            <v>7705</v>
          </cell>
          <cell r="C663" t="str">
            <v>#</v>
          </cell>
          <cell r="D663" t="str">
            <v>日研工業(株)</v>
          </cell>
          <cell r="E663" t="str">
            <v>15</v>
          </cell>
        </row>
        <row r="664">
          <cell r="B664" t="str">
            <v>9811</v>
          </cell>
          <cell r="C664" t="str">
            <v>#</v>
          </cell>
          <cell r="D664" t="str">
            <v>日研総業(株)</v>
          </cell>
          <cell r="E664" t="str">
            <v>15</v>
          </cell>
        </row>
        <row r="665">
          <cell r="B665" t="str">
            <v>2606</v>
          </cell>
          <cell r="C665" t="str">
            <v>#</v>
          </cell>
          <cell r="D665" t="str">
            <v>日興電機工業(株)</v>
          </cell>
          <cell r="E665" t="str">
            <v>51</v>
          </cell>
        </row>
        <row r="666">
          <cell r="B666" t="str">
            <v>7510</v>
          </cell>
          <cell r="C666" t="str">
            <v>#</v>
          </cell>
          <cell r="D666" t="str">
            <v>日光塗料(株)</v>
          </cell>
          <cell r="E666" t="str">
            <v>15</v>
          </cell>
        </row>
        <row r="667">
          <cell r="B667" t="str">
            <v>0061</v>
          </cell>
          <cell r="C667" t="str">
            <v>#</v>
          </cell>
          <cell r="D667" t="str">
            <v>日綱レックス(株)</v>
          </cell>
          <cell r="E667" t="str">
            <v>15</v>
          </cell>
        </row>
        <row r="668">
          <cell r="B668" t="str">
            <v>5079</v>
          </cell>
          <cell r="C668" t="str">
            <v>#</v>
          </cell>
          <cell r="D668" t="str">
            <v>日産工機(株)</v>
          </cell>
          <cell r="E668" t="str">
            <v>51</v>
          </cell>
        </row>
        <row r="669">
          <cell r="B669" t="str">
            <v>5546</v>
          </cell>
          <cell r="C669" t="str">
            <v>#</v>
          </cell>
          <cell r="D669" t="str">
            <v>日産ディーゼル工業(株)</v>
          </cell>
          <cell r="E669" t="str">
            <v>56</v>
          </cell>
        </row>
        <row r="670">
          <cell r="B670" t="str">
            <v>7108</v>
          </cell>
          <cell r="C670" t="str">
            <v>#</v>
          </cell>
          <cell r="D670" t="str">
            <v>日産トレーディング(株)</v>
          </cell>
          <cell r="E670" t="str">
            <v>15</v>
          </cell>
        </row>
        <row r="671">
          <cell r="B671" t="str">
            <v>9149</v>
          </cell>
          <cell r="C671" t="str">
            <v>#</v>
          </cell>
          <cell r="D671" t="str">
            <v>日昌(株)</v>
          </cell>
          <cell r="E671" t="str">
            <v>62</v>
          </cell>
        </row>
        <row r="672">
          <cell r="B672" t="str">
            <v>0029</v>
          </cell>
          <cell r="C672" t="str">
            <v>#</v>
          </cell>
          <cell r="D672" t="str">
            <v>日商岩井(株)</v>
          </cell>
          <cell r="E672" t="str">
            <v>30</v>
          </cell>
        </row>
        <row r="673">
          <cell r="B673" t="str">
            <v>8630</v>
          </cell>
          <cell r="C673" t="str">
            <v>#</v>
          </cell>
          <cell r="D673" t="str">
            <v>日松商事(株)</v>
          </cell>
          <cell r="E673" t="str">
            <v>30</v>
          </cell>
        </row>
        <row r="674">
          <cell r="B674" t="str">
            <v>9235</v>
          </cell>
          <cell r="C674" t="str">
            <v>#</v>
          </cell>
          <cell r="D674" t="str">
            <v>日神金属(株)</v>
          </cell>
          <cell r="E674" t="str">
            <v>30</v>
          </cell>
        </row>
        <row r="675">
          <cell r="B675" t="str">
            <v>3023</v>
          </cell>
          <cell r="C675" t="str">
            <v>#</v>
          </cell>
          <cell r="D675" t="str">
            <v>日新工業(株)</v>
          </cell>
          <cell r="E675" t="str">
            <v>54</v>
          </cell>
        </row>
        <row r="676">
          <cell r="B676" t="str">
            <v>3603</v>
          </cell>
          <cell r="C676" t="str">
            <v>#</v>
          </cell>
          <cell r="D676" t="str">
            <v>日進工業(株)</v>
          </cell>
          <cell r="E676" t="str">
            <v>64</v>
          </cell>
        </row>
        <row r="677">
          <cell r="B677" t="str">
            <v>5015</v>
          </cell>
          <cell r="C677" t="str">
            <v>#</v>
          </cell>
          <cell r="D677" t="str">
            <v>日清工業(株)</v>
          </cell>
          <cell r="E677" t="str">
            <v>53</v>
          </cell>
        </row>
        <row r="678">
          <cell r="B678" t="str">
            <v>5070</v>
          </cell>
          <cell r="C678" t="str">
            <v>#</v>
          </cell>
          <cell r="D678" t="str">
            <v>日信工業(株)</v>
          </cell>
          <cell r="E678" t="str">
            <v>56</v>
          </cell>
        </row>
        <row r="679">
          <cell r="B679" t="str">
            <v>7015</v>
          </cell>
          <cell r="C679" t="str">
            <v>#</v>
          </cell>
          <cell r="D679" t="str">
            <v>日新商事(株)</v>
          </cell>
          <cell r="E679" t="str">
            <v>15</v>
          </cell>
        </row>
        <row r="680">
          <cell r="B680" t="str">
            <v>0000ｶ</v>
          </cell>
          <cell r="C680" t="str">
            <v>#</v>
          </cell>
          <cell r="D680" t="str">
            <v>日新製鋼(株)</v>
          </cell>
          <cell r="E680" t="str">
            <v>10</v>
          </cell>
        </row>
        <row r="681">
          <cell r="B681" t="str">
            <v>8455</v>
          </cell>
          <cell r="C681" t="str">
            <v>#</v>
          </cell>
          <cell r="D681" t="str">
            <v>(株)日進製作所</v>
          </cell>
          <cell r="E681" t="str">
            <v>30</v>
          </cell>
        </row>
        <row r="682">
          <cell r="B682" t="str">
            <v>5518</v>
          </cell>
          <cell r="C682" t="str">
            <v>#</v>
          </cell>
          <cell r="D682" t="str">
            <v>日清紡ブレーキ販売(株)</v>
          </cell>
          <cell r="E682" t="str">
            <v>54</v>
          </cell>
        </row>
        <row r="683">
          <cell r="B683" t="str">
            <v>8112</v>
          </cell>
          <cell r="C683" t="str">
            <v>#</v>
          </cell>
          <cell r="D683" t="str">
            <v>日精(株)</v>
          </cell>
          <cell r="E683" t="str">
            <v>30</v>
          </cell>
        </row>
        <row r="684">
          <cell r="B684" t="str">
            <v>8275</v>
          </cell>
          <cell r="C684" t="str">
            <v>#</v>
          </cell>
          <cell r="D684" t="str">
            <v>日精機工(株)</v>
          </cell>
          <cell r="E684" t="str">
            <v>30</v>
          </cell>
        </row>
        <row r="685">
          <cell r="B685" t="str">
            <v>8330</v>
          </cell>
          <cell r="C685" t="str">
            <v>#</v>
          </cell>
          <cell r="D685" t="str">
            <v>日製産業(株)</v>
          </cell>
          <cell r="E685" t="str">
            <v>30</v>
          </cell>
        </row>
        <row r="686">
          <cell r="B686" t="str">
            <v>7042</v>
          </cell>
          <cell r="C686" t="str">
            <v>#</v>
          </cell>
          <cell r="D686" t="str">
            <v>日星石油(株)</v>
          </cell>
          <cell r="E686" t="str">
            <v>15</v>
          </cell>
        </row>
        <row r="687">
          <cell r="B687" t="str">
            <v>0518</v>
          </cell>
          <cell r="C687" t="str">
            <v>#</v>
          </cell>
          <cell r="D687" t="str">
            <v>日鍛バルブ(株)</v>
          </cell>
          <cell r="E687" t="str">
            <v>51</v>
          </cell>
        </row>
        <row r="688">
          <cell r="B688" t="str">
            <v>3003</v>
          </cell>
          <cell r="C688" t="str">
            <v>#</v>
          </cell>
          <cell r="D688" t="str">
            <v>(株)日東社</v>
          </cell>
          <cell r="E688" t="str">
            <v>64</v>
          </cell>
        </row>
        <row r="689">
          <cell r="B689" t="str">
            <v>4610</v>
          </cell>
          <cell r="C689" t="str">
            <v>#</v>
          </cell>
          <cell r="D689" t="str">
            <v>日東電材(株)</v>
          </cell>
          <cell r="E689" t="str">
            <v>62</v>
          </cell>
        </row>
        <row r="690">
          <cell r="B690" t="str">
            <v>9933</v>
          </cell>
          <cell r="C690" t="str">
            <v>#</v>
          </cell>
          <cell r="D690" t="str">
            <v>日発販売(株)</v>
          </cell>
          <cell r="E690" t="str">
            <v>54</v>
          </cell>
        </row>
        <row r="691">
          <cell r="B691" t="str">
            <v>5525</v>
          </cell>
          <cell r="C691" t="str">
            <v>#</v>
          </cell>
          <cell r="D691" t="str">
            <v>日発モース(株)</v>
          </cell>
          <cell r="E691" t="str">
            <v>56</v>
          </cell>
        </row>
        <row r="692">
          <cell r="B692" t="str">
            <v>5508</v>
          </cell>
          <cell r="C692" t="str">
            <v>#</v>
          </cell>
          <cell r="D692" t="str">
            <v>(株)日平トヤマ</v>
          </cell>
          <cell r="E692" t="str">
            <v>30</v>
          </cell>
        </row>
        <row r="693">
          <cell r="B693" t="str">
            <v>8785</v>
          </cell>
          <cell r="C693" t="str">
            <v>#</v>
          </cell>
          <cell r="D693" t="str">
            <v>日本道路(株)</v>
          </cell>
          <cell r="E693" t="str">
            <v>30</v>
          </cell>
        </row>
        <row r="694">
          <cell r="B694" t="str">
            <v>2807</v>
          </cell>
          <cell r="C694" t="str">
            <v>#</v>
          </cell>
          <cell r="D694" t="str">
            <v>(日本発条(株))</v>
          </cell>
          <cell r="E694" t="str">
            <v>62</v>
          </cell>
        </row>
        <row r="695">
          <cell r="B695" t="str">
            <v>8027</v>
          </cell>
          <cell r="C695" t="str">
            <v>#</v>
          </cell>
          <cell r="D695" t="str">
            <v>ﾆﾄﾏｯｸ･ｲｰｱｰﾙ(株)</v>
          </cell>
          <cell r="E695" t="str">
            <v>30</v>
          </cell>
        </row>
        <row r="696">
          <cell r="B696" t="str">
            <v>2828</v>
          </cell>
          <cell r="C696" t="str">
            <v>#</v>
          </cell>
          <cell r="D696" t="str">
            <v>(株)ニフコ</v>
          </cell>
          <cell r="E696" t="str">
            <v>64</v>
          </cell>
        </row>
        <row r="697">
          <cell r="B697" t="str">
            <v>8466</v>
          </cell>
          <cell r="C697" t="str">
            <v>#</v>
          </cell>
          <cell r="D697" t="str">
            <v>ニフコプラント(株)</v>
          </cell>
          <cell r="E697" t="str">
            <v>30</v>
          </cell>
        </row>
        <row r="698">
          <cell r="B698" t="str">
            <v>7803</v>
          </cell>
          <cell r="C698" t="str">
            <v>#</v>
          </cell>
          <cell r="D698" t="str">
            <v>日本ｱｲ･ﾋﾞｰ･ｴﾑ(株)</v>
          </cell>
          <cell r="E698" t="str">
            <v>30</v>
          </cell>
        </row>
        <row r="699">
          <cell r="B699" t="str">
            <v>5532</v>
          </cell>
          <cell r="C699" t="str">
            <v>#</v>
          </cell>
          <cell r="D699" t="str">
            <v>日本イートン(株)</v>
          </cell>
          <cell r="E699" t="str">
            <v>75</v>
          </cell>
        </row>
        <row r="700">
          <cell r="B700" t="str">
            <v>3627</v>
          </cell>
          <cell r="C700" t="str">
            <v>#</v>
          </cell>
          <cell r="D700" t="str">
            <v>日本板硝子(株)</v>
          </cell>
          <cell r="E700" t="str">
            <v>62</v>
          </cell>
        </row>
        <row r="701">
          <cell r="B701" t="str">
            <v>7734</v>
          </cell>
          <cell r="C701" t="str">
            <v>#</v>
          </cell>
          <cell r="D701" t="str">
            <v>日本ウェックス(株)</v>
          </cell>
          <cell r="E701" t="str">
            <v>15</v>
          </cell>
        </row>
        <row r="702">
          <cell r="B702" t="str">
            <v>8529</v>
          </cell>
          <cell r="C702" t="str">
            <v>#</v>
          </cell>
          <cell r="D702" t="str">
            <v>日本ｴｱｰｺﾝｼﾞｼｮﾅｰｽ(株)</v>
          </cell>
          <cell r="E702" t="str">
            <v>30</v>
          </cell>
        </row>
        <row r="703">
          <cell r="B703" t="str">
            <v>2020</v>
          </cell>
          <cell r="C703" t="str">
            <v>#</v>
          </cell>
          <cell r="D703" t="str">
            <v>日本エービーエス(株)</v>
          </cell>
          <cell r="E703" t="str">
            <v>54</v>
          </cell>
        </row>
        <row r="704">
          <cell r="B704" t="str">
            <v>9722</v>
          </cell>
          <cell r="C704" t="str">
            <v>#</v>
          </cell>
          <cell r="D704" t="str">
            <v>日本ｴﾝｼﾞﾆｱﾘﾝｸﾞ(株)</v>
          </cell>
          <cell r="E704" t="str">
            <v>30</v>
          </cell>
        </row>
        <row r="705">
          <cell r="B705" t="str">
            <v>7838</v>
          </cell>
          <cell r="C705" t="str">
            <v>#</v>
          </cell>
          <cell r="D705" t="str">
            <v>日本ｵﾘﾍﾞｯﾃｨ(株)</v>
          </cell>
          <cell r="E705" t="str">
            <v>30</v>
          </cell>
        </row>
        <row r="706">
          <cell r="B706" t="str">
            <v>5076</v>
          </cell>
          <cell r="C706" t="str">
            <v>#</v>
          </cell>
          <cell r="D706" t="str">
            <v>日本ギア工業(株)</v>
          </cell>
          <cell r="E706" t="str">
            <v>53</v>
          </cell>
        </row>
        <row r="707">
          <cell r="B707" t="str">
            <v>2001</v>
          </cell>
          <cell r="C707" t="str">
            <v>#</v>
          </cell>
          <cell r="D707" t="str">
            <v>(株)日本気化器製作所</v>
          </cell>
          <cell r="E707" t="str">
            <v>51</v>
          </cell>
        </row>
        <row r="708">
          <cell r="B708" t="str">
            <v>2105</v>
          </cell>
          <cell r="C708" t="str">
            <v>#</v>
          </cell>
          <cell r="D708" t="str">
            <v>日本ｸﾞｯﾄﾞｲﾔｰ(株)</v>
          </cell>
          <cell r="E708" t="str">
            <v>54</v>
          </cell>
        </row>
        <row r="709">
          <cell r="B709" t="str">
            <v>8005</v>
          </cell>
          <cell r="C709" t="str">
            <v>#</v>
          </cell>
          <cell r="D709" t="str">
            <v>日本ｸﾘﾝｹﾞﾙﾝﾍﾞﾙｸﾞ(株)</v>
          </cell>
          <cell r="E709" t="str">
            <v>30</v>
          </cell>
        </row>
        <row r="710">
          <cell r="B710" t="str">
            <v>2830</v>
          </cell>
          <cell r="C710" t="str">
            <v>#</v>
          </cell>
          <cell r="D710" t="str">
            <v>日本軽金属(株)</v>
          </cell>
          <cell r="E710" t="str">
            <v>54</v>
          </cell>
        </row>
        <row r="711">
          <cell r="B711" t="str">
            <v>3103</v>
          </cell>
          <cell r="C711" t="str">
            <v>#</v>
          </cell>
          <cell r="D711" t="str">
            <v>日本ｹｰﾌﾞﾙｼｽﾃﾑ(株)</v>
          </cell>
          <cell r="E711" t="str">
            <v>56</v>
          </cell>
        </row>
        <row r="712">
          <cell r="B712" t="str">
            <v>0000ｲ</v>
          </cell>
          <cell r="C712" t="str">
            <v>#</v>
          </cell>
          <cell r="D712" t="str">
            <v>日本鋼管(株)</v>
          </cell>
          <cell r="E712" t="str">
            <v>10</v>
          </cell>
        </row>
        <row r="713">
          <cell r="B713" t="str">
            <v>7035</v>
          </cell>
          <cell r="C713" t="str">
            <v>#</v>
          </cell>
          <cell r="D713" t="str">
            <v>日本工作油(株)</v>
          </cell>
          <cell r="E713" t="str">
            <v>15</v>
          </cell>
        </row>
        <row r="714">
          <cell r="B714" t="str">
            <v>9939</v>
          </cell>
          <cell r="C714" t="str">
            <v>#</v>
          </cell>
          <cell r="D714" t="str">
            <v>(株)日本礦油</v>
          </cell>
          <cell r="E714" t="str">
            <v>64</v>
          </cell>
        </row>
        <row r="715">
          <cell r="B715" t="str">
            <v>8770</v>
          </cell>
          <cell r="C715" t="str">
            <v>#</v>
          </cell>
          <cell r="D715" t="str">
            <v>日本国土開発(株)</v>
          </cell>
          <cell r="E715" t="str">
            <v>30</v>
          </cell>
        </row>
        <row r="716">
          <cell r="B716" t="str">
            <v>9264</v>
          </cell>
          <cell r="C716" t="str">
            <v>#</v>
          </cell>
          <cell r="D716" t="str">
            <v>日本ｻｰﾓｽﾀｯﾄ(株)</v>
          </cell>
          <cell r="E716" t="str">
            <v>51</v>
          </cell>
        </row>
        <row r="717">
          <cell r="B717" t="str">
            <v>8596</v>
          </cell>
          <cell r="C717" t="str">
            <v>#</v>
          </cell>
          <cell r="D717" t="str">
            <v>日本真空技術(株)</v>
          </cell>
          <cell r="E717" t="str">
            <v>30</v>
          </cell>
        </row>
        <row r="718">
          <cell r="B718" t="str">
            <v>9222</v>
          </cell>
          <cell r="C718" t="str">
            <v>#</v>
          </cell>
          <cell r="D718" t="str">
            <v>日本ｽﾀｯﾄﾞｳｪﾙﾃﾞｨﾝｸﾞ(株)</v>
          </cell>
          <cell r="E718" t="str">
            <v>64</v>
          </cell>
        </row>
        <row r="719">
          <cell r="B719" t="str">
            <v>2717</v>
          </cell>
          <cell r="C719" t="str">
            <v>#</v>
          </cell>
          <cell r="D719" t="str">
            <v>日本精機(株)</v>
          </cell>
          <cell r="E719" t="str">
            <v>62</v>
          </cell>
        </row>
        <row r="720">
          <cell r="B720" t="str">
            <v>2200</v>
          </cell>
          <cell r="C720" t="str">
            <v>#</v>
          </cell>
          <cell r="D720" t="str">
            <v>日本精工(株)</v>
          </cell>
          <cell r="E720" t="str">
            <v>54</v>
          </cell>
        </row>
        <row r="721">
          <cell r="B721" t="str">
            <v>9137</v>
          </cell>
          <cell r="C721" t="str">
            <v>#</v>
          </cell>
          <cell r="D721" t="str">
            <v>(株)日本製鋼所</v>
          </cell>
          <cell r="E721" t="str">
            <v>30</v>
          </cell>
        </row>
        <row r="722">
          <cell r="B722" t="str">
            <v>3643</v>
          </cell>
          <cell r="C722" t="str">
            <v>#</v>
          </cell>
          <cell r="D722" t="str">
            <v>日本ゼオン(株)</v>
          </cell>
          <cell r="E722" t="str">
            <v>62</v>
          </cell>
        </row>
        <row r="723">
          <cell r="B723" t="str">
            <v>4513</v>
          </cell>
          <cell r="C723" t="str">
            <v>#</v>
          </cell>
          <cell r="D723" t="str">
            <v>日本セキソー工業(株)</v>
          </cell>
          <cell r="E723" t="str">
            <v>62</v>
          </cell>
        </row>
        <row r="724">
          <cell r="B724" t="str">
            <v>7020</v>
          </cell>
          <cell r="C724" t="str">
            <v>#</v>
          </cell>
          <cell r="D724" t="str">
            <v>日本石油(株)</v>
          </cell>
          <cell r="E724" t="str">
            <v>15</v>
          </cell>
        </row>
        <row r="725">
          <cell r="B725" t="str">
            <v>2102</v>
          </cell>
          <cell r="C725" t="str">
            <v>#</v>
          </cell>
          <cell r="D725" t="str">
            <v>(株)日本ダンロップ</v>
          </cell>
          <cell r="E725" t="str">
            <v>54</v>
          </cell>
        </row>
        <row r="726">
          <cell r="B726" t="str">
            <v>3013</v>
          </cell>
          <cell r="C726" t="str">
            <v>#</v>
          </cell>
          <cell r="D726" t="str">
            <v>日本中空鋼(株)</v>
          </cell>
          <cell r="E726" t="str">
            <v>64</v>
          </cell>
        </row>
        <row r="727">
          <cell r="B727" t="str">
            <v>9587</v>
          </cell>
          <cell r="C727" t="str">
            <v>#</v>
          </cell>
          <cell r="D727" t="str">
            <v>日本調理機(株)</v>
          </cell>
          <cell r="E727" t="str">
            <v>30</v>
          </cell>
        </row>
        <row r="728">
          <cell r="B728" t="str">
            <v>9720</v>
          </cell>
          <cell r="C728" t="str">
            <v>#</v>
          </cell>
          <cell r="D728" t="str">
            <v>日本ﾃﾞｲﾄﾝﾌﾟﾛｸﾞﾚｽ(株)</v>
          </cell>
          <cell r="E728" t="str">
            <v>30</v>
          </cell>
        </row>
        <row r="729">
          <cell r="B729" t="str">
            <v>7835</v>
          </cell>
          <cell r="C729" t="str">
            <v>#</v>
          </cell>
          <cell r="D729" t="str">
            <v>日本電気(株)</v>
          </cell>
          <cell r="E729" t="str">
            <v>30</v>
          </cell>
        </row>
        <row r="730">
          <cell r="B730" t="str">
            <v>9605</v>
          </cell>
          <cell r="C730" t="str">
            <v>#</v>
          </cell>
          <cell r="D730" t="str">
            <v>日本電子(株)</v>
          </cell>
          <cell r="E730" t="str">
            <v>30</v>
          </cell>
        </row>
        <row r="731">
          <cell r="B731" t="str">
            <v>9592</v>
          </cell>
          <cell r="C731" t="str">
            <v>#</v>
          </cell>
          <cell r="D731" t="str">
            <v>日本電磁測器(株)</v>
          </cell>
          <cell r="E731" t="str">
            <v>30</v>
          </cell>
        </row>
        <row r="732">
          <cell r="B732" t="str">
            <v>8660</v>
          </cell>
          <cell r="C732" t="str">
            <v>#</v>
          </cell>
          <cell r="D732" t="str">
            <v>日本電設工業(株)</v>
          </cell>
          <cell r="E732" t="str">
            <v>30</v>
          </cell>
        </row>
        <row r="733">
          <cell r="B733" t="str">
            <v>2303</v>
          </cell>
          <cell r="C733" t="str">
            <v>#</v>
          </cell>
          <cell r="D733" t="str">
            <v>日本電池(株)</v>
          </cell>
          <cell r="E733" t="str">
            <v>62</v>
          </cell>
        </row>
        <row r="734">
          <cell r="B734" t="str">
            <v>2608</v>
          </cell>
          <cell r="C734" t="str">
            <v>#</v>
          </cell>
          <cell r="D734" t="str">
            <v>日本特殊陶業(株)</v>
          </cell>
          <cell r="E734" t="str">
            <v>51</v>
          </cell>
        </row>
        <row r="735">
          <cell r="B735" t="str">
            <v>3633</v>
          </cell>
          <cell r="C735" t="str">
            <v>#</v>
          </cell>
          <cell r="D735" t="str">
            <v>日本特殊塗料(株)</v>
          </cell>
          <cell r="E735" t="str">
            <v>62</v>
          </cell>
        </row>
        <row r="736">
          <cell r="B736" t="str">
            <v>2011</v>
          </cell>
          <cell r="C736" t="str">
            <v>#</v>
          </cell>
          <cell r="D736" t="str">
            <v>日本特殊部品(有)</v>
          </cell>
          <cell r="E736" t="str">
            <v>54</v>
          </cell>
        </row>
        <row r="737">
          <cell r="B737" t="str">
            <v>5520</v>
          </cell>
          <cell r="C737" t="str">
            <v>#</v>
          </cell>
          <cell r="D737" t="str">
            <v>日本ドナルドソン(株)</v>
          </cell>
          <cell r="E737" t="str">
            <v>51</v>
          </cell>
        </row>
        <row r="738">
          <cell r="B738" t="str">
            <v>2213</v>
          </cell>
          <cell r="C738" t="str">
            <v>#</v>
          </cell>
          <cell r="D738" t="str">
            <v>日本トムソン(株)</v>
          </cell>
          <cell r="E738" t="str">
            <v>64</v>
          </cell>
        </row>
        <row r="739">
          <cell r="B739" t="str">
            <v>9565</v>
          </cell>
          <cell r="C739" t="str">
            <v>#</v>
          </cell>
          <cell r="D739" t="str">
            <v>日本トラック(株)</v>
          </cell>
          <cell r="E739" t="str">
            <v>15</v>
          </cell>
        </row>
        <row r="740">
          <cell r="B740" t="str">
            <v>9427</v>
          </cell>
          <cell r="C740" t="str">
            <v>#</v>
          </cell>
          <cell r="D740" t="str">
            <v>日本ナシｮナルシｰル(株)</v>
          </cell>
          <cell r="E740" t="str">
            <v>75</v>
          </cell>
        </row>
        <row r="741">
          <cell r="B741" t="str">
            <v>8540</v>
          </cell>
          <cell r="C741" t="str">
            <v>#</v>
          </cell>
          <cell r="D741" t="str">
            <v>日本ﾊﾟｰｶﾗｲｼﾞﾝｸﾞ(株)</v>
          </cell>
          <cell r="E741" t="str">
            <v>53</v>
          </cell>
        </row>
        <row r="742">
          <cell r="B742" t="str">
            <v>8775</v>
          </cell>
          <cell r="C742" t="str">
            <v>#</v>
          </cell>
          <cell r="D742" t="str">
            <v>日本ハウジング(株)</v>
          </cell>
          <cell r="E742" t="str">
            <v>30</v>
          </cell>
        </row>
        <row r="743">
          <cell r="B743" t="str">
            <v>2504</v>
          </cell>
          <cell r="C743" t="str">
            <v>#</v>
          </cell>
          <cell r="D743" t="str">
            <v>日本発条(株)</v>
          </cell>
          <cell r="E743" t="str">
            <v>54</v>
          </cell>
        </row>
        <row r="744">
          <cell r="B744" t="str">
            <v>5530</v>
          </cell>
          <cell r="C744" t="str">
            <v>#</v>
          </cell>
          <cell r="D744" t="str">
            <v>日本ﾊﾟﾜｰｽﾃｱﾘﾝｸﾞ(株)</v>
          </cell>
          <cell r="E744" t="str">
            <v>54</v>
          </cell>
        </row>
        <row r="745">
          <cell r="B745" t="str">
            <v>2652</v>
          </cell>
          <cell r="C745" t="str">
            <v>#</v>
          </cell>
          <cell r="D745" t="str">
            <v>日本ビクター(株)</v>
          </cell>
          <cell r="E745" t="str">
            <v>64</v>
          </cell>
        </row>
        <row r="746">
          <cell r="B746" t="str">
            <v>2803</v>
          </cell>
          <cell r="C746" t="str">
            <v>#</v>
          </cell>
          <cell r="D746" t="str">
            <v>日本ﾋﾟｽﾄﾝﾘﾝｸﾞ(株)</v>
          </cell>
          <cell r="E746" t="str">
            <v>51</v>
          </cell>
        </row>
        <row r="747">
          <cell r="B747" t="str">
            <v>9596</v>
          </cell>
          <cell r="C747" t="str">
            <v>#</v>
          </cell>
          <cell r="D747" t="str">
            <v>日本ﾋｭｰﾚｯﾄ･ﾊﾟｯｶｰﾄﾞ(株)</v>
          </cell>
          <cell r="E747" t="str">
            <v>30</v>
          </cell>
        </row>
        <row r="748">
          <cell r="B748" t="str">
            <v>7833</v>
          </cell>
          <cell r="C748" t="str">
            <v>#</v>
          </cell>
          <cell r="D748" t="str">
            <v>日本ファイリング(株)</v>
          </cell>
          <cell r="E748" t="str">
            <v>30</v>
          </cell>
        </row>
        <row r="749">
          <cell r="B749" t="str">
            <v>9804</v>
          </cell>
          <cell r="C749" t="str">
            <v>#</v>
          </cell>
          <cell r="D749" t="str">
            <v>日本物流機器(株)</v>
          </cell>
          <cell r="E749" t="str">
            <v>30</v>
          </cell>
        </row>
        <row r="750">
          <cell r="B750" t="str">
            <v>9239</v>
          </cell>
          <cell r="C750" t="str">
            <v>#</v>
          </cell>
          <cell r="D750" t="str">
            <v>日本ﾌﾗﾝﾂｵｲﾙｸﾘｰﾅｰ(株)</v>
          </cell>
          <cell r="E750" t="str">
            <v>64</v>
          </cell>
        </row>
        <row r="751">
          <cell r="B751" t="str">
            <v>3530</v>
          </cell>
          <cell r="C751" t="str">
            <v>#</v>
          </cell>
          <cell r="D751" t="str">
            <v>日本フルハーフ(株)</v>
          </cell>
          <cell r="E751" t="str">
            <v>64</v>
          </cell>
        </row>
        <row r="752">
          <cell r="B752" t="str">
            <v>0000ｹ</v>
          </cell>
          <cell r="C752" t="str">
            <v>#</v>
          </cell>
          <cell r="D752" t="str">
            <v>日本ペイント(株)</v>
          </cell>
          <cell r="E752" t="str">
            <v>15</v>
          </cell>
        </row>
        <row r="753">
          <cell r="B753" t="str">
            <v>9655</v>
          </cell>
          <cell r="C753" t="str">
            <v>#</v>
          </cell>
          <cell r="D753" t="str">
            <v>日本鋪道(株)</v>
          </cell>
          <cell r="E753" t="str">
            <v>30</v>
          </cell>
        </row>
        <row r="754">
          <cell r="B754" t="str">
            <v>2108</v>
          </cell>
          <cell r="C754" t="str">
            <v>#</v>
          </cell>
          <cell r="D754" t="str">
            <v>日本ﾐｼｭﾗﾝﾀｲﾔ(株)</v>
          </cell>
          <cell r="E754" t="str">
            <v>54</v>
          </cell>
        </row>
        <row r="755">
          <cell r="B755" t="str">
            <v>8656</v>
          </cell>
          <cell r="C755" t="str">
            <v>#</v>
          </cell>
          <cell r="D755" t="str">
            <v>日本ユニシス(株)</v>
          </cell>
          <cell r="E755" t="str">
            <v>30</v>
          </cell>
        </row>
        <row r="756">
          <cell r="B756" t="str">
            <v>7617</v>
          </cell>
          <cell r="C756" t="str">
            <v>#</v>
          </cell>
          <cell r="D756" t="str">
            <v>日本ユニット(株)</v>
          </cell>
          <cell r="E756" t="str">
            <v>15</v>
          </cell>
        </row>
        <row r="757">
          <cell r="B757" t="str">
            <v>0073</v>
          </cell>
          <cell r="C757" t="str">
            <v>#</v>
          </cell>
          <cell r="D757" t="str">
            <v>日本ユピカ(株)</v>
          </cell>
          <cell r="E757" t="str">
            <v>10</v>
          </cell>
        </row>
        <row r="758">
          <cell r="B758" t="str">
            <v>7626</v>
          </cell>
          <cell r="C758" t="str">
            <v>#</v>
          </cell>
          <cell r="D758" t="str">
            <v>日本坩堝(株)</v>
          </cell>
          <cell r="E758" t="str">
            <v>15</v>
          </cell>
        </row>
        <row r="759">
          <cell r="B759" t="str">
            <v>7311</v>
          </cell>
          <cell r="C759" t="str">
            <v>#</v>
          </cell>
          <cell r="D759" t="str">
            <v>日本ロック(株)</v>
          </cell>
          <cell r="E759" t="str">
            <v>15</v>
          </cell>
        </row>
        <row r="760">
          <cell r="B760" t="str">
            <v>8537</v>
          </cell>
          <cell r="C760" t="str">
            <v>#</v>
          </cell>
          <cell r="D760" t="str">
            <v>熱機工業(株)</v>
          </cell>
          <cell r="E760" t="str">
            <v>30</v>
          </cell>
        </row>
        <row r="761">
          <cell r="B761" t="str">
            <v>8675</v>
          </cell>
          <cell r="C761" t="str">
            <v>#</v>
          </cell>
          <cell r="D761" t="str">
            <v>野口電設(株)</v>
          </cell>
          <cell r="E761" t="str">
            <v>30</v>
          </cell>
        </row>
        <row r="762">
          <cell r="B762" t="str">
            <v>8104</v>
          </cell>
          <cell r="C762" t="str">
            <v>#</v>
          </cell>
          <cell r="D762" t="str">
            <v>(株)ﾉﾘﾀｹｶﾝﾊﾟﾆｰﾘﾐﾃﾄﾞ</v>
          </cell>
          <cell r="E762" t="str">
            <v>30</v>
          </cell>
        </row>
        <row r="763">
          <cell r="B763" t="str">
            <v>7050</v>
          </cell>
          <cell r="C763" t="str">
            <v>#</v>
          </cell>
          <cell r="D763" t="str">
            <v>パーカー興産(株)</v>
          </cell>
          <cell r="E763" t="str">
            <v>15</v>
          </cell>
        </row>
        <row r="764">
          <cell r="B764" t="str">
            <v>7300</v>
          </cell>
          <cell r="C764" t="str">
            <v>#</v>
          </cell>
          <cell r="D764" t="str">
            <v>(株)ﾊﾟｰｶｰｺｰﾎﾟﾚｰｼｮﾝ</v>
          </cell>
          <cell r="E764" t="str">
            <v>15</v>
          </cell>
        </row>
        <row r="765">
          <cell r="B765" t="str">
            <v>0546</v>
          </cell>
          <cell r="C765" t="str">
            <v>#</v>
          </cell>
          <cell r="D765" t="str">
            <v>ﾊﾟｰｶｰ熱処理工業(株)</v>
          </cell>
          <cell r="E765" t="str">
            <v>53</v>
          </cell>
        </row>
        <row r="766">
          <cell r="B766" t="str">
            <v>4616</v>
          </cell>
          <cell r="C766" t="str">
            <v>#</v>
          </cell>
          <cell r="D766" t="str">
            <v>(株)パイオラックス</v>
          </cell>
          <cell r="E766" t="str">
            <v>64</v>
          </cell>
        </row>
        <row r="767">
          <cell r="B767" t="str">
            <v>9181</v>
          </cell>
          <cell r="C767" t="str">
            <v>#</v>
          </cell>
          <cell r="D767" t="str">
            <v xml:space="preserve">萩原電気(株) </v>
          </cell>
          <cell r="E767" t="str">
            <v>30</v>
          </cell>
        </row>
        <row r="768">
          <cell r="B768" t="str">
            <v>3611</v>
          </cell>
          <cell r="C768" t="str">
            <v>#</v>
          </cell>
          <cell r="D768" t="str">
            <v>橋本ﾌｫｰﾐﾝｸﾞ工業(株)</v>
          </cell>
          <cell r="E768" t="str">
            <v>62</v>
          </cell>
        </row>
        <row r="769">
          <cell r="B769" t="str">
            <v>8704</v>
          </cell>
          <cell r="C769" t="str">
            <v>#</v>
          </cell>
          <cell r="D769" t="str">
            <v>羽田興業(株)</v>
          </cell>
          <cell r="E769" t="str">
            <v>30</v>
          </cell>
        </row>
        <row r="770">
          <cell r="B770" t="str">
            <v>3537</v>
          </cell>
          <cell r="C770" t="str">
            <v>#</v>
          </cell>
          <cell r="D770" t="str">
            <v>(株)パブコ</v>
          </cell>
          <cell r="E770" t="str">
            <v>64</v>
          </cell>
        </row>
        <row r="771">
          <cell r="B771" t="str">
            <v>8268</v>
          </cell>
          <cell r="C771" t="str">
            <v>#</v>
          </cell>
          <cell r="D771" t="str">
            <v>早坂理工(株)</v>
          </cell>
          <cell r="E771" t="str">
            <v>30</v>
          </cell>
        </row>
        <row r="772">
          <cell r="B772" t="str">
            <v>3634</v>
          </cell>
          <cell r="C772" t="str">
            <v>#</v>
          </cell>
          <cell r="D772" t="str">
            <v>林テレンプ(株)</v>
          </cell>
          <cell r="E772" t="str">
            <v>62</v>
          </cell>
        </row>
        <row r="773">
          <cell r="B773" t="str">
            <v>9523</v>
          </cell>
          <cell r="C773" t="str">
            <v>#</v>
          </cell>
          <cell r="D773" t="str">
            <v>原田産業(株)</v>
          </cell>
          <cell r="E773" t="str">
            <v>30</v>
          </cell>
        </row>
        <row r="774">
          <cell r="B774" t="str">
            <v>2816</v>
          </cell>
          <cell r="C774" t="str">
            <v>#</v>
          </cell>
          <cell r="D774" t="str">
            <v>原田商事(株)</v>
          </cell>
          <cell r="E774" t="str">
            <v>30</v>
          </cell>
        </row>
        <row r="775">
          <cell r="B775" t="str">
            <v>0055</v>
          </cell>
          <cell r="C775" t="str">
            <v>#</v>
          </cell>
          <cell r="D775" t="str">
            <v>(株)原田鍛工所</v>
          </cell>
          <cell r="E775" t="str">
            <v>53</v>
          </cell>
        </row>
        <row r="776">
          <cell r="B776" t="str">
            <v>7313</v>
          </cell>
          <cell r="C776" t="str">
            <v>#</v>
          </cell>
          <cell r="D776" t="str">
            <v>バルミックス(株)</v>
          </cell>
          <cell r="E776" t="str">
            <v>15</v>
          </cell>
        </row>
        <row r="777">
          <cell r="B777" t="str">
            <v>8138</v>
          </cell>
          <cell r="C777" t="str">
            <v>#</v>
          </cell>
          <cell r="D777" t="str">
            <v>ﾊﾞﾚﾅｲﾄ･ｳｨﾃﾞｨｱ ｼﾞｬﾊﾟﾝ(株)</v>
          </cell>
          <cell r="E777" t="str">
            <v>30</v>
          </cell>
        </row>
        <row r="778">
          <cell r="B778" t="str">
            <v>8205</v>
          </cell>
          <cell r="C778" t="str">
            <v>#</v>
          </cell>
          <cell r="D778" t="str">
            <v>(株)バンザイ</v>
          </cell>
          <cell r="E778" t="str">
            <v>30</v>
          </cell>
        </row>
        <row r="779">
          <cell r="B779" t="str">
            <v>2420</v>
          </cell>
          <cell r="C779" t="str">
            <v>#</v>
          </cell>
          <cell r="D779" t="str">
            <v>バンドー化学(株)</v>
          </cell>
          <cell r="E779" t="str">
            <v>51</v>
          </cell>
        </row>
        <row r="780">
          <cell r="B780" t="str">
            <v>8764</v>
          </cell>
          <cell r="C780" t="str">
            <v>#</v>
          </cell>
          <cell r="D780" t="str">
            <v>菱中建設(株)</v>
          </cell>
          <cell r="E780" t="str">
            <v>30</v>
          </cell>
        </row>
        <row r="781">
          <cell r="B781" t="str">
            <v>5540</v>
          </cell>
          <cell r="C781" t="str">
            <v>#</v>
          </cell>
          <cell r="D781" t="str">
            <v>ﾋﾞｽｺﾄﾞﾗｲﾌﾞｼﾞｬﾊﾟﾝ(株)</v>
          </cell>
          <cell r="E781" t="str">
            <v>56</v>
          </cell>
        </row>
        <row r="782">
          <cell r="B782" t="str">
            <v>9911</v>
          </cell>
          <cell r="C782" t="str">
            <v>#</v>
          </cell>
          <cell r="D782" t="str">
            <v>(株)日立ｵｰﾄｼｽﾃﾑｽﾞ</v>
          </cell>
          <cell r="E782" t="str">
            <v>51</v>
          </cell>
        </row>
        <row r="783">
          <cell r="B783" t="str">
            <v>7622</v>
          </cell>
          <cell r="C783" t="str">
            <v>#</v>
          </cell>
          <cell r="D783" t="str">
            <v>日立化成工業(株)</v>
          </cell>
          <cell r="E783" t="str">
            <v>62</v>
          </cell>
        </row>
        <row r="784">
          <cell r="B784" t="str">
            <v>7316</v>
          </cell>
          <cell r="C784" t="str">
            <v>#</v>
          </cell>
          <cell r="D784" t="str">
            <v>日立化成ポリマー(株)</v>
          </cell>
          <cell r="E784" t="str">
            <v>15</v>
          </cell>
        </row>
        <row r="785">
          <cell r="B785" t="str">
            <v>0523</v>
          </cell>
          <cell r="C785" t="str">
            <v>#</v>
          </cell>
          <cell r="D785" t="str">
            <v>日立金属(株)</v>
          </cell>
          <cell r="E785" t="str">
            <v>53</v>
          </cell>
        </row>
        <row r="786">
          <cell r="B786" t="str">
            <v>5500</v>
          </cell>
          <cell r="C786" t="str">
            <v>#</v>
          </cell>
          <cell r="D786" t="str">
            <v>日立精機(株)</v>
          </cell>
          <cell r="E786" t="str">
            <v>30</v>
          </cell>
        </row>
        <row r="787">
          <cell r="B787" t="str">
            <v>8579</v>
          </cell>
          <cell r="C787" t="str">
            <v>#</v>
          </cell>
          <cell r="D787" t="str">
            <v>日立精工(株)</v>
          </cell>
          <cell r="E787" t="str">
            <v>30</v>
          </cell>
        </row>
        <row r="788">
          <cell r="B788" t="str">
            <v>2613</v>
          </cell>
          <cell r="C788" t="str">
            <v>#</v>
          </cell>
          <cell r="D788" t="str">
            <v>(株)日立製作所</v>
          </cell>
          <cell r="E788" t="str">
            <v>51</v>
          </cell>
        </row>
        <row r="789">
          <cell r="B789" t="str">
            <v>2653</v>
          </cell>
          <cell r="C789" t="str">
            <v>#</v>
          </cell>
          <cell r="D789" t="str">
            <v>日立電子ｼｽﾃﾑｻｰﾋﾞｽ(株)</v>
          </cell>
          <cell r="E789" t="str">
            <v>64</v>
          </cell>
        </row>
        <row r="790">
          <cell r="B790" t="str">
            <v>8616</v>
          </cell>
          <cell r="C790" t="str">
            <v>#</v>
          </cell>
          <cell r="D790" t="str">
            <v>日立電線(株)</v>
          </cell>
          <cell r="E790" t="str">
            <v>64</v>
          </cell>
        </row>
        <row r="791">
          <cell r="B791" t="str">
            <v>8584</v>
          </cell>
          <cell r="C791" t="str">
            <v>#</v>
          </cell>
          <cell r="D791" t="str">
            <v>(株)日立ビルシステム</v>
          </cell>
          <cell r="E791" t="str">
            <v>30</v>
          </cell>
        </row>
        <row r="792">
          <cell r="B792" t="str">
            <v>9121</v>
          </cell>
          <cell r="C792" t="str">
            <v>#</v>
          </cell>
          <cell r="D792" t="str">
            <v>日立ビル施設ｴﾝｼﾞﾆｱﾘﾝｸﾞ(株)</v>
          </cell>
          <cell r="E792" t="str">
            <v>30</v>
          </cell>
        </row>
        <row r="793">
          <cell r="B793" t="str">
            <v>9226</v>
          </cell>
          <cell r="C793" t="str">
            <v>#</v>
          </cell>
          <cell r="D793" t="str">
            <v>平田機工(株)</v>
          </cell>
          <cell r="E793" t="str">
            <v>30</v>
          </cell>
        </row>
        <row r="794">
          <cell r="B794" t="str">
            <v>3041</v>
          </cell>
          <cell r="C794" t="str">
            <v>#</v>
          </cell>
          <cell r="D794" t="str">
            <v>ヒルタ工業(株)</v>
          </cell>
          <cell r="E794" t="str">
            <v>64</v>
          </cell>
        </row>
        <row r="795">
          <cell r="B795" t="str">
            <v>9808</v>
          </cell>
          <cell r="C795" t="str">
            <v>#</v>
          </cell>
          <cell r="D795" t="str">
            <v>(株)ヒロテック</v>
          </cell>
          <cell r="E795" t="str">
            <v>30</v>
          </cell>
        </row>
        <row r="796">
          <cell r="B796" t="str">
            <v>9779</v>
          </cell>
          <cell r="C796" t="str">
            <v>#</v>
          </cell>
          <cell r="D796" t="str">
            <v>ファナック(株)</v>
          </cell>
          <cell r="E796" t="str">
            <v>30</v>
          </cell>
        </row>
        <row r="797">
          <cell r="B797" t="str">
            <v>9734</v>
          </cell>
          <cell r="C797" t="str">
            <v>#</v>
          </cell>
          <cell r="D797" t="str">
            <v>(株)ﾌｨｱﾛｺｰﾎﾟﾚｰｼｮﾝ</v>
          </cell>
          <cell r="E797" t="str">
            <v>30</v>
          </cell>
        </row>
        <row r="798">
          <cell r="B798" t="str">
            <v>3000</v>
          </cell>
          <cell r="C798" t="str">
            <v>#</v>
          </cell>
          <cell r="D798" t="str">
            <v>(株)福島製作所</v>
          </cell>
          <cell r="E798" t="str">
            <v>64</v>
          </cell>
        </row>
        <row r="799">
          <cell r="B799" t="str">
            <v>2205</v>
          </cell>
          <cell r="C799" t="str">
            <v>#</v>
          </cell>
          <cell r="D799" t="str">
            <v>福田交易(株)</v>
          </cell>
          <cell r="E799" t="str">
            <v>30</v>
          </cell>
        </row>
        <row r="800">
          <cell r="B800" t="str">
            <v>9560</v>
          </cell>
          <cell r="C800" t="str">
            <v>#</v>
          </cell>
          <cell r="D800" t="str">
            <v>(株)フクトク</v>
          </cell>
          <cell r="E800" t="str">
            <v>30</v>
          </cell>
        </row>
        <row r="801">
          <cell r="B801" t="str">
            <v>2411</v>
          </cell>
          <cell r="C801" t="str">
            <v>#</v>
          </cell>
          <cell r="D801" t="str">
            <v>(株)フコク</v>
          </cell>
          <cell r="E801" t="str">
            <v>64</v>
          </cell>
        </row>
        <row r="802">
          <cell r="B802" t="str">
            <v>8021</v>
          </cell>
          <cell r="C802" t="str">
            <v>#</v>
          </cell>
          <cell r="D802" t="str">
            <v>(株)富士ｲﾝﾀﾞｽﾄﾘｰｽﾞ</v>
          </cell>
          <cell r="E802" t="str">
            <v>30</v>
          </cell>
        </row>
        <row r="803">
          <cell r="B803" t="str">
            <v>2801</v>
          </cell>
          <cell r="C803" t="str">
            <v>#</v>
          </cell>
          <cell r="D803" t="str">
            <v>フジオーゼックス(株)</v>
          </cell>
          <cell r="E803" t="str">
            <v>51</v>
          </cell>
        </row>
        <row r="804">
          <cell r="B804" t="str">
            <v>7511</v>
          </cell>
          <cell r="C804" t="str">
            <v>#</v>
          </cell>
          <cell r="D804" t="str">
            <v>富士化学塗料(株)</v>
          </cell>
          <cell r="E804" t="str">
            <v>15</v>
          </cell>
        </row>
        <row r="805">
          <cell r="B805" t="str">
            <v>5539</v>
          </cell>
          <cell r="C805" t="str">
            <v>#</v>
          </cell>
          <cell r="D805" t="str">
            <v>富士機工(株)</v>
          </cell>
          <cell r="E805" t="str">
            <v>54</v>
          </cell>
        </row>
        <row r="806">
          <cell r="B806" t="str">
            <v>9759</v>
          </cell>
          <cell r="C806" t="str">
            <v>#</v>
          </cell>
          <cell r="D806" t="str">
            <v>(協)富士金属金型ｾﾝﾀｰ</v>
          </cell>
          <cell r="E806" t="str">
            <v>30</v>
          </cell>
        </row>
        <row r="807">
          <cell r="B807" t="str">
            <v>8141</v>
          </cell>
          <cell r="C807" t="str">
            <v>#</v>
          </cell>
          <cell r="D807" t="str">
            <v>不二空機(株)</v>
          </cell>
          <cell r="E807" t="str">
            <v>30</v>
          </cell>
        </row>
        <row r="808">
          <cell r="B808" t="str">
            <v>9629</v>
          </cell>
          <cell r="C808" t="str">
            <v>#</v>
          </cell>
          <cell r="D808" t="str">
            <v>(株)富士工業</v>
          </cell>
          <cell r="E808" t="str">
            <v>30</v>
          </cell>
        </row>
        <row r="809">
          <cell r="B809" t="str">
            <v>4640</v>
          </cell>
          <cell r="C809" t="str">
            <v>#</v>
          </cell>
          <cell r="D809" t="str">
            <v>富士合成(株)</v>
          </cell>
          <cell r="E809" t="str">
            <v>62</v>
          </cell>
        </row>
        <row r="810">
          <cell r="B810" t="str">
            <v>2207</v>
          </cell>
          <cell r="C810" t="str">
            <v>#</v>
          </cell>
          <cell r="D810" t="str">
            <v>(株)不二越</v>
          </cell>
          <cell r="E810" t="str">
            <v>54</v>
          </cell>
        </row>
        <row r="811">
          <cell r="B811" t="str">
            <v>7401</v>
          </cell>
          <cell r="C811" t="str">
            <v>#</v>
          </cell>
          <cell r="D811" t="str">
            <v>(株)不二越化学製作所</v>
          </cell>
          <cell r="E811" t="str">
            <v>15</v>
          </cell>
        </row>
        <row r="812">
          <cell r="B812" t="str">
            <v>9746</v>
          </cell>
          <cell r="C812" t="str">
            <v>#</v>
          </cell>
          <cell r="D812" t="str">
            <v>藤沢市興業公社(株)</v>
          </cell>
          <cell r="E812" t="str">
            <v>30</v>
          </cell>
        </row>
        <row r="813">
          <cell r="B813" t="str">
            <v>5509</v>
          </cell>
          <cell r="C813" t="str">
            <v>#</v>
          </cell>
          <cell r="D813" t="str">
            <v>冨士自動車興業(株)</v>
          </cell>
          <cell r="E813" t="str">
            <v>54</v>
          </cell>
        </row>
        <row r="814">
          <cell r="B814" t="str">
            <v>8524</v>
          </cell>
          <cell r="C814" t="str">
            <v>#</v>
          </cell>
          <cell r="D814" t="str">
            <v>富士重工業(株)</v>
          </cell>
          <cell r="E814" t="str">
            <v>77</v>
          </cell>
        </row>
        <row r="815">
          <cell r="B815" t="str">
            <v>0050</v>
          </cell>
          <cell r="C815" t="str">
            <v>#</v>
          </cell>
          <cell r="D815" t="str">
            <v>(株)富士商会</v>
          </cell>
          <cell r="E815" t="str">
            <v>10</v>
          </cell>
        </row>
        <row r="816">
          <cell r="B816" t="str">
            <v>9670</v>
          </cell>
          <cell r="C816" t="str">
            <v>#</v>
          </cell>
          <cell r="D816" t="str">
            <v>(有)ふじ商会</v>
          </cell>
          <cell r="E816" t="str">
            <v>15</v>
          </cell>
        </row>
        <row r="817">
          <cell r="B817" t="str">
            <v>8382</v>
          </cell>
          <cell r="C817" t="str">
            <v>#</v>
          </cell>
          <cell r="D817" t="str">
            <v>(有)冨士精機製作所</v>
          </cell>
          <cell r="E817" t="str">
            <v>30</v>
          </cell>
        </row>
        <row r="818">
          <cell r="B818" t="str">
            <v>3402</v>
          </cell>
          <cell r="C818" t="str">
            <v>#</v>
          </cell>
          <cell r="D818" t="str">
            <v>富士精工(株)</v>
          </cell>
          <cell r="E818" t="str">
            <v>51</v>
          </cell>
        </row>
        <row r="819">
          <cell r="B819" t="str">
            <v>8132</v>
          </cell>
          <cell r="C819" t="str">
            <v>#</v>
          </cell>
          <cell r="D819" t="str">
            <v>富士精工(株)</v>
          </cell>
          <cell r="E819" t="str">
            <v>30</v>
          </cell>
        </row>
        <row r="820">
          <cell r="B820" t="str">
            <v>9637</v>
          </cell>
          <cell r="C820" t="str">
            <v>#</v>
          </cell>
          <cell r="D820" t="str">
            <v>富士ゼロックス(株)</v>
          </cell>
          <cell r="E820" t="str">
            <v>30</v>
          </cell>
        </row>
        <row r="821">
          <cell r="B821" t="str">
            <v>8140</v>
          </cell>
          <cell r="C821" t="str">
            <v>#</v>
          </cell>
          <cell r="D821" t="str">
            <v>富士ダイス(株)</v>
          </cell>
          <cell r="E821" t="str">
            <v>30</v>
          </cell>
        </row>
        <row r="822">
          <cell r="B822" t="str">
            <v>8245</v>
          </cell>
          <cell r="C822" t="str">
            <v>#</v>
          </cell>
          <cell r="D822" t="str">
            <v>(株)フジダイヤ</v>
          </cell>
          <cell r="E822" t="str">
            <v>30</v>
          </cell>
        </row>
        <row r="823">
          <cell r="B823" t="str">
            <v>8739</v>
          </cell>
          <cell r="C823" t="str">
            <v>#</v>
          </cell>
          <cell r="D823" t="str">
            <v>フジタ工業(株)</v>
          </cell>
          <cell r="E823" t="str">
            <v>30</v>
          </cell>
        </row>
        <row r="824">
          <cell r="B824" t="str">
            <v>8421</v>
          </cell>
          <cell r="C824" t="str">
            <v>#</v>
          </cell>
          <cell r="D824" t="str">
            <v>フジタ産業(株)</v>
          </cell>
          <cell r="E824" t="str">
            <v>30</v>
          </cell>
        </row>
        <row r="825">
          <cell r="B825" t="str">
            <v>8225</v>
          </cell>
          <cell r="C825" t="str">
            <v>#</v>
          </cell>
          <cell r="D825" t="str">
            <v>(株)藤田勝商店</v>
          </cell>
          <cell r="E825" t="str">
            <v>30</v>
          </cell>
        </row>
        <row r="826">
          <cell r="B826" t="str">
            <v>8641</v>
          </cell>
          <cell r="C826" t="str">
            <v>#</v>
          </cell>
          <cell r="D826" t="str">
            <v>富士通(株)</v>
          </cell>
          <cell r="E826" t="str">
            <v>30</v>
          </cell>
        </row>
        <row r="827">
          <cell r="B827" t="str">
            <v>9278</v>
          </cell>
          <cell r="C827" t="str">
            <v>#</v>
          </cell>
          <cell r="D827" t="str">
            <v>富士通ｻﾎﾟｰﾄｱﾝﾄﾞｻｰﾋﾞｽ(株)</v>
          </cell>
          <cell r="E827" t="str">
            <v>30</v>
          </cell>
        </row>
        <row r="828">
          <cell r="B828" t="str">
            <v>2636</v>
          </cell>
          <cell r="C828" t="str">
            <v>#</v>
          </cell>
          <cell r="D828" t="str">
            <v>富士通テン(株)</v>
          </cell>
          <cell r="E828" t="str">
            <v>62</v>
          </cell>
        </row>
        <row r="829">
          <cell r="B829" t="str">
            <v>2605</v>
          </cell>
          <cell r="C829" t="str">
            <v>#</v>
          </cell>
          <cell r="D829" t="str">
            <v>富士電化工業(株)</v>
          </cell>
          <cell r="E829" t="str">
            <v>64</v>
          </cell>
        </row>
        <row r="830">
          <cell r="B830" t="str">
            <v>8572</v>
          </cell>
          <cell r="C830" t="str">
            <v>#</v>
          </cell>
          <cell r="D830" t="str">
            <v>富士電機(株)</v>
          </cell>
          <cell r="E830" t="str">
            <v>30</v>
          </cell>
        </row>
        <row r="831">
          <cell r="B831" t="str">
            <v>8566</v>
          </cell>
          <cell r="C831" t="str">
            <v>#</v>
          </cell>
          <cell r="D831" t="str">
            <v>(株)フジマック</v>
          </cell>
          <cell r="E831" t="str">
            <v>30</v>
          </cell>
        </row>
        <row r="832">
          <cell r="B832" t="str">
            <v>8604</v>
          </cell>
          <cell r="C832" t="str">
            <v>#</v>
          </cell>
          <cell r="D832" t="str">
            <v>扶桑電通(株)</v>
          </cell>
          <cell r="E832" t="str">
            <v>30</v>
          </cell>
        </row>
        <row r="833">
          <cell r="B833" t="str">
            <v>5542</v>
          </cell>
          <cell r="C833" t="str">
            <v>#</v>
          </cell>
          <cell r="D833" t="str">
            <v>ブラザー精密工業(株)</v>
          </cell>
          <cell r="E833" t="str">
            <v>51</v>
          </cell>
        </row>
        <row r="834">
          <cell r="B834" t="str">
            <v>2101</v>
          </cell>
          <cell r="C834" t="str">
            <v>#</v>
          </cell>
          <cell r="D834" t="str">
            <v>(株)ブリヂストン</v>
          </cell>
          <cell r="E834" t="str">
            <v>54</v>
          </cell>
        </row>
        <row r="835">
          <cell r="B835" t="str">
            <v>9109</v>
          </cell>
          <cell r="C835" t="str">
            <v>#</v>
          </cell>
          <cell r="D835" t="str">
            <v>ﾌﾞﾘﾁﾞｽﾄﾝﾌﾛｰﾃｯｸ(株)</v>
          </cell>
          <cell r="E835" t="str">
            <v>64</v>
          </cell>
        </row>
        <row r="836">
          <cell r="B836" t="str">
            <v>7715</v>
          </cell>
          <cell r="C836" t="str">
            <v>#</v>
          </cell>
          <cell r="D836" t="str">
            <v>古河産業(株)</v>
          </cell>
          <cell r="E836" t="str">
            <v>30</v>
          </cell>
        </row>
        <row r="837">
          <cell r="B837" t="str">
            <v>0531</v>
          </cell>
          <cell r="C837" t="str">
            <v>#</v>
          </cell>
          <cell r="D837" t="str">
            <v>古河鋳造(株)</v>
          </cell>
          <cell r="E837" t="str">
            <v>53</v>
          </cell>
        </row>
        <row r="838">
          <cell r="B838" t="str">
            <v>0530</v>
          </cell>
          <cell r="C838" t="str">
            <v>#</v>
          </cell>
          <cell r="D838" t="str">
            <v>古河電気工業(株)</v>
          </cell>
          <cell r="E838" t="str">
            <v>62</v>
          </cell>
        </row>
        <row r="839">
          <cell r="B839" t="str">
            <v>2300</v>
          </cell>
          <cell r="C839" t="str">
            <v>#</v>
          </cell>
          <cell r="D839" t="str">
            <v>古河電池(株)</v>
          </cell>
          <cell r="E839" t="str">
            <v>62</v>
          </cell>
        </row>
        <row r="840">
          <cell r="B840" t="str">
            <v>3526</v>
          </cell>
          <cell r="C840" t="str">
            <v>#</v>
          </cell>
          <cell r="D840" t="str">
            <v>古河ユニック(株)</v>
          </cell>
          <cell r="E840" t="str">
            <v>64</v>
          </cell>
        </row>
        <row r="841">
          <cell r="B841" t="str">
            <v>8414</v>
          </cell>
          <cell r="C841" t="str">
            <v>#</v>
          </cell>
          <cell r="D841" t="str">
            <v>プレス工機(株)</v>
          </cell>
          <cell r="E841" t="str">
            <v>30</v>
          </cell>
        </row>
        <row r="842">
          <cell r="B842" t="str">
            <v>0550</v>
          </cell>
          <cell r="C842" t="str">
            <v>#</v>
          </cell>
          <cell r="D842" t="str">
            <v>プレス工業(株)</v>
          </cell>
          <cell r="E842" t="str">
            <v>64</v>
          </cell>
        </row>
        <row r="843">
          <cell r="B843" t="str">
            <v>0043</v>
          </cell>
          <cell r="C843" t="str">
            <v>#</v>
          </cell>
          <cell r="D843" t="str">
            <v>ﾍｶﾞﾈｽｼﾞｬﾊﾟﾝ(株)</v>
          </cell>
          <cell r="E843" t="str">
            <v>10</v>
          </cell>
        </row>
        <row r="844">
          <cell r="B844" t="str">
            <v>9763</v>
          </cell>
          <cell r="C844" t="str">
            <v>#</v>
          </cell>
          <cell r="D844" t="str">
            <v>ベリョーザ環衛(株)</v>
          </cell>
          <cell r="E844" t="str">
            <v>30</v>
          </cell>
        </row>
        <row r="845">
          <cell r="B845" t="str">
            <v>3043</v>
          </cell>
          <cell r="C845" t="str">
            <v>#</v>
          </cell>
          <cell r="D845" t="str">
            <v>宝栄工業(株)</v>
          </cell>
          <cell r="E845" t="str">
            <v>64</v>
          </cell>
        </row>
        <row r="846">
          <cell r="B846" t="str">
            <v>2655</v>
          </cell>
          <cell r="C846" t="str">
            <v>#</v>
          </cell>
          <cell r="D846" t="str">
            <v>(有)豊洋パーツサプライ</v>
          </cell>
          <cell r="E846" t="str">
            <v>75</v>
          </cell>
        </row>
        <row r="847">
          <cell r="B847" t="str">
            <v>9936</v>
          </cell>
          <cell r="C847" t="str">
            <v>#</v>
          </cell>
          <cell r="D847" t="str">
            <v>豊和工業(株)</v>
          </cell>
          <cell r="E847" t="str">
            <v>30</v>
          </cell>
        </row>
        <row r="848">
          <cell r="B848" t="str">
            <v>2829</v>
          </cell>
          <cell r="C848" t="str">
            <v>#</v>
          </cell>
          <cell r="D848" t="str">
            <v>豊和繊維工業(株)</v>
          </cell>
          <cell r="E848" t="str">
            <v>62</v>
          </cell>
        </row>
        <row r="849">
          <cell r="B849" t="str">
            <v>8465</v>
          </cell>
          <cell r="C849" t="str">
            <v>#</v>
          </cell>
          <cell r="D849" t="str">
            <v>ホーコス(株)</v>
          </cell>
          <cell r="E849" t="str">
            <v>30</v>
          </cell>
        </row>
        <row r="850">
          <cell r="B850" t="str">
            <v>2410</v>
          </cell>
          <cell r="C850" t="str">
            <v>#</v>
          </cell>
          <cell r="D850" t="str">
            <v>北辰工業(株)</v>
          </cell>
          <cell r="E850" t="str">
            <v>64</v>
          </cell>
        </row>
        <row r="851">
          <cell r="B851" t="str">
            <v>8463</v>
          </cell>
          <cell r="C851" t="str">
            <v>#</v>
          </cell>
          <cell r="D851" t="str">
            <v>北斗(株)</v>
          </cell>
          <cell r="E851" t="str">
            <v>30</v>
          </cell>
        </row>
        <row r="852">
          <cell r="B852" t="str">
            <v>8662</v>
          </cell>
          <cell r="C852" t="str">
            <v>#</v>
          </cell>
          <cell r="D852" t="str">
            <v>北都電機(株)</v>
          </cell>
          <cell r="E852" t="str">
            <v>30</v>
          </cell>
        </row>
        <row r="853">
          <cell r="B853" t="str">
            <v>0525</v>
          </cell>
          <cell r="C853" t="str">
            <v>#</v>
          </cell>
          <cell r="D853" t="str">
            <v>北陸工業(株)</v>
          </cell>
          <cell r="E853" t="str">
            <v>53</v>
          </cell>
        </row>
        <row r="854">
          <cell r="B854" t="str">
            <v>8595</v>
          </cell>
          <cell r="C854" t="str">
            <v>#</v>
          </cell>
          <cell r="D854" t="str">
            <v>北海道小松フォークリフト(株)</v>
          </cell>
          <cell r="E854" t="str">
            <v>30</v>
          </cell>
        </row>
        <row r="855">
          <cell r="B855" t="str">
            <v>8661</v>
          </cell>
          <cell r="C855" t="str">
            <v>#</v>
          </cell>
          <cell r="D855" t="str">
            <v>(株)北海道日立ﾋﾞｼﾞﾈｽ機器</v>
          </cell>
          <cell r="E855" t="str">
            <v>30</v>
          </cell>
        </row>
        <row r="856">
          <cell r="B856" t="str">
            <v>2510</v>
          </cell>
          <cell r="C856" t="str">
            <v>#</v>
          </cell>
          <cell r="D856" t="str">
            <v>北海バネ(株)</v>
          </cell>
          <cell r="E856" t="str">
            <v>64</v>
          </cell>
        </row>
        <row r="857">
          <cell r="B857" t="str">
            <v>9441</v>
          </cell>
          <cell r="C857" t="str">
            <v>#</v>
          </cell>
          <cell r="D857" t="str">
            <v>ボッシュ(株)</v>
          </cell>
          <cell r="E857" t="str">
            <v>51</v>
          </cell>
        </row>
        <row r="858">
          <cell r="B858" t="str">
            <v>7629</v>
          </cell>
          <cell r="C858" t="str">
            <v>#</v>
          </cell>
          <cell r="D858" t="str">
            <v>保土谷ｱｼｭﾗﾝﾄﾞ(株)</v>
          </cell>
          <cell r="E858" t="str">
            <v>15</v>
          </cell>
        </row>
        <row r="859">
          <cell r="B859" t="str">
            <v>8700</v>
          </cell>
          <cell r="C859" t="str">
            <v>#</v>
          </cell>
          <cell r="D859" t="str">
            <v>(株)堀野工務店</v>
          </cell>
          <cell r="E859" t="str">
            <v>30</v>
          </cell>
        </row>
        <row r="860">
          <cell r="B860" t="str">
            <v>3550</v>
          </cell>
          <cell r="C860" t="str">
            <v>#</v>
          </cell>
          <cell r="D860" t="str">
            <v>(株)ホンダアクセス販売</v>
          </cell>
          <cell r="E860" t="str">
            <v>62</v>
          </cell>
        </row>
        <row r="861">
          <cell r="B861" t="str">
            <v>8456</v>
          </cell>
          <cell r="C861" t="str">
            <v>#</v>
          </cell>
          <cell r="D861" t="str">
            <v>ﾎﾝﾀﾞｴﾝｼﾞﾆｱﾘﾝｸﾞ(株)</v>
          </cell>
          <cell r="E861" t="str">
            <v>30</v>
          </cell>
        </row>
        <row r="862">
          <cell r="B862" t="str">
            <v>2657</v>
          </cell>
          <cell r="C862" t="str">
            <v>#</v>
          </cell>
          <cell r="D862" t="str">
            <v>(株)ホンダロック</v>
          </cell>
          <cell r="E862" t="str">
            <v>62</v>
          </cell>
        </row>
        <row r="863">
          <cell r="B863" t="str">
            <v>9765</v>
          </cell>
          <cell r="C863" t="str">
            <v>#</v>
          </cell>
          <cell r="D863" t="str">
            <v>前田建設工業(株)</v>
          </cell>
          <cell r="E863" t="str">
            <v>30</v>
          </cell>
        </row>
        <row r="864">
          <cell r="B864" t="str">
            <v>8471</v>
          </cell>
          <cell r="C864" t="str">
            <v>#</v>
          </cell>
          <cell r="D864" t="str">
            <v>(株)牧野フライス製作所</v>
          </cell>
          <cell r="E864" t="str">
            <v>30</v>
          </cell>
        </row>
        <row r="865">
          <cell r="B865" t="str">
            <v>2808</v>
          </cell>
          <cell r="C865" t="str">
            <v>#</v>
          </cell>
          <cell r="D865" t="str">
            <v>(株)マサダ製作所</v>
          </cell>
          <cell r="E865" t="str">
            <v>64</v>
          </cell>
        </row>
        <row r="866">
          <cell r="B866" t="str">
            <v>3048</v>
          </cell>
          <cell r="C866" t="str">
            <v>#</v>
          </cell>
          <cell r="D866" t="str">
            <v>(株)増田製作所</v>
          </cell>
          <cell r="E866" t="str">
            <v>54</v>
          </cell>
        </row>
        <row r="867">
          <cell r="B867" t="str">
            <v>5075</v>
          </cell>
          <cell r="C867" t="str">
            <v>#</v>
          </cell>
          <cell r="D867" t="str">
            <v>(株)増田製作所</v>
          </cell>
          <cell r="E867" t="str">
            <v>64</v>
          </cell>
        </row>
        <row r="868">
          <cell r="B868" t="str">
            <v>8442</v>
          </cell>
          <cell r="C868" t="str">
            <v>#</v>
          </cell>
          <cell r="D868" t="str">
            <v>(株)増田鉄工所</v>
          </cell>
          <cell r="E868" t="str">
            <v>30</v>
          </cell>
        </row>
        <row r="869">
          <cell r="B869" t="str">
            <v>8043</v>
          </cell>
          <cell r="C869" t="str">
            <v>#</v>
          </cell>
          <cell r="D869" t="str">
            <v>松下ｲﾝﾀｰﾃｸﾉ(株)</v>
          </cell>
          <cell r="E869" t="str">
            <v>30</v>
          </cell>
        </row>
        <row r="870">
          <cell r="B870" t="str">
            <v>2301</v>
          </cell>
          <cell r="C870" t="str">
            <v>#</v>
          </cell>
          <cell r="D870" t="str">
            <v>松下電器産業(株)</v>
          </cell>
          <cell r="E870" t="str">
            <v>62</v>
          </cell>
        </row>
        <row r="871">
          <cell r="B871" t="str">
            <v>9161</v>
          </cell>
          <cell r="C871" t="str">
            <v>#</v>
          </cell>
          <cell r="D871" t="str">
            <v>(株)松嶋造園土木</v>
          </cell>
          <cell r="E871" t="str">
            <v>30</v>
          </cell>
        </row>
        <row r="872">
          <cell r="B872" t="str">
            <v>3555</v>
          </cell>
          <cell r="C872" t="str">
            <v>#</v>
          </cell>
          <cell r="D872" t="str">
            <v>マツダ(株)</v>
          </cell>
          <cell r="E872" t="str">
            <v>51</v>
          </cell>
        </row>
        <row r="873">
          <cell r="B873" t="str">
            <v>8772</v>
          </cell>
          <cell r="C873" t="str">
            <v>#</v>
          </cell>
          <cell r="D873" t="str">
            <v>(株)松本鉄工所</v>
          </cell>
          <cell r="E873" t="str">
            <v>30</v>
          </cell>
        </row>
        <row r="874">
          <cell r="B874" t="str">
            <v>3620</v>
          </cell>
          <cell r="C874" t="str">
            <v>#</v>
          </cell>
          <cell r="D874" t="str">
            <v>マルイ工業(株)</v>
          </cell>
          <cell r="E874" t="str">
            <v>62</v>
          </cell>
        </row>
        <row r="875">
          <cell r="B875" t="str">
            <v>9218</v>
          </cell>
          <cell r="C875" t="str">
            <v>#</v>
          </cell>
          <cell r="D875" t="str">
            <v>丸運建設(株)</v>
          </cell>
          <cell r="E875" t="str">
            <v>30</v>
          </cell>
        </row>
        <row r="876">
          <cell r="B876" t="str">
            <v>9611</v>
          </cell>
          <cell r="C876" t="str">
            <v>#</v>
          </cell>
          <cell r="D876" t="str">
            <v>マルカキカイ(株)</v>
          </cell>
          <cell r="E876" t="str">
            <v>30</v>
          </cell>
        </row>
        <row r="877">
          <cell r="B877" t="str">
            <v>2622</v>
          </cell>
          <cell r="C877" t="str">
            <v>#</v>
          </cell>
          <cell r="D877" t="str">
            <v>丸子警報器(株)</v>
          </cell>
          <cell r="E877" t="str">
            <v>62</v>
          </cell>
        </row>
        <row r="878">
          <cell r="B878" t="str">
            <v>2415</v>
          </cell>
          <cell r="C878" t="str">
            <v>#</v>
          </cell>
          <cell r="D878" t="str">
            <v>丸五ゴム工業(株)</v>
          </cell>
          <cell r="E878" t="str">
            <v>64</v>
          </cell>
        </row>
        <row r="879">
          <cell r="B879" t="str">
            <v>9806</v>
          </cell>
          <cell r="C879" t="str">
            <v>#</v>
          </cell>
          <cell r="D879" t="str">
            <v>(株)丸進</v>
          </cell>
          <cell r="E879" t="str">
            <v>30</v>
          </cell>
        </row>
        <row r="880">
          <cell r="B880" t="str">
            <v>9773</v>
          </cell>
          <cell r="C880" t="str">
            <v>#</v>
          </cell>
          <cell r="D880" t="str">
            <v>マルスン(株)</v>
          </cell>
          <cell r="E880" t="str">
            <v>30</v>
          </cell>
        </row>
        <row r="881">
          <cell r="B881" t="str">
            <v>7839</v>
          </cell>
          <cell r="C881" t="str">
            <v>#</v>
          </cell>
          <cell r="D881" t="str">
            <v>(株)マルタン</v>
          </cell>
          <cell r="E881" t="str">
            <v>15</v>
          </cell>
        </row>
        <row r="882">
          <cell r="B882" t="str">
            <v>8010</v>
          </cell>
          <cell r="C882" t="str">
            <v>#</v>
          </cell>
          <cell r="D882" t="str">
            <v>丸文(株)</v>
          </cell>
          <cell r="E882" t="str">
            <v>30</v>
          </cell>
        </row>
        <row r="883">
          <cell r="B883" t="str">
            <v>0002</v>
          </cell>
          <cell r="C883" t="str">
            <v>#</v>
          </cell>
          <cell r="D883" t="str">
            <v>丸紅(株)</v>
          </cell>
          <cell r="E883" t="str">
            <v>10</v>
          </cell>
        </row>
        <row r="884">
          <cell r="B884" t="str">
            <v>7853</v>
          </cell>
          <cell r="C884" t="str">
            <v>#</v>
          </cell>
          <cell r="D884" t="str">
            <v>丸紅ソリューション(株)</v>
          </cell>
          <cell r="E884" t="str">
            <v>30</v>
          </cell>
        </row>
        <row r="885">
          <cell r="B885" t="str">
            <v>3105</v>
          </cell>
          <cell r="C885" t="str">
            <v>#</v>
          </cell>
          <cell r="D885" t="str">
            <v>マルヤス工業(株）</v>
          </cell>
          <cell r="E885" t="str">
            <v>54</v>
          </cell>
        </row>
        <row r="886">
          <cell r="B886" t="str">
            <v>5516</v>
          </cell>
          <cell r="C886" t="str">
            <v>#</v>
          </cell>
          <cell r="D886" t="str">
            <v>万能工業(株)</v>
          </cell>
          <cell r="E886" t="str">
            <v>56</v>
          </cell>
        </row>
        <row r="887">
          <cell r="B887" t="str">
            <v>4608</v>
          </cell>
          <cell r="C887" t="str">
            <v>#</v>
          </cell>
          <cell r="D887" t="str">
            <v>(株)マンビン　</v>
          </cell>
          <cell r="E887" t="str">
            <v>64</v>
          </cell>
        </row>
        <row r="888">
          <cell r="B888" t="str">
            <v>2014</v>
          </cell>
          <cell r="C888" t="str">
            <v>#</v>
          </cell>
          <cell r="D888" t="str">
            <v>(株)ミクニ</v>
          </cell>
          <cell r="E888" t="str">
            <v>62</v>
          </cell>
        </row>
        <row r="889">
          <cell r="B889" t="str">
            <v>8464</v>
          </cell>
          <cell r="C889" t="str">
            <v>#</v>
          </cell>
          <cell r="D889" t="str">
            <v>ミクロン精密(株)</v>
          </cell>
          <cell r="E889" t="str">
            <v>30</v>
          </cell>
        </row>
        <row r="890">
          <cell r="B890" t="str">
            <v>8419</v>
          </cell>
          <cell r="C890" t="str">
            <v>#</v>
          </cell>
          <cell r="D890" t="str">
            <v>水谷精器工業(株)</v>
          </cell>
          <cell r="E890" t="str">
            <v>30</v>
          </cell>
        </row>
        <row r="891">
          <cell r="B891" t="str">
            <v>9632</v>
          </cell>
          <cell r="C891" t="str">
            <v>#</v>
          </cell>
          <cell r="D891" t="str">
            <v>(株)ミスミ</v>
          </cell>
          <cell r="E891" t="str">
            <v>30</v>
          </cell>
        </row>
        <row r="892">
          <cell r="B892" t="str">
            <v>8103</v>
          </cell>
          <cell r="C892" t="str">
            <v>#</v>
          </cell>
          <cell r="D892" t="str">
            <v>三井金属鉱業(株)</v>
          </cell>
          <cell r="E892" t="str">
            <v>62</v>
          </cell>
        </row>
        <row r="893">
          <cell r="B893" t="str">
            <v>4645</v>
          </cell>
          <cell r="C893" t="str">
            <v>#</v>
          </cell>
          <cell r="D893" t="str">
            <v>三池工業(株)</v>
          </cell>
          <cell r="E893" t="str">
            <v>64</v>
          </cell>
        </row>
        <row r="894">
          <cell r="B894" t="str">
            <v>0071</v>
          </cell>
          <cell r="C894" t="str">
            <v>#</v>
          </cell>
          <cell r="D894" t="str">
            <v>三井石油化学工業(株)</v>
          </cell>
          <cell r="E894" t="str">
            <v>10</v>
          </cell>
        </row>
        <row r="895">
          <cell r="B895" t="str">
            <v>0013</v>
          </cell>
          <cell r="C895" t="str">
            <v>#</v>
          </cell>
          <cell r="D895" t="str">
            <v>三井物産(株)</v>
          </cell>
          <cell r="E895" t="str">
            <v>10</v>
          </cell>
        </row>
        <row r="896">
          <cell r="B896" t="str">
            <v>9693</v>
          </cell>
          <cell r="C896" t="str">
            <v>#</v>
          </cell>
          <cell r="D896" t="str">
            <v>三井物産工作機械(株)</v>
          </cell>
          <cell r="E896" t="str">
            <v>30</v>
          </cell>
        </row>
        <row r="897">
          <cell r="B897" t="str">
            <v>2640</v>
          </cell>
          <cell r="C897" t="str">
            <v>#</v>
          </cell>
          <cell r="D897" t="str">
            <v>(株)ミツバ</v>
          </cell>
          <cell r="E897" t="str">
            <v>62</v>
          </cell>
        </row>
        <row r="898">
          <cell r="B898" t="str">
            <v>0033</v>
          </cell>
          <cell r="C898" t="str">
            <v>#</v>
          </cell>
          <cell r="D898" t="str">
            <v>三葉電興(株)</v>
          </cell>
          <cell r="E898" t="str">
            <v>15</v>
          </cell>
        </row>
        <row r="899">
          <cell r="B899" t="str">
            <v>3625</v>
          </cell>
          <cell r="C899" t="str">
            <v>#</v>
          </cell>
          <cell r="D899" t="str">
            <v>三津浜工業(株)</v>
          </cell>
          <cell r="E899" t="str">
            <v>64</v>
          </cell>
        </row>
        <row r="900">
          <cell r="B900" t="str">
            <v>5541</v>
          </cell>
          <cell r="C900" t="str">
            <v>#</v>
          </cell>
          <cell r="D900" t="str">
            <v>三菱重工業(株)</v>
          </cell>
          <cell r="E900" t="str">
            <v>51</v>
          </cell>
        </row>
        <row r="901">
          <cell r="B901" t="str">
            <v>8545</v>
          </cell>
          <cell r="C901" t="str">
            <v>#</v>
          </cell>
          <cell r="D901" t="str">
            <v>三菱商事(株) 重機部</v>
          </cell>
          <cell r="E901" t="str">
            <v>30</v>
          </cell>
        </row>
        <row r="902">
          <cell r="B902" t="str">
            <v>9457</v>
          </cell>
          <cell r="C902" t="str">
            <v>#</v>
          </cell>
          <cell r="D902" t="str">
            <v>三菱商事(株)</v>
          </cell>
          <cell r="E902" t="str">
            <v>75</v>
          </cell>
        </row>
        <row r="903">
          <cell r="B903" t="str">
            <v>8389</v>
          </cell>
          <cell r="C903" t="str">
            <v>#</v>
          </cell>
          <cell r="D903" t="str">
            <v>三菱商事工作機械(株)</v>
          </cell>
          <cell r="E903" t="str">
            <v>30</v>
          </cell>
        </row>
        <row r="904">
          <cell r="B904" t="str">
            <v>2505</v>
          </cell>
          <cell r="C904" t="str">
            <v>#</v>
          </cell>
          <cell r="D904" t="str">
            <v>三菱製鋼(株)</v>
          </cell>
          <cell r="E904" t="str">
            <v>54</v>
          </cell>
        </row>
        <row r="905">
          <cell r="B905" t="str">
            <v>2644</v>
          </cell>
          <cell r="C905" t="str">
            <v>#</v>
          </cell>
          <cell r="D905" t="str">
            <v>三菱電機(株)</v>
          </cell>
          <cell r="E905" t="str">
            <v>51</v>
          </cell>
        </row>
        <row r="906">
          <cell r="B906" t="str">
            <v>9262</v>
          </cell>
          <cell r="C906" t="str">
            <v>#</v>
          </cell>
          <cell r="D906" t="str">
            <v>三菱電線工業(株)</v>
          </cell>
          <cell r="E906" t="str">
            <v>51</v>
          </cell>
        </row>
        <row r="907">
          <cell r="B907" t="str">
            <v>2708</v>
          </cell>
          <cell r="C907" t="str">
            <v>#</v>
          </cell>
          <cell r="D907" t="str">
            <v>三菱マテリアル(株)</v>
          </cell>
          <cell r="E907" t="str">
            <v>53</v>
          </cell>
        </row>
        <row r="908">
          <cell r="B908" t="str">
            <v>2412</v>
          </cell>
          <cell r="C908" t="str">
            <v>#</v>
          </cell>
          <cell r="D908" t="str">
            <v>三ツ星ベルト(株)</v>
          </cell>
          <cell r="E908" t="str">
            <v>51</v>
          </cell>
        </row>
        <row r="909">
          <cell r="B909" t="str">
            <v>2658</v>
          </cell>
          <cell r="C909" t="str">
            <v>#</v>
          </cell>
          <cell r="D909" t="str">
            <v>水戸工業(株)</v>
          </cell>
          <cell r="E909" t="str">
            <v>64</v>
          </cell>
        </row>
        <row r="910">
          <cell r="B910" t="str">
            <v>7700</v>
          </cell>
          <cell r="C910" t="str">
            <v>#</v>
          </cell>
          <cell r="D910" t="str">
            <v>(株)ミトヨ</v>
          </cell>
          <cell r="E910" t="str">
            <v>15</v>
          </cell>
        </row>
        <row r="911">
          <cell r="B911" t="str">
            <v>9760</v>
          </cell>
          <cell r="C911" t="str">
            <v>#</v>
          </cell>
          <cell r="D911" t="str">
            <v>ミドリ安全(株)</v>
          </cell>
          <cell r="E911" t="str">
            <v>15</v>
          </cell>
        </row>
        <row r="912">
          <cell r="B912" t="str">
            <v>9710</v>
          </cell>
          <cell r="C912" t="str">
            <v>#</v>
          </cell>
          <cell r="D912" t="str">
            <v>三春工業(株)</v>
          </cell>
          <cell r="E912" t="str">
            <v>30</v>
          </cell>
        </row>
        <row r="913">
          <cell r="B913" t="str">
            <v>8377</v>
          </cell>
          <cell r="C913" t="str">
            <v>#</v>
          </cell>
          <cell r="D913" t="str">
            <v>(株)宮津製作所</v>
          </cell>
          <cell r="E913" t="str">
            <v>30</v>
          </cell>
        </row>
        <row r="914">
          <cell r="B914" t="str">
            <v>7824</v>
          </cell>
          <cell r="C914" t="str">
            <v>#</v>
          </cell>
          <cell r="D914" t="str">
            <v>武藤工業(株)</v>
          </cell>
          <cell r="E914" t="str">
            <v>30</v>
          </cell>
        </row>
        <row r="915">
          <cell r="B915" t="str">
            <v>2660</v>
          </cell>
          <cell r="C915" t="str">
            <v>#</v>
          </cell>
          <cell r="D915" t="str">
            <v>(株）村上開明堂</v>
          </cell>
          <cell r="E915" t="str">
            <v>62</v>
          </cell>
        </row>
        <row r="916">
          <cell r="B916" t="str">
            <v>8407</v>
          </cell>
          <cell r="C916" t="str">
            <v>#</v>
          </cell>
          <cell r="D916" t="str">
            <v>村田機械(株)</v>
          </cell>
          <cell r="E916" t="str">
            <v>30</v>
          </cell>
        </row>
        <row r="917">
          <cell r="B917" t="str">
            <v>8588</v>
          </cell>
          <cell r="C917" t="str">
            <v>#</v>
          </cell>
          <cell r="D917" t="str">
            <v>村田機械(株)</v>
          </cell>
          <cell r="E917" t="str">
            <v>30</v>
          </cell>
        </row>
        <row r="918">
          <cell r="B918" t="str">
            <v>2508</v>
          </cell>
          <cell r="C918" t="str">
            <v>#</v>
          </cell>
          <cell r="D918" t="str">
            <v>村田発條(株)</v>
          </cell>
          <cell r="E918" t="str">
            <v>64</v>
          </cell>
        </row>
        <row r="919">
          <cell r="B919" t="str">
            <v>8705</v>
          </cell>
          <cell r="C919" t="str">
            <v>#</v>
          </cell>
          <cell r="D919" t="str">
            <v>(株)ムラヤマ</v>
          </cell>
          <cell r="E919" t="str">
            <v>30</v>
          </cell>
        </row>
        <row r="920">
          <cell r="B920" t="str">
            <v>3028</v>
          </cell>
          <cell r="C920" t="str">
            <v>#</v>
          </cell>
          <cell r="D920" t="str">
            <v>(株)ムロｺｰﾎﾟﾚｰｼｮﾝ</v>
          </cell>
          <cell r="E920" t="str">
            <v>64</v>
          </cell>
        </row>
        <row r="921">
          <cell r="B921" t="str">
            <v>9106</v>
          </cell>
          <cell r="C921" t="str">
            <v>#</v>
          </cell>
          <cell r="D921" t="str">
            <v>明弘システック(株)</v>
          </cell>
          <cell r="E921" t="str">
            <v>30</v>
          </cell>
        </row>
        <row r="922">
          <cell r="B922" t="str">
            <v>9785</v>
          </cell>
          <cell r="C922" t="str">
            <v>#</v>
          </cell>
          <cell r="D922" t="str">
            <v>(株)明光商会</v>
          </cell>
          <cell r="E922" t="str">
            <v>30</v>
          </cell>
        </row>
        <row r="923">
          <cell r="B923" t="str">
            <v>2419</v>
          </cell>
          <cell r="C923" t="str">
            <v>#</v>
          </cell>
          <cell r="D923" t="str">
            <v>(株)明治ゴム化成</v>
          </cell>
          <cell r="E923" t="str">
            <v>64</v>
          </cell>
        </row>
        <row r="924">
          <cell r="B924" t="str">
            <v>8443</v>
          </cell>
          <cell r="C924" t="str">
            <v>#</v>
          </cell>
          <cell r="D924" t="str">
            <v>明星金属(株)</v>
          </cell>
          <cell r="E924" t="str">
            <v>30</v>
          </cell>
        </row>
        <row r="925">
          <cell r="B925" t="str">
            <v>8668</v>
          </cell>
          <cell r="C925" t="str">
            <v>#</v>
          </cell>
          <cell r="D925" t="str">
            <v>明電ｴﾝｼﾞﾆｱﾘﾝｸﾞ(株)</v>
          </cell>
          <cell r="E925" t="str">
            <v>30</v>
          </cell>
        </row>
        <row r="926">
          <cell r="B926" t="str">
            <v>2618</v>
          </cell>
          <cell r="C926" t="str">
            <v>#</v>
          </cell>
          <cell r="D926" t="str">
            <v>(株)明電舎</v>
          </cell>
          <cell r="E926" t="str">
            <v>30</v>
          </cell>
        </row>
        <row r="927">
          <cell r="B927" t="str">
            <v>5538</v>
          </cell>
          <cell r="C927" t="str">
            <v>#</v>
          </cell>
          <cell r="D927" t="str">
            <v>盟和産業(株)</v>
          </cell>
          <cell r="E927" t="str">
            <v>62</v>
          </cell>
        </row>
        <row r="928">
          <cell r="B928" t="str">
            <v>9177</v>
          </cell>
          <cell r="C928" t="str">
            <v>#</v>
          </cell>
          <cell r="D928" t="str">
            <v>明和商工(株)</v>
          </cell>
          <cell r="E928" t="str">
            <v>30</v>
          </cell>
        </row>
        <row r="929">
          <cell r="B929" t="str">
            <v>9102</v>
          </cell>
          <cell r="C929" t="str">
            <v>#</v>
          </cell>
          <cell r="D929" t="str">
            <v>(株)ﾒｼﾞｬｰﾃｯｸﾂﾙﾐ</v>
          </cell>
          <cell r="E929" t="str">
            <v>30</v>
          </cell>
        </row>
        <row r="930">
          <cell r="B930" t="str">
            <v>0578</v>
          </cell>
          <cell r="C930" t="str">
            <v>#</v>
          </cell>
          <cell r="D930" t="str">
            <v>(株)メタルアート</v>
          </cell>
          <cell r="E930" t="str">
            <v>53</v>
          </cell>
        </row>
        <row r="931">
          <cell r="B931" t="str">
            <v>3635</v>
          </cell>
          <cell r="C931" t="str">
            <v>#</v>
          </cell>
          <cell r="D931" t="str">
            <v>メトロ電装(株)</v>
          </cell>
          <cell r="E931" t="str">
            <v>62</v>
          </cell>
        </row>
        <row r="932">
          <cell r="B932" t="str">
            <v>5534</v>
          </cell>
          <cell r="C932" t="str">
            <v>#</v>
          </cell>
          <cell r="D932" t="str">
            <v>ﾒﾘﾄｰﾙ･ｵｰﾄﾓｰﾃｨﾌﾞ･ｼﾞｬﾊﾟﾝ(株)</v>
          </cell>
          <cell r="E932" t="str">
            <v>75</v>
          </cell>
        </row>
        <row r="933">
          <cell r="B933" t="str">
            <v>8459</v>
          </cell>
          <cell r="C933" t="str">
            <v>#</v>
          </cell>
          <cell r="D933" t="str">
            <v>(株)メルコ</v>
          </cell>
          <cell r="E933" t="str">
            <v>30</v>
          </cell>
        </row>
        <row r="934">
          <cell r="B934" t="str">
            <v>9514</v>
          </cell>
          <cell r="C934" t="str">
            <v>#</v>
          </cell>
          <cell r="D934" t="str">
            <v>(株)モートンニチユ</v>
          </cell>
          <cell r="E934" t="str">
            <v>75</v>
          </cell>
        </row>
        <row r="935">
          <cell r="B935" t="str">
            <v>3508</v>
          </cell>
          <cell r="C935" t="str">
            <v>#</v>
          </cell>
          <cell r="D935" t="str">
            <v>(株)モリタ</v>
          </cell>
          <cell r="E935" t="str">
            <v>64</v>
          </cell>
        </row>
        <row r="936">
          <cell r="B936" t="str">
            <v>4623</v>
          </cell>
          <cell r="C936" t="str">
            <v>#</v>
          </cell>
          <cell r="D936" t="str">
            <v>八重洲商事(株)</v>
          </cell>
          <cell r="E936" t="str">
            <v>64</v>
          </cell>
        </row>
        <row r="937">
          <cell r="B937" t="str">
            <v>0527</v>
          </cell>
          <cell r="C937" t="str">
            <v>#</v>
          </cell>
          <cell r="D937" t="str">
            <v>八木工業(株)</v>
          </cell>
          <cell r="E937" t="str">
            <v>53</v>
          </cell>
        </row>
        <row r="938">
          <cell r="B938" t="str">
            <v>0566</v>
          </cell>
          <cell r="C938" t="str">
            <v>#</v>
          </cell>
          <cell r="D938" t="str">
            <v>(株)ヤサカ研工</v>
          </cell>
          <cell r="E938" t="str">
            <v>15</v>
          </cell>
        </row>
        <row r="939">
          <cell r="B939" t="str">
            <v>9699</v>
          </cell>
          <cell r="C939" t="str">
            <v>#</v>
          </cell>
          <cell r="D939" t="str">
            <v>矢崎化工(株)</v>
          </cell>
          <cell r="E939" t="str">
            <v>30</v>
          </cell>
        </row>
        <row r="940">
          <cell r="B940" t="str">
            <v>2626</v>
          </cell>
          <cell r="C940" t="str">
            <v>#</v>
          </cell>
          <cell r="D940" t="str">
            <v>矢崎総業(株)</v>
          </cell>
          <cell r="E940" t="str">
            <v>62</v>
          </cell>
        </row>
        <row r="941">
          <cell r="B941" t="str">
            <v>3044</v>
          </cell>
          <cell r="C941" t="str">
            <v>#</v>
          </cell>
          <cell r="D941" t="str">
            <v>八千代工業(株)</v>
          </cell>
          <cell r="E941" t="str">
            <v>54</v>
          </cell>
        </row>
        <row r="942">
          <cell r="B942" t="str">
            <v>8306</v>
          </cell>
          <cell r="C942" t="str">
            <v>#</v>
          </cell>
          <cell r="D942" t="str">
            <v>八千代田産業(株)</v>
          </cell>
          <cell r="E942" t="str">
            <v>30</v>
          </cell>
        </row>
        <row r="943">
          <cell r="B943" t="str">
            <v>5032</v>
          </cell>
          <cell r="C943" t="str">
            <v>#</v>
          </cell>
          <cell r="D943" t="str">
            <v>(株)柳沢鉄工所</v>
          </cell>
          <cell r="E943" t="str">
            <v>53</v>
          </cell>
        </row>
        <row r="944">
          <cell r="B944" t="str">
            <v>9256</v>
          </cell>
          <cell r="C944" t="str">
            <v>#</v>
          </cell>
          <cell r="D944" t="str">
            <v>(株)ヤナセ</v>
          </cell>
          <cell r="E944" t="str">
            <v>64</v>
          </cell>
        </row>
        <row r="945">
          <cell r="B945" t="str">
            <v>0052</v>
          </cell>
          <cell r="C945" t="str">
            <v>#</v>
          </cell>
          <cell r="D945" t="str">
            <v>(株)矢部商店</v>
          </cell>
          <cell r="E945" t="str">
            <v>10</v>
          </cell>
        </row>
        <row r="946">
          <cell r="B946" t="str">
            <v>8355</v>
          </cell>
          <cell r="C946" t="str">
            <v>#</v>
          </cell>
          <cell r="D946" t="str">
            <v>山勝工業(株)</v>
          </cell>
          <cell r="E946" t="str">
            <v>30</v>
          </cell>
        </row>
        <row r="947">
          <cell r="B947" t="str">
            <v>3033</v>
          </cell>
          <cell r="C947" t="str">
            <v>#</v>
          </cell>
          <cell r="D947" t="str">
            <v>山川工業(株)</v>
          </cell>
          <cell r="E947" t="str">
            <v>64</v>
          </cell>
        </row>
        <row r="948">
          <cell r="B948" t="str">
            <v>9225</v>
          </cell>
          <cell r="C948" t="str">
            <v>#</v>
          </cell>
          <cell r="D948" t="str">
            <v>(株)山岸製作所</v>
          </cell>
          <cell r="E948" t="str">
            <v>53</v>
          </cell>
        </row>
        <row r="949">
          <cell r="B949" t="str">
            <v>3615</v>
          </cell>
          <cell r="C949" t="str">
            <v>#</v>
          </cell>
          <cell r="D949" t="str">
            <v>山久特殊硝子工業(株)</v>
          </cell>
          <cell r="E949" t="str">
            <v>62</v>
          </cell>
        </row>
        <row r="950">
          <cell r="B950" t="str">
            <v>8659</v>
          </cell>
          <cell r="C950" t="str">
            <v>#</v>
          </cell>
          <cell r="D950" t="str">
            <v>(株)山口電気機械工務所</v>
          </cell>
          <cell r="E950" t="str">
            <v>30</v>
          </cell>
        </row>
        <row r="951">
          <cell r="B951" t="str">
            <v>9762</v>
          </cell>
          <cell r="C951" t="str">
            <v>#</v>
          </cell>
          <cell r="D951" t="str">
            <v>山口木材(株)</v>
          </cell>
          <cell r="E951" t="str">
            <v>15</v>
          </cell>
        </row>
        <row r="952">
          <cell r="B952" t="str">
            <v>8437</v>
          </cell>
          <cell r="C952" t="str">
            <v>#</v>
          </cell>
          <cell r="D952" t="str">
            <v>ヤマコー(株)</v>
          </cell>
          <cell r="E952" t="str">
            <v>30</v>
          </cell>
        </row>
        <row r="953">
          <cell r="B953" t="str">
            <v>8468</v>
          </cell>
          <cell r="C953" t="str">
            <v>#</v>
          </cell>
          <cell r="D953" t="str">
            <v>(株)ヤマザキ</v>
          </cell>
          <cell r="E953" t="str">
            <v>30</v>
          </cell>
        </row>
        <row r="954">
          <cell r="B954" t="str">
            <v>2425</v>
          </cell>
          <cell r="C954" t="str">
            <v>#</v>
          </cell>
          <cell r="D954" t="str">
            <v>山下ゴム(株)</v>
          </cell>
          <cell r="E954" t="str">
            <v>64</v>
          </cell>
        </row>
        <row r="955">
          <cell r="B955" t="str">
            <v>9272</v>
          </cell>
          <cell r="C955" t="str">
            <v>#</v>
          </cell>
          <cell r="D955" t="str">
            <v>山武計装(株)</v>
          </cell>
          <cell r="E955" t="str">
            <v>30</v>
          </cell>
        </row>
        <row r="956">
          <cell r="B956" t="str">
            <v>2642</v>
          </cell>
          <cell r="C956" t="str">
            <v>#</v>
          </cell>
          <cell r="D956" t="str">
            <v>山武ハネウエル(株)</v>
          </cell>
          <cell r="E956" t="str">
            <v>62</v>
          </cell>
        </row>
        <row r="957">
          <cell r="B957" t="str">
            <v>2811</v>
          </cell>
          <cell r="C957" t="str">
            <v>#</v>
          </cell>
          <cell r="D957" t="str">
            <v>(株)ヤマダｺｰﾎﾟﾚｰｼｮﾝ</v>
          </cell>
          <cell r="E957" t="str">
            <v>64</v>
          </cell>
        </row>
        <row r="958">
          <cell r="B958" t="str">
            <v>5547</v>
          </cell>
          <cell r="C958" t="str">
            <v>#</v>
          </cell>
          <cell r="D958" t="str">
            <v>(株）山田製作所</v>
          </cell>
          <cell r="E958" t="str">
            <v>51</v>
          </cell>
        </row>
        <row r="959">
          <cell r="B959" t="str">
            <v>3644</v>
          </cell>
          <cell r="C959" t="str">
            <v>#</v>
          </cell>
          <cell r="D959" t="str">
            <v>ヤマックス（株）</v>
          </cell>
          <cell r="E959" t="str">
            <v>62</v>
          </cell>
        </row>
        <row r="960">
          <cell r="B960" t="str">
            <v>2503</v>
          </cell>
          <cell r="C960" t="str">
            <v>#</v>
          </cell>
          <cell r="D960" t="str">
            <v>やまと工業(株)</v>
          </cell>
          <cell r="E960" t="str">
            <v>64</v>
          </cell>
        </row>
        <row r="961">
          <cell r="B961" t="str">
            <v>3037</v>
          </cell>
          <cell r="C961" t="str">
            <v>#</v>
          </cell>
          <cell r="D961" t="str">
            <v>大和工業(株)</v>
          </cell>
          <cell r="E961" t="str">
            <v>64</v>
          </cell>
        </row>
        <row r="962">
          <cell r="B962" t="str">
            <v>8386</v>
          </cell>
          <cell r="C962" t="str">
            <v>#</v>
          </cell>
          <cell r="D962" t="str">
            <v>(株)大和製作所</v>
          </cell>
          <cell r="E962" t="str">
            <v>30</v>
          </cell>
        </row>
        <row r="963">
          <cell r="B963" t="str">
            <v>3022</v>
          </cell>
          <cell r="C963" t="str">
            <v>#</v>
          </cell>
          <cell r="D963" t="str">
            <v>大和プレス(株)</v>
          </cell>
          <cell r="E963" t="str">
            <v>64</v>
          </cell>
        </row>
        <row r="964">
          <cell r="B964" t="str">
            <v>7746</v>
          </cell>
          <cell r="C964" t="str">
            <v>#</v>
          </cell>
          <cell r="D964" t="str">
            <v>(株)ヤマナカ</v>
          </cell>
          <cell r="E964" t="str">
            <v>15</v>
          </cell>
        </row>
        <row r="965">
          <cell r="B965" t="str">
            <v>8507</v>
          </cell>
          <cell r="C965" t="str">
            <v>#</v>
          </cell>
          <cell r="D965" t="str">
            <v>山村運搬機工業(株)</v>
          </cell>
          <cell r="E965" t="str">
            <v>30</v>
          </cell>
        </row>
        <row r="966">
          <cell r="B966" t="str">
            <v>8444</v>
          </cell>
          <cell r="C966" t="str">
            <v>#</v>
          </cell>
          <cell r="D966" t="str">
            <v>(株)山本製作所</v>
          </cell>
          <cell r="E966" t="str">
            <v>30</v>
          </cell>
        </row>
        <row r="967">
          <cell r="B967" t="str">
            <v>2304</v>
          </cell>
          <cell r="C967" t="str">
            <v>#</v>
          </cell>
          <cell r="D967" t="str">
            <v>(株)ﾕｱｻｺｰﾎﾟﾚｰｼｮﾝ</v>
          </cell>
          <cell r="E967" t="str">
            <v>62</v>
          </cell>
        </row>
        <row r="968">
          <cell r="B968" t="str">
            <v>3626</v>
          </cell>
          <cell r="C968" t="str">
            <v>#</v>
          </cell>
          <cell r="D968" t="str">
            <v>(株)ユーシン　</v>
          </cell>
          <cell r="E968" t="str">
            <v>62</v>
          </cell>
        </row>
        <row r="969">
          <cell r="B969" t="str">
            <v>8114</v>
          </cell>
          <cell r="C969" t="str">
            <v>#</v>
          </cell>
          <cell r="D969" t="str">
            <v>(株)ﾕｰﾃﾑﾌﾟﾚｼｼﾞｮﾝ</v>
          </cell>
          <cell r="E969" t="str">
            <v>30</v>
          </cell>
        </row>
        <row r="970">
          <cell r="B970" t="str">
            <v>8393</v>
          </cell>
          <cell r="C970" t="str">
            <v>#</v>
          </cell>
          <cell r="D970" t="str">
            <v>油科学工事(株)</v>
          </cell>
          <cell r="E970" t="str">
            <v>30</v>
          </cell>
        </row>
        <row r="971">
          <cell r="B971" t="str">
            <v>7017</v>
          </cell>
          <cell r="C971" t="str">
            <v>#</v>
          </cell>
          <cell r="D971" t="str">
            <v>ユシロ化学工業(株)</v>
          </cell>
          <cell r="E971" t="str">
            <v>15</v>
          </cell>
        </row>
        <row r="972">
          <cell r="B972" t="str">
            <v>2805</v>
          </cell>
          <cell r="C972" t="str">
            <v>#</v>
          </cell>
          <cell r="D972" t="str">
            <v>輸送機工業(株)</v>
          </cell>
          <cell r="E972" t="str">
            <v>54</v>
          </cell>
        </row>
        <row r="973">
          <cell r="B973" t="str">
            <v>2511</v>
          </cell>
          <cell r="C973" t="str">
            <v>#</v>
          </cell>
          <cell r="D973" t="str">
            <v>(株)ユタカ技研</v>
          </cell>
          <cell r="E973" t="str">
            <v>54</v>
          </cell>
        </row>
        <row r="974">
          <cell r="B974" t="str">
            <v>8445</v>
          </cell>
          <cell r="C974" t="str">
            <v>#</v>
          </cell>
          <cell r="D974" t="str">
            <v>豊ハイテック(株)</v>
          </cell>
          <cell r="E974" t="str">
            <v>30</v>
          </cell>
        </row>
        <row r="975">
          <cell r="B975" t="str">
            <v>5537</v>
          </cell>
          <cell r="C975" t="str">
            <v>#</v>
          </cell>
          <cell r="D975" t="str">
            <v>(株)ユニシアジェックス</v>
          </cell>
          <cell r="E975" t="str">
            <v>51</v>
          </cell>
        </row>
        <row r="976">
          <cell r="B976" t="str">
            <v>2418</v>
          </cell>
          <cell r="C976" t="str">
            <v>#</v>
          </cell>
          <cell r="D976" t="str">
            <v>ユニッタ(株)</v>
          </cell>
          <cell r="E976" t="str">
            <v>51</v>
          </cell>
        </row>
        <row r="977">
          <cell r="B977" t="str">
            <v>9279</v>
          </cell>
          <cell r="C977" t="str">
            <v>#</v>
          </cell>
          <cell r="D977" t="str">
            <v>横河電機(株)</v>
          </cell>
          <cell r="E977" t="str">
            <v>30</v>
          </cell>
        </row>
        <row r="978">
          <cell r="B978" t="str">
            <v>9230</v>
          </cell>
          <cell r="C978" t="str">
            <v>#</v>
          </cell>
          <cell r="D978" t="str">
            <v>ヨコキ(株)</v>
          </cell>
          <cell r="E978" t="str">
            <v>30</v>
          </cell>
        </row>
        <row r="979">
          <cell r="B979" t="str">
            <v>8135</v>
          </cell>
          <cell r="C979" t="str">
            <v>#</v>
          </cell>
          <cell r="D979" t="str">
            <v>ヨコタ工業(株)</v>
          </cell>
          <cell r="E979" t="str">
            <v>30</v>
          </cell>
        </row>
        <row r="980">
          <cell r="B980" t="str">
            <v>9686</v>
          </cell>
          <cell r="C980" t="str">
            <v>#</v>
          </cell>
          <cell r="D980" t="str">
            <v>(株)ヨコハマ機工</v>
          </cell>
          <cell r="E980" t="str">
            <v>30</v>
          </cell>
        </row>
        <row r="981">
          <cell r="B981" t="str">
            <v>2100</v>
          </cell>
          <cell r="C981" t="str">
            <v>#</v>
          </cell>
          <cell r="D981" t="str">
            <v>横浜ゴム(株)</v>
          </cell>
          <cell r="E981" t="str">
            <v>54</v>
          </cell>
        </row>
        <row r="982">
          <cell r="B982" t="str">
            <v>8276</v>
          </cell>
          <cell r="C982" t="str">
            <v>#</v>
          </cell>
          <cell r="D982" t="str">
            <v>ﾖｺﾊﾏｺﾞﾑ工業品北海道販売(株)</v>
          </cell>
          <cell r="E982" t="str">
            <v>30</v>
          </cell>
        </row>
        <row r="983">
          <cell r="B983" t="str">
            <v>5064</v>
          </cell>
          <cell r="C983" t="str">
            <v>#</v>
          </cell>
          <cell r="D983" t="str">
            <v>(株)横浜産業商会</v>
          </cell>
          <cell r="E983" t="str">
            <v>64</v>
          </cell>
        </row>
        <row r="984">
          <cell r="B984" t="str">
            <v>3540</v>
          </cell>
          <cell r="C984" t="str">
            <v>#</v>
          </cell>
          <cell r="D984" t="str">
            <v>横浜車輛工業(株)</v>
          </cell>
          <cell r="E984" t="str">
            <v>64</v>
          </cell>
        </row>
        <row r="985">
          <cell r="B985" t="str">
            <v>8451</v>
          </cell>
          <cell r="C985" t="str">
            <v>#</v>
          </cell>
          <cell r="D985" t="str">
            <v>(有)横浜造基</v>
          </cell>
          <cell r="E985" t="str">
            <v>30</v>
          </cell>
        </row>
        <row r="986">
          <cell r="B986" t="str">
            <v>2417</v>
          </cell>
          <cell r="C986" t="str">
            <v>#</v>
          </cell>
          <cell r="D986" t="str">
            <v>横浜ハイデックス(株)</v>
          </cell>
          <cell r="E986" t="str">
            <v>64</v>
          </cell>
        </row>
        <row r="987">
          <cell r="B987" t="str">
            <v>7001</v>
          </cell>
          <cell r="C987" t="str">
            <v>#</v>
          </cell>
          <cell r="D987" t="str">
            <v>横浜米油(株)</v>
          </cell>
          <cell r="E987" t="str">
            <v>15</v>
          </cell>
        </row>
        <row r="988">
          <cell r="B988" t="str">
            <v>8672</v>
          </cell>
          <cell r="C988" t="str">
            <v>#</v>
          </cell>
          <cell r="D988" t="str">
            <v>(株)横山工業所</v>
          </cell>
          <cell r="E988" t="str">
            <v>30</v>
          </cell>
        </row>
        <row r="989">
          <cell r="B989" t="str">
            <v>8243</v>
          </cell>
          <cell r="C989" t="str">
            <v>#</v>
          </cell>
          <cell r="D989" t="str">
            <v>(株)ヨネイ</v>
          </cell>
          <cell r="E989" t="str">
            <v>30</v>
          </cell>
        </row>
        <row r="990">
          <cell r="B990" t="str">
            <v>3036</v>
          </cell>
          <cell r="C990" t="str">
            <v>#</v>
          </cell>
          <cell r="D990" t="str">
            <v>(株)ヨロズ</v>
          </cell>
          <cell r="E990" t="str">
            <v>64</v>
          </cell>
        </row>
        <row r="991">
          <cell r="B991" t="str">
            <v>2704</v>
          </cell>
          <cell r="C991" t="str">
            <v>#</v>
          </cell>
          <cell r="D991" t="str">
            <v>(株)ライフエレックス</v>
          </cell>
          <cell r="E991" t="str">
            <v>64</v>
          </cell>
        </row>
        <row r="992">
          <cell r="B992" t="str">
            <v>9507</v>
          </cell>
          <cell r="C992" t="str">
            <v>#</v>
          </cell>
          <cell r="D992" t="str">
            <v>ラビナル(株)</v>
          </cell>
          <cell r="E992" t="str">
            <v>75</v>
          </cell>
        </row>
        <row r="993">
          <cell r="B993" t="str">
            <v>7005</v>
          </cell>
          <cell r="C993" t="str">
            <v>#</v>
          </cell>
          <cell r="D993" t="str">
            <v>陸運油脂産業(株)</v>
          </cell>
          <cell r="E993" t="str">
            <v>15</v>
          </cell>
        </row>
        <row r="994">
          <cell r="B994" t="str">
            <v>8559</v>
          </cell>
          <cell r="C994" t="str">
            <v>#</v>
          </cell>
          <cell r="D994" t="str">
            <v>(株)リケン</v>
          </cell>
          <cell r="E994" t="str">
            <v>51</v>
          </cell>
        </row>
        <row r="995">
          <cell r="B995" t="str">
            <v>0575</v>
          </cell>
          <cell r="C995" t="str">
            <v>#</v>
          </cell>
          <cell r="D995" t="str">
            <v>理研鍛造(株)</v>
          </cell>
          <cell r="E995" t="str">
            <v>51</v>
          </cell>
        </row>
        <row r="996">
          <cell r="B996" t="str">
            <v>8397</v>
          </cell>
          <cell r="C996" t="str">
            <v>#</v>
          </cell>
          <cell r="D996" t="str">
            <v>(株)リコーキハラ</v>
          </cell>
          <cell r="E996" t="str">
            <v>30</v>
          </cell>
        </row>
        <row r="997">
          <cell r="B997" t="str">
            <v>2021</v>
          </cell>
          <cell r="C997" t="str">
            <v>#</v>
          </cell>
          <cell r="D997" t="str">
            <v>(株)リズム</v>
          </cell>
          <cell r="E997" t="str">
            <v>54</v>
          </cell>
        </row>
        <row r="998">
          <cell r="B998" t="str">
            <v>2645</v>
          </cell>
          <cell r="C998" t="str">
            <v>#</v>
          </cell>
          <cell r="D998" t="str">
            <v>リズム時計工業(株)</v>
          </cell>
          <cell r="E998" t="str">
            <v>62</v>
          </cell>
        </row>
        <row r="999">
          <cell r="B999" t="str">
            <v>8006</v>
          </cell>
          <cell r="C999" t="str">
            <v>#</v>
          </cell>
          <cell r="D999" t="str">
            <v>リッカーマン(株)</v>
          </cell>
          <cell r="E999" t="str">
            <v>30</v>
          </cell>
        </row>
        <row r="1000">
          <cell r="B1000" t="str">
            <v>8256</v>
          </cell>
          <cell r="C1000" t="str">
            <v>#</v>
          </cell>
          <cell r="D1000" t="str">
            <v>(株)菱光社</v>
          </cell>
          <cell r="E1000" t="str">
            <v>30</v>
          </cell>
        </row>
        <row r="1001">
          <cell r="B1001" t="str">
            <v>8260</v>
          </cell>
          <cell r="C1001" t="str">
            <v>#</v>
          </cell>
          <cell r="D1001" t="str">
            <v>(株)菱興社</v>
          </cell>
          <cell r="E1001" t="str">
            <v>30</v>
          </cell>
        </row>
        <row r="1002">
          <cell r="B1002" t="str">
            <v>5067</v>
          </cell>
          <cell r="C1002" t="str">
            <v>#</v>
          </cell>
          <cell r="D1002" t="str">
            <v>菱電商事(株)</v>
          </cell>
          <cell r="E1002" t="str">
            <v>30</v>
          </cell>
        </row>
        <row r="1003">
          <cell r="B1003" t="str">
            <v>7046</v>
          </cell>
          <cell r="C1003" t="str">
            <v>#</v>
          </cell>
          <cell r="D1003" t="str">
            <v>両毛丸善(株)</v>
          </cell>
          <cell r="E1003" t="str">
            <v>15</v>
          </cell>
        </row>
        <row r="1004">
          <cell r="B1004" t="str">
            <v>8415</v>
          </cell>
          <cell r="C1004" t="str">
            <v>#</v>
          </cell>
          <cell r="D1004" t="str">
            <v>リョービ(株)</v>
          </cell>
          <cell r="E1004" t="str">
            <v>53</v>
          </cell>
        </row>
        <row r="1005">
          <cell r="B1005" t="str">
            <v>9812</v>
          </cell>
          <cell r="C1005" t="str">
            <v>#</v>
          </cell>
          <cell r="D1005" t="str">
            <v>(株)リライアンス</v>
          </cell>
          <cell r="E1005" t="str">
            <v>15</v>
          </cell>
        </row>
        <row r="1006">
          <cell r="B1006" t="str">
            <v>9202</v>
          </cell>
          <cell r="C1006" t="str">
            <v>#</v>
          </cell>
          <cell r="D1006" t="str">
            <v>ルードルフ商会(株)</v>
          </cell>
          <cell r="E1006" t="str">
            <v>30</v>
          </cell>
        </row>
        <row r="1007">
          <cell r="B1007" t="str">
            <v>8016</v>
          </cell>
          <cell r="C1007" t="str">
            <v>#</v>
          </cell>
          <cell r="D1007" t="str">
            <v>レイボルド(株)</v>
          </cell>
          <cell r="E1007" t="str">
            <v>30</v>
          </cell>
        </row>
        <row r="1008">
          <cell r="B1008" t="str">
            <v>9550</v>
          </cell>
          <cell r="C1008" t="str">
            <v>#</v>
          </cell>
          <cell r="D1008" t="str">
            <v>(株)れいめい</v>
          </cell>
          <cell r="E1008" t="str">
            <v>30</v>
          </cell>
        </row>
        <row r="1009">
          <cell r="B1009" t="str">
            <v>9513</v>
          </cell>
          <cell r="C1009" t="str">
            <v>#</v>
          </cell>
          <cell r="D1009" t="str">
            <v>レカロ(株)</v>
          </cell>
          <cell r="E1009" t="str">
            <v>75</v>
          </cell>
        </row>
        <row r="1010">
          <cell r="B1010" t="str">
            <v>8369</v>
          </cell>
          <cell r="C1010" t="str">
            <v>#</v>
          </cell>
          <cell r="D1010" t="str">
            <v>碌々産業(株)</v>
          </cell>
          <cell r="E1010" t="str">
            <v>30</v>
          </cell>
        </row>
        <row r="1011">
          <cell r="B1011" t="str">
            <v>8590</v>
          </cell>
          <cell r="C1011" t="str">
            <v>#</v>
          </cell>
          <cell r="D1011" t="str">
            <v>(株)ﾜｰﾙﾄﾞ･ﾜｲﾄﾞ商会</v>
          </cell>
          <cell r="E1011" t="str">
            <v>30</v>
          </cell>
        </row>
        <row r="1012">
          <cell r="B1012" t="str">
            <v>8017</v>
          </cell>
          <cell r="C1012" t="str">
            <v>#</v>
          </cell>
          <cell r="D1012" t="str">
            <v>ＹＫＴ(株)</v>
          </cell>
          <cell r="E1012" t="str">
            <v>30</v>
          </cell>
        </row>
        <row r="1013">
          <cell r="B1013" t="str">
            <v>8430</v>
          </cell>
          <cell r="C1013" t="str">
            <v>#</v>
          </cell>
          <cell r="D1013" t="str">
            <v>(株)ＹＰＫ</v>
          </cell>
          <cell r="E1013" t="str">
            <v>30</v>
          </cell>
        </row>
        <row r="1014">
          <cell r="B1014" t="str">
            <v>5548</v>
          </cell>
          <cell r="C1014" t="str">
            <v>#</v>
          </cell>
          <cell r="D1014" t="str">
            <v>和興産業(株)</v>
          </cell>
          <cell r="E1014" t="str">
            <v>51</v>
          </cell>
        </row>
        <row r="1015">
          <cell r="B1015" t="str">
            <v>9270</v>
          </cell>
          <cell r="C1015" t="str">
            <v>#</v>
          </cell>
          <cell r="D1015" t="str">
            <v>ワシマイヤー(株)</v>
          </cell>
          <cell r="E1015" t="str">
            <v>54</v>
          </cell>
        </row>
        <row r="1016">
          <cell r="B1016" t="str">
            <v>7204</v>
          </cell>
          <cell r="C1016" t="str">
            <v>#</v>
          </cell>
          <cell r="D1016" t="str">
            <v>(株)渡商会</v>
          </cell>
          <cell r="E1016" t="str">
            <v>15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算結果"/>
      <sheetName val="入力シート"/>
      <sheetName val="グラフ"/>
      <sheetName val="グラフの説明"/>
      <sheetName val="計算方法の説明"/>
      <sheetName val="マクロ"/>
      <sheetName val="マクロ２"/>
      <sheetName val="発注書"/>
      <sheetName val="ﾜｲﾌﾞﾙ： HEO T.BELT（00.09.09)"/>
      <sheetName val="Vehicle Number"/>
      <sheetName val="ﾜｲﾌﾞﾙ：_HEO_T_BELT（00_09_09)"/>
      <sheetName val="Vehicle_Number"/>
      <sheetName val="2002"/>
      <sheetName val="Unit Price 96"/>
      <sheetName val="CORONA"/>
      <sheetName val="KIJANG"/>
      <sheetName val="PROD-TF"/>
      <sheetName val="COST"/>
      <sheetName val="B実部ﾃｽﾄ別工数"/>
      <sheetName val="名簿データ"/>
      <sheetName val="Comparision"/>
      <sheetName val="2005"/>
      <sheetName val="選酋表"/>
      <sheetName val="ﾜｲﾌﾞﾙ_ HEO T.BELT（00.09.09)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2TUP"/>
      <sheetName val="Production"/>
      <sheetName val="(旧)LIST"/>
      <sheetName val="ValidationData"/>
      <sheetName val="BODY"/>
      <sheetName val="FINAL"/>
      <sheetName val="Menu_Detail"/>
      <sheetName val="集計用"/>
      <sheetName val="HYO"/>
      <sheetName val="Bid_Sheet"/>
      <sheetName val="集計結果"/>
      <sheetName val="DB"/>
      <sheetName val="Wt"/>
      <sheetName val="Fiel List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Annual Sales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ISO_250"/>
      <sheetName val="LVMAY"/>
      <sheetName val="ﾕｰｻﾞｰ設定"/>
      <sheetName val="เติม"/>
      <sheetName val="FixedAsset05&amp;06"/>
      <sheetName val="MCF CELL 1"/>
      <sheetName val="A-K研車型"/>
      <sheetName val="summary"/>
      <sheetName val="M1"/>
      <sheetName val="KD化損失"/>
      <sheetName val="Cash Flow - CY Workings"/>
      <sheetName val="MC3(main)"/>
      <sheetName val="MC1"/>
      <sheetName val="List"/>
      <sheetName val="Actual"/>
      <sheetName val="00年9月"/>
      <sheetName val="投資明細"/>
      <sheetName val="CE MT"/>
      <sheetName val="Present"/>
      <sheetName val="Macro1"/>
      <sheetName val="137#04-UB__"/>
      <sheetName val="EPKPS60A"/>
      <sheetName val="Corolla Gas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Wvð"/>
      <sheetName val="HärQ"/>
      <sheetName val="SMALL"/>
      <sheetName val="SPEC LIST"/>
      <sheetName val="96・(・・)"/>
      <sheetName val="Unit Price"/>
      <sheetName val="¶Yäàó"/>
      <sheetName val="#REF"/>
      <sheetName val="ﾌﾟﾛﾄ_P772分解5号機"/>
      <sheetName val="工数比較２"/>
      <sheetName val="Shipping (input by bank)"/>
      <sheetName val="日程"/>
      <sheetName val="Report IN-Out"/>
      <sheetName val="PRE"/>
      <sheetName val="ELF"/>
      <sheetName val="Report for CCD-Dec.05"/>
      <sheetName val="Cash_Flow_-_CY_Workings"/>
      <sheetName val="CE_MT"/>
      <sheetName val="Report_IN-Out"/>
      <sheetName val="Vehicle_Number2"/>
      <sheetName val="ﾜｲﾌﾞﾙ：_HEO_T_BELT（00_09_09)2"/>
      <sheetName val="Unit_Price_961"/>
      <sheetName val="ﾜｲﾌﾞﾙ__HEO_T_BELT（00_09_09)2"/>
      <sheetName val="PJ別_31"/>
      <sheetName val="PJ別_21"/>
      <sheetName val="PJ別_11"/>
      <sheetName val="Fiel_List1"/>
      <sheetName val="190BODY_EMATRIX1"/>
      <sheetName val="TYPE_OF_ASSET(CANCEL)1"/>
      <sheetName val="Annual_Production1"/>
      <sheetName val="Part_List1"/>
      <sheetName val="COST_O_K_1"/>
      <sheetName val="RR_DOOR_MODIFY1"/>
      <sheetName val="Annual_Sales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MCF_CELL_11"/>
      <sheetName val="Cash_Flow_-_CY_Workings1"/>
      <sheetName val="CE_MT1"/>
      <sheetName val="Report_IN-Out1"/>
      <sheetName val="CC"/>
      <sheetName val="SALES"/>
      <sheetName val="FCR 2013"/>
      <sheetName val="得意先ﾗｲﾝ別生産台数"/>
      <sheetName val="TC"/>
      <sheetName val="EG"/>
      <sheetName val="TM"/>
      <sheetName val="MACH"/>
      <sheetName val="ﾜｲﾌﾞﾙ：_HEO_T_BELT（00_09_09)3"/>
      <sheetName val="Vehicle_Number3"/>
      <sheetName val="Unit_Price_962"/>
      <sheetName val="ﾜｲﾌﾞﾙ__HEO_T_BELT（00_09_09)3"/>
      <sheetName val="PJ別_32"/>
      <sheetName val="PJ別_22"/>
      <sheetName val="PJ別_12"/>
      <sheetName val="Fiel_List2"/>
      <sheetName val="190BODY_EMATRIX2"/>
      <sheetName val="TYPE_OF_ASSET(CANCEL)2"/>
      <sheetName val="Annual_Production2"/>
      <sheetName val="Part_List2"/>
      <sheetName val="COST_O_K_2"/>
      <sheetName val="RR_DOOR_MODIFY2"/>
      <sheetName val="Annual_Sales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MCF_CELL_12"/>
      <sheetName val="Cash_Flow_-_CY_Workings2"/>
      <sheetName val="CE_MT2"/>
      <sheetName val="Report_IN-Out2"/>
      <sheetName val="Corolla_Gas"/>
      <sheetName val="SPEC_LIST"/>
      <sheetName val="Unit_Price"/>
      <sheetName val="Shipping_(input_by_bank)"/>
      <sheetName val="Report_for_CCD-Dec_05"/>
      <sheetName val="BudgetCurrent"/>
      <sheetName val="BudgetPrior"/>
      <sheetName val="InputCurrent"/>
      <sheetName val="InputPrior"/>
      <sheetName val="1-C,D,E"/>
      <sheetName val="CE AT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シート"/>
      <sheetName val="計算結果"/>
      <sheetName val="グラフ"/>
      <sheetName val="グラフの説明"/>
      <sheetName val="計算方法の説明"/>
      <sheetName val="2005"/>
      <sheetName val="PROD-TF"/>
      <sheetName val="発注書"/>
      <sheetName val="(旧)LIST"/>
      <sheetName val="選酋表"/>
      <sheetName val="COST"/>
      <sheetName val="ﾜｲﾌﾞﾙ： HEO T.BELT（00.09.09)"/>
      <sheetName val="ValidationData"/>
      <sheetName val="名簿データ"/>
      <sheetName val="BODY"/>
      <sheetName val="FINAL"/>
      <sheetName val="Vehicle Number"/>
      <sheetName val="ﾜｲﾌﾞﾙ_ HEO T.BELT（00.09.09)"/>
      <sheetName val="Menu_Detail"/>
      <sheetName val="M1"/>
      <sheetName val="Annual Sales"/>
      <sheetName val="HYO"/>
      <sheetName val="マクロ"/>
      <sheetName val="マクロ２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2TUP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Fiel List"/>
      <sheetName val="ISO_250"/>
      <sheetName val="LVMAY"/>
      <sheetName val="ﾕｰｻﾞｰ設定"/>
      <sheetName val="เติม"/>
      <sheetName val="FixedAsset05&amp;06"/>
      <sheetName val="集計結果"/>
      <sheetName val="B実部ﾃｽﾄ別工数"/>
      <sheetName val="MCF CELL 1"/>
      <sheetName val="A-K研車型"/>
      <sheetName val="summary"/>
      <sheetName val="ﾜｲﾌﾞﾙ：_HEO_T_BELT（00_09_09)"/>
      <sheetName val="Vehicle_Number"/>
      <sheetName val="Present"/>
      <sheetName val="2002"/>
      <sheetName val="Unit Price 96"/>
      <sheetName val="CORONA"/>
      <sheetName val="KIJANG"/>
      <sheetName val="Comparision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Production"/>
      <sheetName val="集計用"/>
      <sheetName val="Macro1"/>
      <sheetName val="137#04-UB__"/>
      <sheetName val="Corolla Gas"/>
      <sheetName val="EPKPS60A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DB"/>
      <sheetName val="Wt"/>
      <sheetName val="Bid_Sheet"/>
      <sheetName val="KD化損失"/>
      <sheetName val="日程"/>
      <sheetName val=" IB-PL-YTD"/>
      <sheetName val="Prm"/>
      <sheetName val="ข้อมูลดิบ"/>
      <sheetName val="Pln Pdt"/>
      <sheetName val="list"/>
      <sheetName val="SPEC LIST"/>
      <sheetName val="FC"/>
      <sheetName val="TIRE読み替え表"/>
      <sheetName val="190BODY EMA_x0004_RIX"/>
      <sheetName val="Annual Prod_x0005_ction"/>
      <sheetName val="RR DOOR MOD_x0001_FY"/>
      <sheetName val="Purchase Or_x0004_er"/>
      <sheetName val="PT技検0085-34_x0007_P1"/>
      <sheetName val="cash flow 1"/>
      <sheetName val="PARAMETRES"/>
      <sheetName val="進め方"/>
      <sheetName val="TC"/>
      <sheetName val="EG"/>
      <sheetName val="TM"/>
      <sheetName val="MACH"/>
      <sheetName val="4m_28apr09"/>
      <sheetName val="投資明細"/>
      <sheetName val="ﾜｲﾌﾞﾙ：_HEO_T_BELT（00_09_09)2"/>
      <sheetName val="Vehicle_Number2"/>
      <sheetName val="ﾜｲﾌﾞﾙ__HEO_T_BELT（00_09_09)2"/>
      <sheetName val="Annual_Sales1"/>
      <sheetName val="190BODY_EMATRIX1"/>
      <sheetName val="TYPE_OF_ASSET(CANCEL)1"/>
      <sheetName val="Annual_Production1"/>
      <sheetName val="Part_List1"/>
      <sheetName val="COST_O_K_1"/>
      <sheetName val="RR_DOOR_MODIFY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Fiel_List1"/>
      <sheetName val="MCF_CELL_11"/>
      <sheetName val="Unit_Price_961"/>
      <sheetName val="PJ別_31"/>
      <sheetName val="PJ別_21"/>
      <sheetName val="PJ別_11"/>
      <sheetName val="Corolla_Gas"/>
      <sheetName val="_IB-PL-YTD"/>
      <sheetName val="Pln_Pdt"/>
      <sheetName val="SPEC_LIST"/>
      <sheetName val="190BODY_EMARIX"/>
      <sheetName val="Annual_Prodction"/>
      <sheetName val="RR_DOOR_MODFY"/>
      <sheetName val="Purchase_Orer"/>
      <sheetName val="PT技検0085-34P1"/>
      <sheetName val="cash_flow_1"/>
      <sheetName val="ﾜｲﾌﾞﾙ：_HEO_T_BELT（00_09_09)3"/>
      <sheetName val="Vehicle_Number3"/>
      <sheetName val="ﾜｲﾌﾞﾙ__HEO_T_BELT（00_09_09)3"/>
      <sheetName val="Annual_Sales2"/>
      <sheetName val="190BODY_EMATRIX2"/>
      <sheetName val="TYPE_OF_ASSET(CANCEL)2"/>
      <sheetName val="Annual_Production2"/>
      <sheetName val="Part_List2"/>
      <sheetName val="COST_O_K_2"/>
      <sheetName val="RR_DOOR_MODIFY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Fiel_List2"/>
      <sheetName val="MCF_CELL_12"/>
      <sheetName val="Unit_Price_962"/>
      <sheetName val="PJ別_32"/>
      <sheetName val="PJ別_22"/>
      <sheetName val="PJ別_12"/>
      <sheetName val="Corolla_Gas1"/>
      <sheetName val="_IB-PL-YTD1"/>
      <sheetName val="Pln_Pdt1"/>
      <sheetName val="SPEC_LIST1"/>
      <sheetName val="cash_flow_11"/>
      <sheetName val="MC3(main)"/>
      <sheetName val="MC1"/>
      <sheetName val="190BODY EMA_x005f_x0004_RIX"/>
      <sheetName val="Annual Prod_x005f_x0005_ction"/>
      <sheetName val="RR DOOR MOD_x005f_x0001_FY"/>
      <sheetName val="Purchase Or_x005f_x0004_er"/>
      <sheetName val="PT技検0085-34_x005f_x0007_P1"/>
      <sheetName val="CC"/>
      <sheetName val="SALES"/>
      <sheetName val="ﾜｲﾌﾞﾙ：_HEO_T_BELT（00_09_09)4"/>
      <sheetName val="Vehicle_Number4"/>
      <sheetName val="ﾜｲﾌﾞﾙ__HEO_T_BELT（00_09_09)4"/>
      <sheetName val="Annual_Sales3"/>
      <sheetName val="190BODY_EMATRIX3"/>
      <sheetName val="TYPE_OF_ASSET(CANCEL)3"/>
      <sheetName val="Annual_Production3"/>
      <sheetName val="Part_List3"/>
      <sheetName val="COST_O_K_3"/>
      <sheetName val="RR_DOOR_MODIFY3"/>
      <sheetName val="Table_Master3"/>
      <sheetName val="Purchase_Order3"/>
      <sheetName val="Customize_Your_Purchase_Order3"/>
      <sheetName val="I190_Requirement___CGO3"/>
      <sheetName val="I190_Requirement___NGR3"/>
      <sheetName val="G_Van_-_Price_Build_up3"/>
      <sheetName val="_IBPL00013"/>
      <sheetName val="Fiel_List3"/>
      <sheetName val="MCF_CELL_13"/>
      <sheetName val="Unit_Price_963"/>
      <sheetName val="PJ別_33"/>
      <sheetName val="PJ別_23"/>
      <sheetName val="PJ別_13"/>
      <sheetName val="Corolla_Gas2"/>
      <sheetName val="_IB-PL-YTD2"/>
      <sheetName val="Pln_Pdt2"/>
      <sheetName val="SPEC_LIST2"/>
      <sheetName val="cash_flow_12"/>
      <sheetName val="ﾜｲﾌﾞﾙ：_HEO_T_BELT（00_09_09)5"/>
      <sheetName val="Vehicle_Number5"/>
      <sheetName val="ﾜｲﾌﾞﾙ__HEO_T_BELT（00_09_09)5"/>
      <sheetName val="Annual_Sales4"/>
      <sheetName val="190BODY_EMATRIX4"/>
      <sheetName val="TYPE_OF_ASSET(CANCEL)4"/>
      <sheetName val="Annual_Production4"/>
      <sheetName val="Part_List4"/>
      <sheetName val="COST_O_K_4"/>
      <sheetName val="RR_DOOR_MODIFY4"/>
      <sheetName val="Table_Master4"/>
      <sheetName val="Purchase_Order4"/>
      <sheetName val="Customize_Your_Purchase_Order4"/>
      <sheetName val="I190_Requirement___CGO4"/>
      <sheetName val="I190_Requirement___NGR4"/>
      <sheetName val="G_Van_-_Price_Build_up4"/>
      <sheetName val="_IBPL00014"/>
      <sheetName val="Fiel_List4"/>
      <sheetName val="MCF_CELL_14"/>
      <sheetName val="Unit_Price_964"/>
      <sheetName val="PJ別_34"/>
      <sheetName val="PJ別_24"/>
      <sheetName val="PJ別_14"/>
      <sheetName val="Corolla_Gas3"/>
      <sheetName val="_IB-PL-YTD3"/>
      <sheetName val="Pln_Pdt3"/>
      <sheetName val="SPEC_LIST3"/>
      <sheetName val="cash_flow_13"/>
      <sheetName val="SOI_Base"/>
      <sheetName val="ﾜｲﾌﾞﾙ：_HEO_T_BELT（00_09_09)6"/>
      <sheetName val="Vehicle_Number6"/>
      <sheetName val="ﾜｲﾌﾞﾙ__HEO_T_BELT（00_09_09)6"/>
      <sheetName val="Annual_Sales5"/>
      <sheetName val="190BODY_EMATRIX5"/>
      <sheetName val="TYPE_OF_ASSET(CANCEL)5"/>
      <sheetName val="Annual_Production5"/>
      <sheetName val="Part_List5"/>
      <sheetName val="COST_O_K_5"/>
      <sheetName val="RR_DOOR_MODIFY5"/>
      <sheetName val="Table_Master5"/>
      <sheetName val="Purchase_Order5"/>
      <sheetName val="Customize_Your_Purchase_Order5"/>
      <sheetName val="I190_Requirement___CGO5"/>
      <sheetName val="I190_Requirement___NGR5"/>
      <sheetName val="G_Van_-_Price_Build_up5"/>
      <sheetName val="_IBPL00015"/>
      <sheetName val="Fiel_List5"/>
      <sheetName val="MCF_CELL_15"/>
      <sheetName val="Unit_Price_965"/>
      <sheetName val="PJ別_35"/>
      <sheetName val="PJ別_25"/>
      <sheetName val="PJ別_15"/>
      <sheetName val="Corolla_Gas4"/>
      <sheetName val="_IB-PL-YTD4"/>
      <sheetName val="Pln_Pdt4"/>
      <sheetName val="SPEC_LIST4"/>
      <sheetName val="cash_flow_14"/>
      <sheetName val="ﾜｲﾌﾞﾙ：_HEO_T_BELT（00_09_09)7"/>
      <sheetName val="Vehicle_Number7"/>
      <sheetName val="ﾜｲﾌﾞﾙ__HEO_T_BELT（00_09_09)7"/>
      <sheetName val="Annual_Sales6"/>
      <sheetName val="190BODY_EMATRIX6"/>
      <sheetName val="TYPE_OF_ASSET(CANCEL)6"/>
      <sheetName val="Annual_Production6"/>
      <sheetName val="Part_List6"/>
      <sheetName val="COST_O_K_6"/>
      <sheetName val="RR_DOOR_MODIFY6"/>
      <sheetName val="Table_Master6"/>
      <sheetName val="Purchase_Order6"/>
      <sheetName val="Customize_Your_Purchase_Order6"/>
      <sheetName val="I190_Requirement___CGO6"/>
      <sheetName val="I190_Requirement___NGR6"/>
      <sheetName val="G_Van_-_Price_Build_up6"/>
      <sheetName val="_IBPL00016"/>
      <sheetName val="Fiel_List6"/>
      <sheetName val="MCF_CELL_16"/>
      <sheetName val="Unit_Price_966"/>
      <sheetName val="PJ別_36"/>
      <sheetName val="PJ別_26"/>
      <sheetName val="PJ別_16"/>
      <sheetName val="Corolla_Gas5"/>
      <sheetName val="_IB-PL-YTD5"/>
      <sheetName val="Pln_Pdt5"/>
      <sheetName val="SPEC_LIST5"/>
      <sheetName val="cash_flow_15"/>
      <sheetName val="ﾜｲﾌﾞﾙ：_HEO_T_BELT（00_09_09)8"/>
      <sheetName val="Vehicle_Number8"/>
      <sheetName val="ﾜｲﾌﾞﾙ__HEO_T_BELT（00_09_09)8"/>
      <sheetName val="Annual_Sales7"/>
      <sheetName val="190BODY_EMATRIX7"/>
      <sheetName val="TYPE_OF_ASSET(CANCEL)7"/>
      <sheetName val="Annual_Production7"/>
      <sheetName val="Part_List7"/>
      <sheetName val="COST_O_K_7"/>
      <sheetName val="RR_DOOR_MODIFY7"/>
      <sheetName val="Table_Master7"/>
      <sheetName val="Purchase_Order7"/>
      <sheetName val="Customize_Your_Purchase_Order7"/>
      <sheetName val="I190_Requirement___CGO7"/>
      <sheetName val="I190_Requirement___NGR7"/>
      <sheetName val="G_Van_-_Price_Build_up7"/>
      <sheetName val="_IBPL00017"/>
      <sheetName val="Fiel_List7"/>
      <sheetName val="MCF_CELL_17"/>
      <sheetName val="Unit_Price_967"/>
      <sheetName val="PJ別_37"/>
      <sheetName val="PJ別_27"/>
      <sheetName val="PJ別_17"/>
      <sheetName val="Corolla_Gas6"/>
      <sheetName val="_IB-PL-YTD6"/>
      <sheetName val="Pln_Pdt6"/>
      <sheetName val="SPEC_LIST6"/>
      <sheetName val="cash_flow_16"/>
      <sheetName val="ﾜｲﾌﾞﾙ：_HEO_T_BELT（00_09_09)11"/>
      <sheetName val="Vehicle_Number11"/>
      <sheetName val="ﾜｲﾌﾞﾙ__HEO_T_BELT（00_09_09)11"/>
      <sheetName val="Annual_Sales10"/>
      <sheetName val="190BODY_EMATRIX10"/>
      <sheetName val="TYPE_OF_ASSET(CANCEL)10"/>
      <sheetName val="Annual_Production10"/>
      <sheetName val="Part_List10"/>
      <sheetName val="COST_O_K_10"/>
      <sheetName val="RR_DOOR_MODIFY10"/>
      <sheetName val="Table_Master10"/>
      <sheetName val="Purchase_Order10"/>
      <sheetName val="Customize_Your_Purchase_Order10"/>
      <sheetName val="I190_Requirement___CGO10"/>
      <sheetName val="I190_Requirement___NGR10"/>
      <sheetName val="G_Van_-_Price_Build_up10"/>
      <sheetName val="_IBPL000110"/>
      <sheetName val="Fiel_List10"/>
      <sheetName val="MCF_CELL_110"/>
      <sheetName val="Unit_Price_9610"/>
      <sheetName val="PJ別_310"/>
      <sheetName val="PJ別_210"/>
      <sheetName val="PJ別_110"/>
      <sheetName val="Corolla_Gas9"/>
      <sheetName val="_IB-PL-YTD9"/>
      <sheetName val="Pln_Pdt9"/>
      <sheetName val="SPEC_LIST9"/>
      <sheetName val="cash_flow_19"/>
      <sheetName val="ﾜｲﾌﾞﾙ：_HEO_T_BELT（00_09_09)9"/>
      <sheetName val="Vehicle_Number9"/>
      <sheetName val="ﾜｲﾌﾞﾙ__HEO_T_BELT（00_09_09)9"/>
      <sheetName val="Annual_Sales8"/>
      <sheetName val="190BODY_EMATRIX8"/>
      <sheetName val="TYPE_OF_ASSET(CANCEL)8"/>
      <sheetName val="Annual_Production8"/>
      <sheetName val="Part_List8"/>
      <sheetName val="COST_O_K_8"/>
      <sheetName val="RR_DOOR_MODIFY8"/>
      <sheetName val="Table_Master8"/>
      <sheetName val="Purchase_Order8"/>
      <sheetName val="Customize_Your_Purchase_Order8"/>
      <sheetName val="I190_Requirement___CGO8"/>
      <sheetName val="I190_Requirement___NGR8"/>
      <sheetName val="G_Van_-_Price_Build_up8"/>
      <sheetName val="_IBPL00018"/>
      <sheetName val="Fiel_List8"/>
      <sheetName val="MCF_CELL_18"/>
      <sheetName val="Unit_Price_968"/>
      <sheetName val="PJ別_38"/>
      <sheetName val="PJ別_28"/>
      <sheetName val="PJ別_18"/>
      <sheetName val="Corolla_Gas7"/>
      <sheetName val="_IB-PL-YTD7"/>
      <sheetName val="Pln_Pdt7"/>
      <sheetName val="SPEC_LIST7"/>
      <sheetName val="cash_flow_17"/>
      <sheetName val="ﾜｲﾌﾞﾙ：_HEO_T_BELT（00_09_09)10"/>
      <sheetName val="Vehicle_Number10"/>
      <sheetName val="ﾜｲﾌﾞﾙ__HEO_T_BELT（00_09_09)10"/>
      <sheetName val="Annual_Sales9"/>
      <sheetName val="190BODY_EMATRIX9"/>
      <sheetName val="TYPE_OF_ASSET(CANCEL)9"/>
      <sheetName val="Annual_Production9"/>
      <sheetName val="Part_List9"/>
      <sheetName val="COST_O_K_9"/>
      <sheetName val="RR_DOOR_MODIFY9"/>
      <sheetName val="Table_Master9"/>
      <sheetName val="Purchase_Order9"/>
      <sheetName val="Customize_Your_Purchase_Order9"/>
      <sheetName val="I190_Requirement___CGO9"/>
      <sheetName val="I190_Requirement___NGR9"/>
      <sheetName val="G_Van_-_Price_Build_up9"/>
      <sheetName val="_IBPL00019"/>
      <sheetName val="Fiel_List9"/>
      <sheetName val="MCF_CELL_19"/>
      <sheetName val="Unit_Price_969"/>
      <sheetName val="PJ別_39"/>
      <sheetName val="PJ別_29"/>
      <sheetName val="PJ別_19"/>
      <sheetName val="Corolla_Gas8"/>
      <sheetName val="_IB-PL-YTD8"/>
      <sheetName val="Pln_Pdt8"/>
      <sheetName val="SPEC_LIST8"/>
      <sheetName val="cash_flow_18"/>
      <sheetName val="ﾜｲﾌﾞﾙ：_HEO_T_BELT（00_09_09)12"/>
      <sheetName val="Vehicle_Number12"/>
      <sheetName val="ﾜｲﾌﾞﾙ__HEO_T_BELT（00_09_09)12"/>
      <sheetName val="Annual_Sales11"/>
      <sheetName val="190BODY_EMATRIX11"/>
      <sheetName val="TYPE_OF_ASSET(CANCEL)11"/>
      <sheetName val="Annual_Production11"/>
      <sheetName val="Part_List11"/>
      <sheetName val="COST_O_K_11"/>
      <sheetName val="RR_DOOR_MODIFY11"/>
      <sheetName val="Table_Master11"/>
      <sheetName val="Purchase_Order11"/>
      <sheetName val="Customize_Your_Purchase_Order11"/>
      <sheetName val="I190_Requirement___CGO11"/>
      <sheetName val="I190_Requirement___NGR11"/>
      <sheetName val="G_Van_-_Price_Build_up11"/>
      <sheetName val="_IBPL000111"/>
      <sheetName val="Fiel_List11"/>
      <sheetName val="MCF_CELL_111"/>
      <sheetName val="Unit_Price_9611"/>
      <sheetName val="PJ別_311"/>
      <sheetName val="PJ別_211"/>
      <sheetName val="PJ別_111"/>
      <sheetName val="Corolla_Gas10"/>
      <sheetName val="_IB-PL-YTD10"/>
      <sheetName val="Pln_Pdt10"/>
      <sheetName val="SPEC_LIST10"/>
      <sheetName val="cash_flow_110"/>
      <sheetName val="190BODY_EMA_x005f_x0004_RIX"/>
      <sheetName val="Annual_Prod_x005f_x0005_ction"/>
      <sheetName val="RR_DOOR_MOD_x005f_x0001_FY"/>
      <sheetName val="Purchase_Or_x005f_x0004_er"/>
      <sheetName val="ﾜｲﾌﾞﾙ：_HEO_T_BELT（00_09_09)13"/>
      <sheetName val="Vehicle_Number13"/>
      <sheetName val="ﾜｲﾌﾞﾙ__HEO_T_BELT（00_09_09)13"/>
      <sheetName val="Annual_Sales12"/>
      <sheetName val="190BODY_EMATRIX12"/>
      <sheetName val="TYPE_OF_ASSET(CANCEL)12"/>
      <sheetName val="Annual_Production12"/>
      <sheetName val="Part_List12"/>
      <sheetName val="COST_O_K_12"/>
      <sheetName val="RR_DOOR_MODIFY12"/>
      <sheetName val="Table_Master12"/>
      <sheetName val="Purchase_Order12"/>
      <sheetName val="Customize_Your_Purchase_Order12"/>
      <sheetName val="I190_Requirement___CGO12"/>
      <sheetName val="I190_Requirement___NGR12"/>
      <sheetName val="G_Van_-_Price_Build_up12"/>
      <sheetName val="_IBPL000112"/>
      <sheetName val="Fiel_List12"/>
      <sheetName val="MCF_CELL_112"/>
      <sheetName val="Unit_Price_9612"/>
      <sheetName val="PJ別_312"/>
      <sheetName val="PJ別_212"/>
      <sheetName val="PJ別_112"/>
      <sheetName val="Corolla_Gas11"/>
      <sheetName val="_IB-PL-YTD11"/>
      <sheetName val="Pln_Pdt11"/>
      <sheetName val="SPEC_LIST11"/>
      <sheetName val="cash_flow_111"/>
      <sheetName val="190BODY_EMA_x005f_x0004_RIX1"/>
      <sheetName val="Annual_Prod_x005f_x0005_ction1"/>
      <sheetName val="RR_DOOR_MOD_x005f_x0001_FY1"/>
      <sheetName val="Purchase_Or_x005f_x0004_er1"/>
      <sheetName val="ﾜｲﾌﾞﾙ：_HEO_T_BELT（00_09_09)14"/>
      <sheetName val="Vehicle_Number14"/>
      <sheetName val="ﾜｲﾌﾞﾙ__HEO_T_BELT（00_09_09)14"/>
      <sheetName val="Annual_Sales13"/>
      <sheetName val="190BODY_EMATRIX13"/>
      <sheetName val="TYPE_OF_ASSET(CANCEL)13"/>
      <sheetName val="Annual_Production13"/>
      <sheetName val="Part_List13"/>
      <sheetName val="COST_O_K_13"/>
      <sheetName val="RR_DOOR_MODIFY13"/>
      <sheetName val="Table_Master13"/>
      <sheetName val="Purchase_Order13"/>
      <sheetName val="Customize_Your_Purchase_Order13"/>
      <sheetName val="I190_Requirement___CGO13"/>
      <sheetName val="I190_Requirement___NGR13"/>
      <sheetName val="G_Van_-_Price_Build_up13"/>
      <sheetName val="_IBPL000113"/>
      <sheetName val="Fiel_List13"/>
      <sheetName val="MCF_CELL_113"/>
      <sheetName val="Unit_Price_9613"/>
      <sheetName val="PJ別_313"/>
      <sheetName val="PJ別_213"/>
      <sheetName val="PJ別_113"/>
      <sheetName val="Corolla_Gas12"/>
      <sheetName val="_IB-PL-YTD12"/>
      <sheetName val="Pln_Pdt12"/>
      <sheetName val="SPEC_LIST12"/>
      <sheetName val="cash_flow_112"/>
      <sheetName val="190BODY_EMA_x005f_x0004_RIX2"/>
      <sheetName val="Annual_Prod_x005f_x0005_ction2"/>
      <sheetName val="RR_DOOR_MOD_x005f_x0001_FY2"/>
      <sheetName val="Purchase_Or_x005f_x0004_er2"/>
      <sheetName val=""/>
      <sheetName val="ﾜｲﾌﾞﾙ：_HEO_T_BELT（00_09_09)15"/>
      <sheetName val="Vehicle_Number15"/>
      <sheetName val="ﾜｲﾌﾞﾙ__HEO_T_BELT（00_09_09)15"/>
      <sheetName val="Annual_Sales14"/>
      <sheetName val="190BODY_EMATRIX14"/>
      <sheetName val="TYPE_OF_ASSET(CANCEL)14"/>
      <sheetName val="Annual_Production14"/>
      <sheetName val="Part_List14"/>
      <sheetName val="COST_O_K_14"/>
      <sheetName val="RR_DOOR_MODIFY14"/>
      <sheetName val="Table_Master14"/>
      <sheetName val="Purchase_Order14"/>
      <sheetName val="Customize_Your_Purchase_Order14"/>
      <sheetName val="I190_Requirement___CGO14"/>
      <sheetName val="I190_Requirement___NGR14"/>
      <sheetName val="G_Van_-_Price_Build_up14"/>
      <sheetName val="_IBPL000114"/>
      <sheetName val="Fiel_List14"/>
      <sheetName val="MCF_CELL_114"/>
      <sheetName val="Unit_Price_9614"/>
      <sheetName val="PJ別_314"/>
      <sheetName val="PJ別_214"/>
      <sheetName val="PJ別_114"/>
      <sheetName val="Corolla_Gas13"/>
      <sheetName val="_IB-PL-YTD13"/>
      <sheetName val="Pln_Pdt13"/>
      <sheetName val="SPEC_LIST13"/>
      <sheetName val="cash_flow_113"/>
      <sheetName val="190BODY_EMA_x005f_x0004_RIX3"/>
      <sheetName val="Annual_Prod_x005f_x0005_ction3"/>
      <sheetName val="RR_DOOR_MOD_x005f_x0001_FY3"/>
      <sheetName val="Purchase_Or_x005f_x0004_er3"/>
      <sheetName val="ﾜｲﾌﾞﾙ：_HEO_T_BELT（00_09_09)16"/>
      <sheetName val="Vehicle_Number16"/>
      <sheetName val="ﾜｲﾌﾞﾙ__HEO_T_BELT（00_09_09)16"/>
      <sheetName val="Annual_Sales15"/>
      <sheetName val="190BODY_EMATRIX15"/>
      <sheetName val="TYPE_OF_ASSET(CANCEL)15"/>
      <sheetName val="Annual_Production15"/>
      <sheetName val="Part_List15"/>
      <sheetName val="COST_O_K_15"/>
      <sheetName val="RR_DOOR_MODIFY15"/>
      <sheetName val="Table_Master15"/>
      <sheetName val="Purchase_Order15"/>
      <sheetName val="Customize_Your_Purchase_Order15"/>
      <sheetName val="I190_Requirement___CGO15"/>
      <sheetName val="I190_Requirement___NGR15"/>
      <sheetName val="G_Van_-_Price_Build_up15"/>
      <sheetName val="_IBPL000115"/>
      <sheetName val="Fiel_List15"/>
      <sheetName val="MCF_CELL_115"/>
      <sheetName val="Unit_Price_9615"/>
      <sheetName val="PJ別_315"/>
      <sheetName val="PJ別_215"/>
      <sheetName val="PJ別_115"/>
      <sheetName val="Corolla_Gas14"/>
      <sheetName val="_IB-PL-YTD14"/>
      <sheetName val="Pln_Pdt14"/>
      <sheetName val="SPEC_LIST14"/>
      <sheetName val="cash_flow_114"/>
      <sheetName val="190BODY_EMA_x005f_x0004_RIX4"/>
      <sheetName val="Annual_Prod_x005f_x0005_ction4"/>
      <sheetName val="RR_DOOR_MOD_x005f_x0001_FY4"/>
      <sheetName val="Purchase_Or_x005f_x0004_er4"/>
      <sheetName val="Sheet1"/>
      <sheetName val="CE MT"/>
      <sheetName val="check 5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1TAPRtt"/>
      <sheetName val="PROD-TF"/>
      <sheetName val="original1"/>
      <sheetName val="original2"/>
      <sheetName val="Monthly1"/>
      <sheetName val="Monthly2"/>
      <sheetName val="Summary"/>
      <sheetName val="BODY"/>
      <sheetName val="FINAL"/>
      <sheetName val="(旧)LIST"/>
      <sheetName val="CoilspringReceived"/>
      <sheetName val="DeliverySchedule"/>
      <sheetName val="計算結果"/>
      <sheetName val="名簿データ"/>
      <sheetName val="CC"/>
      <sheetName val="SALES"/>
      <sheetName val="Data"/>
      <sheetName val="ALL  Item (11-5-15) (3)"/>
      <sheetName val="ALL  Item (11-5-15) (2)"/>
      <sheetName val="CoilspringDetails"/>
    </sheetNames>
    <sheetDataSet>
      <sheetData sheetId="0" refreshError="1">
        <row r="4">
          <cell r="B4" t="str">
            <v>HCL(1)</v>
          </cell>
          <cell r="C4" t="str">
            <v>HCL(2)</v>
          </cell>
          <cell r="D4" t="str">
            <v>HCL(3)</v>
          </cell>
          <cell r="E4" t="str">
            <v>HCLM(1)</v>
          </cell>
          <cell r="F4" t="str">
            <v>HCLM(2)</v>
          </cell>
          <cell r="G4" t="str">
            <v>HCLM(3)</v>
          </cell>
          <cell r="H4" t="str">
            <v>HC(1)</v>
          </cell>
          <cell r="I4" t="str">
            <v>HC(2)</v>
          </cell>
          <cell r="J4" t="str">
            <v>HC(3)</v>
          </cell>
          <cell r="K4" t="str">
            <v>HCM(1)</v>
          </cell>
          <cell r="L4" t="str">
            <v>HCM(2)</v>
          </cell>
          <cell r="M4" t="str">
            <v>HCM(3)</v>
          </cell>
          <cell r="N4" t="str">
            <v>54HY(1)</v>
          </cell>
          <cell r="O4" t="str">
            <v>55HY(2)</v>
          </cell>
          <cell r="P4" t="str">
            <v>55HY(3)</v>
          </cell>
          <cell r="Q4" t="str">
            <v>54HYc(1)</v>
          </cell>
          <cell r="R4" t="str">
            <v>54HYC(2)</v>
          </cell>
          <cell r="S4" t="str">
            <v>54HYC(3)</v>
          </cell>
          <cell r="T4" t="str">
            <v>TFR54HPC(1)</v>
          </cell>
          <cell r="U4" t="str">
            <v>TFR54HPC(2)</v>
          </cell>
          <cell r="V4" t="str">
            <v>TFR54HPCM(1)</v>
          </cell>
          <cell r="W4" t="str">
            <v>TFR54HPCM(2)</v>
          </cell>
          <cell r="X4" t="str">
            <v>54HPYC(1)</v>
          </cell>
          <cell r="Y4" t="str">
            <v>54HPYC(2)</v>
          </cell>
          <cell r="Z4" t="str">
            <v>54HPYC(3)</v>
          </cell>
          <cell r="AA4" t="str">
            <v>54HPYCM(1)</v>
          </cell>
          <cell r="AB4" t="str">
            <v>54HPYCM(2)</v>
          </cell>
          <cell r="AC4" t="str">
            <v>54HPYCM(3)</v>
          </cell>
          <cell r="AD4" t="str">
            <v>TFR55HPY(1)</v>
          </cell>
          <cell r="AE4" t="str">
            <v>TFR55HPY(2)</v>
          </cell>
          <cell r="AF4" t="str">
            <v>TFR55HPY(3)</v>
          </cell>
          <cell r="AG4" t="str">
            <v>55HPYM(1)</v>
          </cell>
          <cell r="AH4" t="str">
            <v>55HPYM(2)</v>
          </cell>
          <cell r="AI4" t="str">
            <v>55HPYM(3)</v>
          </cell>
          <cell r="AJ4" t="str">
            <v>TFR55HPYT(1)</v>
          </cell>
          <cell r="AK4" t="str">
            <v>TFR55HPYT(2)</v>
          </cell>
          <cell r="AL4" t="str">
            <v>55HPYTM(1)</v>
          </cell>
          <cell r="AM4" t="str">
            <v>55HPYTM(2)</v>
          </cell>
          <cell r="AN4" t="str">
            <v>54HPYSCM(1)</v>
          </cell>
          <cell r="AO4" t="str">
            <v>54HPYSCM(2)</v>
          </cell>
          <cell r="AP4" t="str">
            <v>54HPYSCM(3)</v>
          </cell>
          <cell r="AQ4" t="str">
            <v>55HPYSM(1)</v>
          </cell>
          <cell r="AR4" t="str">
            <v>55HPYSM(2)</v>
          </cell>
          <cell r="AS4" t="str">
            <v>55HPYSM(3)</v>
          </cell>
          <cell r="AT4" t="str">
            <v>55HPYSTM(1)</v>
          </cell>
          <cell r="AU4" t="str">
            <v>55HPYSTM(2)</v>
          </cell>
          <cell r="AV4" t="str">
            <v>55HPYSTM(3)</v>
          </cell>
          <cell r="AW4" t="str">
            <v>TFS55HPY(1)</v>
          </cell>
          <cell r="AX4" t="str">
            <v>TFS55HPY(2)</v>
          </cell>
          <cell r="AY4" t="str">
            <v>TFS55HPY(3)</v>
          </cell>
          <cell r="AZ4" t="str">
            <v>55HPYM(1)</v>
          </cell>
          <cell r="BA4" t="str">
            <v>55HPYM(2)</v>
          </cell>
          <cell r="BB4" t="str">
            <v>55HPYM(3)</v>
          </cell>
          <cell r="BC4" t="str">
            <v>TFRW/W</v>
          </cell>
          <cell r="BD4" t="str">
            <v>TFRW/S</v>
          </cell>
          <cell r="BE4" t="str">
            <v>QFR54E</v>
          </cell>
          <cell r="BF4" t="str">
            <v>UBS</v>
          </cell>
          <cell r="BG4" t="str">
            <v>VTX</v>
          </cell>
        </row>
        <row r="6">
          <cell r="B6" t="str">
            <v>71,639</v>
          </cell>
        </row>
        <row r="7">
          <cell r="B7">
            <v>71639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45.669862500000001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20</v>
          </cell>
        </row>
        <row r="14">
          <cell r="B14">
            <v>14263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717</v>
          </cell>
        </row>
        <row r="19">
          <cell r="B19">
            <v>86664.669862499999</v>
          </cell>
        </row>
        <row r="20">
          <cell r="B20">
            <v>34284</v>
          </cell>
        </row>
        <row r="21">
          <cell r="B21">
            <v>65029</v>
          </cell>
        </row>
        <row r="22">
          <cell r="B22">
            <v>550</v>
          </cell>
        </row>
        <row r="23">
          <cell r="B23">
            <v>88984</v>
          </cell>
        </row>
        <row r="24">
          <cell r="B24">
            <v>275511.66986249998</v>
          </cell>
        </row>
        <row r="25">
          <cell r="B25">
            <v>308000</v>
          </cell>
        </row>
        <row r="26">
          <cell r="B26">
            <v>20149.532710280375</v>
          </cell>
        </row>
        <row r="27">
          <cell r="B27">
            <v>5000</v>
          </cell>
        </row>
        <row r="28">
          <cell r="B28">
            <v>327.10280373831773</v>
          </cell>
        </row>
        <row r="29">
          <cell r="B29">
            <v>303000</v>
          </cell>
        </row>
        <row r="30">
          <cell r="B30">
            <v>19822.429906542056</v>
          </cell>
        </row>
        <row r="31">
          <cell r="B31">
            <v>7665.9002309579519</v>
          </cell>
        </row>
        <row r="32">
          <cell r="B32">
            <v>2000</v>
          </cell>
        </row>
        <row r="33">
          <cell r="B33">
            <v>2000</v>
          </cell>
        </row>
        <row r="35">
          <cell r="B35">
            <v>5665.9002309579519</v>
          </cell>
        </row>
        <row r="36">
          <cell r="B36">
            <v>1090.7753070729168</v>
          </cell>
        </row>
        <row r="37">
          <cell r="B37">
            <v>-1686.7246929270832</v>
          </cell>
        </row>
        <row r="38">
          <cell r="B38">
            <v>2777.5</v>
          </cell>
        </row>
        <row r="39">
          <cell r="B39">
            <v>4575.1249238850351</v>
          </cell>
        </row>
        <row r="41">
          <cell r="B41">
            <v>4575.1249238850351</v>
          </cell>
        </row>
        <row r="42">
          <cell r="B42">
            <v>332900</v>
          </cell>
        </row>
        <row r="43">
          <cell r="B43">
            <v>21778.504672897197</v>
          </cell>
        </row>
        <row r="44">
          <cell r="B44">
            <v>35609.825464602793</v>
          </cell>
        </row>
        <row r="45">
          <cell r="B45">
            <v>24699.525307072916</v>
          </cell>
        </row>
        <row r="46">
          <cell r="B46">
            <v>23608.75</v>
          </cell>
        </row>
        <row r="47">
          <cell r="B47">
            <v>8910.3001575298767</v>
          </cell>
        </row>
        <row r="49">
          <cell r="B49">
            <v>26</v>
          </cell>
        </row>
        <row r="50">
          <cell r="B50">
            <v>11</v>
          </cell>
        </row>
        <row r="51">
          <cell r="B51">
            <v>13</v>
          </cell>
        </row>
        <row r="52">
          <cell r="B52">
            <v>2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4</v>
          </cell>
        </row>
        <row r="56">
          <cell r="B56">
            <v>4</v>
          </cell>
        </row>
        <row r="57">
          <cell r="B57">
            <v>3</v>
          </cell>
        </row>
        <row r="59">
          <cell r="B59">
            <v>2.3181818181818182E-2</v>
          </cell>
        </row>
        <row r="60">
          <cell r="B60">
            <v>1.5894102819990218E-2</v>
          </cell>
        </row>
        <row r="61">
          <cell r="B61">
            <v>2.8931988276704776E-2</v>
          </cell>
        </row>
        <row r="63">
          <cell r="B63">
            <v>9.2083333333333323E-2</v>
          </cell>
        </row>
        <row r="64">
          <cell r="B64">
            <v>283177.57009345794</v>
          </cell>
        </row>
        <row r="65">
          <cell r="B65">
            <v>0</v>
          </cell>
        </row>
        <row r="66">
          <cell r="B66">
            <v>283177.57009345794</v>
          </cell>
        </row>
        <row r="67">
          <cell r="B67">
            <v>311078.82009345794</v>
          </cell>
        </row>
        <row r="68">
          <cell r="B68">
            <v>332900</v>
          </cell>
        </row>
        <row r="69">
          <cell r="B69">
            <v>28992.025307072916</v>
          </cell>
        </row>
        <row r="70">
          <cell r="B70">
            <v>7.7916666666666662E-2</v>
          </cell>
        </row>
        <row r="71">
          <cell r="B71">
            <v>306786.32009345794</v>
          </cell>
        </row>
        <row r="83">
          <cell r="B83">
            <v>28992.025307072916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なまDATA"/>
      <sheetName val="DOM　VOL設定"/>
      <sheetName val="中国"/>
      <sheetName val="年次推移"/>
      <sheetName val="Table Master"/>
      <sheetName val="COST"/>
      <sheetName val="BODY"/>
      <sheetName val="FINAL"/>
      <sheetName val="FixedAsset05&amp;06"/>
      <sheetName val="計算結果"/>
      <sheetName val="Table_Master"/>
      <sheetName val="EPW 0630"/>
      <sheetName val="G Van - Price Build up"/>
      <sheetName val="名簿データ"/>
      <sheetName val="RT50 SOP EVENT ( Sep 11 onward)"/>
      <sheetName val="calculate"/>
      <sheetName val="040930中計単価(103期事計)簡易版a"/>
      <sheetName val="PROD-TF"/>
      <sheetName val="CC"/>
      <sheetName val="SALES"/>
      <sheetName val="Data"/>
      <sheetName val="2002"/>
      <sheetName val="TIRE読み替え表"/>
      <sheetName val="V6D"/>
      <sheetName val="Prm"/>
      <sheetName val="段ﾎﾞｰﾙ箱図番･荷姿ｺｰﾄﾞ"/>
      <sheetName val="96期(川崎)"/>
      <sheetName val="集計用"/>
      <sheetName val="_CONFIG-2"/>
      <sheetName val="Table"/>
      <sheetName val="#REF"/>
      <sheetName val="ELF"/>
      <sheetName val="New DYNA"/>
      <sheetName val="作業要素"/>
      <sheetName val="COCont_LINK"/>
      <sheetName val="COCont 2005.02"/>
      <sheetName val="ALL  Item (11-5-15) (3)"/>
      <sheetName val="ALL  Item (11-5-15) (2)"/>
      <sheetName val="CASHFLOW"/>
      <sheetName val="ENTRY"/>
      <sheetName val="指数比較"/>
      <sheetName val="Forecast"/>
      <sheetName val="Sheet2"/>
      <sheetName val="Stabilizer_P"/>
      <sheetName val="Stabilizer_S"/>
      <sheetName val="ISSUE"/>
      <sheetName val="DB"/>
      <sheetName val="I190 Requirement _ CGO"/>
      <sheetName val="I190 Requirement _ NGR"/>
      <sheetName val="添付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N</v>
          </cell>
          <cell r="C6" t="str">
            <v>1.N</v>
          </cell>
          <cell r="D6" t="str">
            <v>車輌</v>
          </cell>
          <cell r="E6" t="str">
            <v>車輌</v>
          </cell>
          <cell r="F6" t="str">
            <v>車輌</v>
          </cell>
          <cell r="H6">
            <v>0</v>
          </cell>
          <cell r="I6" t="str">
            <v>SUP</v>
          </cell>
          <cell r="J6">
            <v>0</v>
          </cell>
          <cell r="L6" t="str">
            <v>Org</v>
          </cell>
          <cell r="M6" t="str">
            <v>Country</v>
          </cell>
          <cell r="N6" t="str">
            <v>Grp</v>
          </cell>
          <cell r="O6" t="str">
            <v>Country</v>
          </cell>
          <cell r="P6" t="str">
            <v>ccd</v>
          </cell>
          <cell r="Q6" t="str">
            <v>Country</v>
          </cell>
          <cell r="R6" t="str">
            <v>St</v>
          </cell>
          <cell r="S6" t="str">
            <v>ccd</v>
          </cell>
          <cell r="T6" t="str">
            <v>Country</v>
          </cell>
          <cell r="U6" t="str">
            <v>地域1</v>
          </cell>
          <cell r="V6" t="str">
            <v>地域2</v>
          </cell>
          <cell r="W6" t="str">
            <v>区分</v>
          </cell>
          <cell r="X6" t="str">
            <v>ｴﾘｱ</v>
          </cell>
          <cell r="Y6" t="str">
            <v>ｴﾘｱ2</v>
          </cell>
          <cell r="Z6" t="str">
            <v>ｴﾘｱ3</v>
          </cell>
          <cell r="AA6" t="str">
            <v>ｴﾘｱ4</v>
          </cell>
        </row>
        <row r="7">
          <cell r="B7" t="str">
            <v>NHR</v>
          </cell>
          <cell r="C7" t="str">
            <v>1.N</v>
          </cell>
          <cell r="D7" t="str">
            <v>車輌</v>
          </cell>
          <cell r="E7" t="str">
            <v>車輌</v>
          </cell>
          <cell r="F7" t="str">
            <v>車輌</v>
          </cell>
          <cell r="H7">
            <v>1</v>
          </cell>
          <cell r="I7" t="str">
            <v>KD</v>
          </cell>
          <cell r="J7">
            <v>1</v>
          </cell>
          <cell r="L7">
            <v>1</v>
          </cell>
          <cell r="M7" t="str">
            <v>Japan</v>
          </cell>
          <cell r="N7">
            <v>1</v>
          </cell>
          <cell r="O7" t="str">
            <v>Japan</v>
          </cell>
          <cell r="P7">
            <v>1</v>
          </cell>
          <cell r="Q7" t="str">
            <v>Japan</v>
          </cell>
          <cell r="R7" t="str">
            <v>◎</v>
          </cell>
          <cell r="S7">
            <v>1</v>
          </cell>
          <cell r="T7" t="str">
            <v>Japan</v>
          </cell>
          <cell r="U7" t="str">
            <v>国内</v>
          </cell>
          <cell r="V7" t="str">
            <v>国内</v>
          </cell>
          <cell r="W7">
            <v>0</v>
          </cell>
          <cell r="X7" t="str">
            <v>国内</v>
          </cell>
          <cell r="Y7" t="str">
            <v>国内</v>
          </cell>
          <cell r="Z7" t="str">
            <v>国内</v>
          </cell>
          <cell r="AA7" t="str">
            <v>国内</v>
          </cell>
        </row>
        <row r="8">
          <cell r="B8" t="str">
            <v>NHR日産</v>
          </cell>
          <cell r="C8" t="str">
            <v>1.N</v>
          </cell>
          <cell r="D8" t="str">
            <v>車輌</v>
          </cell>
          <cell r="F8" t="str">
            <v>車輌</v>
          </cell>
          <cell r="H8">
            <v>2</v>
          </cell>
          <cell r="I8" t="str">
            <v>KDSET</v>
          </cell>
          <cell r="J8">
            <v>2</v>
          </cell>
          <cell r="L8">
            <v>100</v>
          </cell>
          <cell r="M8" t="str">
            <v>Oth Asia/Pacific</v>
          </cell>
          <cell r="N8">
            <v>100</v>
          </cell>
          <cell r="O8" t="str">
            <v>Oth Asia/Pacific</v>
          </cell>
          <cell r="P8">
            <v>100</v>
          </cell>
          <cell r="Q8" t="str">
            <v>Oth Asia/Pacific</v>
          </cell>
          <cell r="R8" t="str">
            <v>●</v>
          </cell>
          <cell r="S8">
            <v>100</v>
          </cell>
          <cell r="T8" t="str">
            <v>Oth Asia/Pacific</v>
          </cell>
          <cell r="U8" t="str">
            <v>一般海外</v>
          </cell>
          <cell r="V8" t="str">
            <v>ｱｼﾞｱ</v>
          </cell>
          <cell r="W8">
            <v>1</v>
          </cell>
          <cell r="X8" t="str">
            <v>ｱｼﾞｱ</v>
          </cell>
          <cell r="Y8" t="str">
            <v>ｱｼﾞｱ</v>
          </cell>
          <cell r="Z8" t="str">
            <v>一般</v>
          </cell>
          <cell r="AA8" t="str">
            <v>他ｱｼﾞｱ</v>
          </cell>
        </row>
        <row r="9">
          <cell r="B9" t="str">
            <v>NKP</v>
          </cell>
          <cell r="C9" t="str">
            <v>1.N</v>
          </cell>
          <cell r="D9" t="str">
            <v>車輌</v>
          </cell>
          <cell r="E9" t="str">
            <v>車輌</v>
          </cell>
          <cell r="F9" t="str">
            <v>車輌</v>
          </cell>
          <cell r="H9">
            <v>3</v>
          </cell>
          <cell r="I9" t="str">
            <v>COMP</v>
          </cell>
          <cell r="J9">
            <v>3</v>
          </cell>
          <cell r="L9">
            <v>110</v>
          </cell>
          <cell r="M9" t="str">
            <v>Vietnam</v>
          </cell>
          <cell r="N9">
            <v>100</v>
          </cell>
          <cell r="O9" t="str">
            <v>Oth Asia/Pacific</v>
          </cell>
          <cell r="P9">
            <v>110</v>
          </cell>
          <cell r="Q9" t="str">
            <v>Vietnam</v>
          </cell>
          <cell r="R9" t="str">
            <v>◎</v>
          </cell>
          <cell r="S9">
            <v>110</v>
          </cell>
          <cell r="T9" t="str">
            <v>Vietnam</v>
          </cell>
          <cell r="U9" t="str">
            <v>一般海外</v>
          </cell>
          <cell r="V9" t="str">
            <v>ｱｼﾞｱ</v>
          </cell>
          <cell r="W9">
            <v>1</v>
          </cell>
          <cell r="X9" t="str">
            <v>ｱｼﾞｱ</v>
          </cell>
          <cell r="Y9" t="str">
            <v>ｱｼﾞｱ</v>
          </cell>
          <cell r="Z9" t="str">
            <v>一般</v>
          </cell>
          <cell r="AA9" t="str">
            <v>他ｱｼﾞｱ</v>
          </cell>
        </row>
        <row r="10">
          <cell r="B10" t="str">
            <v>N-NG</v>
          </cell>
          <cell r="C10" t="str">
            <v>1.N</v>
          </cell>
          <cell r="D10" t="str">
            <v>車輌</v>
          </cell>
          <cell r="E10" t="str">
            <v>車輌</v>
          </cell>
          <cell r="F10" t="str">
            <v>車輌</v>
          </cell>
          <cell r="H10">
            <v>4</v>
          </cell>
          <cell r="I10" t="str">
            <v>PT</v>
          </cell>
          <cell r="J10">
            <v>4</v>
          </cell>
          <cell r="L10">
            <v>112</v>
          </cell>
          <cell r="M10" t="str">
            <v>Singapore</v>
          </cell>
          <cell r="N10">
            <v>100</v>
          </cell>
          <cell r="O10" t="str">
            <v>Oth Asia/Pacific</v>
          </cell>
          <cell r="P10">
            <v>112</v>
          </cell>
          <cell r="Q10" t="str">
            <v>Singapore</v>
          </cell>
          <cell r="R10" t="str">
            <v>X</v>
          </cell>
          <cell r="S10">
            <v>100</v>
          </cell>
          <cell r="T10" t="str">
            <v>Oth Asia/Pacific</v>
          </cell>
          <cell r="U10" t="str">
            <v>一般海外</v>
          </cell>
          <cell r="V10" t="str">
            <v>ｱｼﾞｱ</v>
          </cell>
          <cell r="W10">
            <v>1</v>
          </cell>
          <cell r="X10" t="str">
            <v>ｱｼﾞｱ</v>
          </cell>
          <cell r="Y10" t="str">
            <v>ｱｼﾞｱ</v>
          </cell>
          <cell r="Z10" t="str">
            <v>一般</v>
          </cell>
          <cell r="AA10" t="str">
            <v>他ｱｼﾞｱ</v>
          </cell>
        </row>
        <row r="11">
          <cell r="B11" t="str">
            <v>Nマツダ</v>
          </cell>
          <cell r="C11" t="str">
            <v>1.N</v>
          </cell>
          <cell r="D11" t="str">
            <v>車輌</v>
          </cell>
          <cell r="E11" t="str">
            <v>車輌</v>
          </cell>
          <cell r="F11" t="str">
            <v>車輌</v>
          </cell>
          <cell r="H11">
            <v>5</v>
          </cell>
          <cell r="I11" t="str">
            <v>部品</v>
          </cell>
          <cell r="J11">
            <v>5</v>
          </cell>
          <cell r="L11">
            <v>103</v>
          </cell>
          <cell r="M11" t="str">
            <v>R Korea</v>
          </cell>
          <cell r="N11">
            <v>100</v>
          </cell>
          <cell r="O11" t="str">
            <v>Oth Asia/Pacific</v>
          </cell>
          <cell r="P11">
            <v>100</v>
          </cell>
          <cell r="Q11" t="str">
            <v>Oth Asia/Pacific</v>
          </cell>
          <cell r="R11" t="str">
            <v>●</v>
          </cell>
          <cell r="S11">
            <v>100</v>
          </cell>
          <cell r="T11" t="str">
            <v>Oth Asia/Pacific</v>
          </cell>
          <cell r="U11" t="str">
            <v>一般海外</v>
          </cell>
          <cell r="V11" t="str">
            <v>ｱｼﾞｱ</v>
          </cell>
          <cell r="W11">
            <v>1</v>
          </cell>
          <cell r="X11" t="str">
            <v>ｱｼﾞｱ</v>
          </cell>
          <cell r="Y11" t="str">
            <v>ｱｼﾞｱ</v>
          </cell>
          <cell r="Z11" t="str">
            <v>一般</v>
          </cell>
          <cell r="AA11" t="str">
            <v>他ｱｼﾞｱ</v>
          </cell>
        </row>
        <row r="12">
          <cell r="B12" t="str">
            <v>N-マツダNG</v>
          </cell>
          <cell r="C12" t="str">
            <v>1.N</v>
          </cell>
          <cell r="D12" t="str">
            <v>車輌</v>
          </cell>
          <cell r="E12" t="str">
            <v>車輌</v>
          </cell>
          <cell r="F12" t="str">
            <v>車輌</v>
          </cell>
          <cell r="H12">
            <v>6</v>
          </cell>
          <cell r="I12" t="str">
            <v>GMｺﾝﾎﾟ</v>
          </cell>
          <cell r="J12">
            <v>6</v>
          </cell>
          <cell r="L12">
            <v>104</v>
          </cell>
          <cell r="M12" t="str">
            <v>N Korea</v>
          </cell>
          <cell r="N12">
            <v>100</v>
          </cell>
          <cell r="O12" t="str">
            <v>Oth Asia/Pacific</v>
          </cell>
          <cell r="P12">
            <v>100</v>
          </cell>
          <cell r="Q12" t="str">
            <v>Oth Asia/Pacific</v>
          </cell>
          <cell r="R12" t="str">
            <v>●</v>
          </cell>
          <cell r="S12">
            <v>100</v>
          </cell>
          <cell r="T12" t="str">
            <v>Oth Asia/Pacific</v>
          </cell>
          <cell r="U12" t="str">
            <v>一般海外</v>
          </cell>
          <cell r="V12" t="str">
            <v>ｱｼﾞｱ</v>
          </cell>
          <cell r="W12">
            <v>1</v>
          </cell>
          <cell r="X12" t="str">
            <v>ｱｼﾞｱ</v>
          </cell>
          <cell r="Y12" t="str">
            <v>ｱｼﾞｱ</v>
          </cell>
          <cell r="Z12" t="str">
            <v>一般</v>
          </cell>
          <cell r="AA12" t="str">
            <v>他ｱｼﾞｱ</v>
          </cell>
        </row>
        <row r="13">
          <cell r="B13" t="str">
            <v>N日産</v>
          </cell>
          <cell r="C13" t="str">
            <v>1.N</v>
          </cell>
          <cell r="D13" t="str">
            <v>車輌</v>
          </cell>
          <cell r="E13" t="str">
            <v>車輌</v>
          </cell>
          <cell r="F13" t="str">
            <v>車輌</v>
          </cell>
          <cell r="H13" t="str">
            <v>星馬</v>
          </cell>
          <cell r="I13" t="str">
            <v>星馬</v>
          </cell>
          <cell r="J13" t="str">
            <v>星馬</v>
          </cell>
          <cell r="L13">
            <v>107</v>
          </cell>
          <cell r="M13" t="str">
            <v>Mongol</v>
          </cell>
          <cell r="N13">
            <v>100</v>
          </cell>
          <cell r="O13" t="str">
            <v>Oth Asia/Pacific</v>
          </cell>
          <cell r="P13">
            <v>100</v>
          </cell>
          <cell r="Q13" t="str">
            <v>Oth Asia/Pacific</v>
          </cell>
          <cell r="R13" t="str">
            <v>●</v>
          </cell>
          <cell r="S13">
            <v>100</v>
          </cell>
          <cell r="T13" t="str">
            <v>Oth Asia/Pacific</v>
          </cell>
          <cell r="U13" t="str">
            <v>一般海外</v>
          </cell>
          <cell r="V13" t="str">
            <v>ｱｼﾞｱ</v>
          </cell>
          <cell r="W13">
            <v>1</v>
          </cell>
          <cell r="X13" t="str">
            <v>ｱｼﾞｱ</v>
          </cell>
          <cell r="Y13" t="str">
            <v>ｱｼﾞｱ</v>
          </cell>
          <cell r="Z13" t="str">
            <v>一般</v>
          </cell>
          <cell r="AA13" t="str">
            <v>他ｱｼﾞｱ</v>
          </cell>
        </row>
        <row r="14">
          <cell r="B14" t="str">
            <v>F</v>
          </cell>
          <cell r="C14" t="str">
            <v>2.F</v>
          </cell>
          <cell r="D14" t="str">
            <v>車輌</v>
          </cell>
          <cell r="E14" t="str">
            <v>車輌</v>
          </cell>
          <cell r="F14" t="str">
            <v>車輌</v>
          </cell>
          <cell r="H14" t="str">
            <v>上海P</v>
          </cell>
          <cell r="I14" t="str">
            <v>上海P</v>
          </cell>
          <cell r="J14" t="str">
            <v>上海P</v>
          </cell>
          <cell r="L14">
            <v>116</v>
          </cell>
          <cell r="M14" t="str">
            <v>Brunei</v>
          </cell>
          <cell r="N14">
            <v>100</v>
          </cell>
          <cell r="O14" t="str">
            <v>Oth Asia/Pacific</v>
          </cell>
          <cell r="P14">
            <v>100</v>
          </cell>
          <cell r="Q14" t="str">
            <v>Oth Asia/Pacific</v>
          </cell>
          <cell r="R14" t="str">
            <v>●</v>
          </cell>
          <cell r="S14">
            <v>100</v>
          </cell>
          <cell r="T14" t="str">
            <v>Oth Asia/Pacific</v>
          </cell>
          <cell r="U14" t="str">
            <v>一般海外</v>
          </cell>
          <cell r="V14" t="str">
            <v>ｱｼﾞｱ</v>
          </cell>
          <cell r="W14">
            <v>1</v>
          </cell>
          <cell r="X14" t="str">
            <v>ｱｼﾞｱ</v>
          </cell>
          <cell r="Y14" t="str">
            <v>ｱｼﾞｱ</v>
          </cell>
          <cell r="Z14" t="str">
            <v>一般</v>
          </cell>
          <cell r="AA14" t="str">
            <v>他ｱｼﾞｱ</v>
          </cell>
        </row>
        <row r="15">
          <cell r="B15" t="str">
            <v>F-NG</v>
          </cell>
          <cell r="C15" t="str">
            <v>2.F</v>
          </cell>
          <cell r="D15" t="str">
            <v>車輌</v>
          </cell>
          <cell r="E15" t="str">
            <v>車輌</v>
          </cell>
          <cell r="F15" t="str">
            <v>車輌</v>
          </cell>
          <cell r="H15" t="str">
            <v>Royalty</v>
          </cell>
          <cell r="I15" t="str">
            <v>Royalty</v>
          </cell>
          <cell r="J15" t="str">
            <v>Royalty</v>
          </cell>
          <cell r="L15">
            <v>120</v>
          </cell>
          <cell r="M15" t="str">
            <v>CAMBOD</v>
          </cell>
          <cell r="N15">
            <v>100</v>
          </cell>
          <cell r="O15" t="str">
            <v>Oth Asia/Pacific</v>
          </cell>
          <cell r="P15">
            <v>100</v>
          </cell>
          <cell r="Q15" t="str">
            <v>Oth Asia/Pacific</v>
          </cell>
          <cell r="R15" t="str">
            <v>●</v>
          </cell>
          <cell r="S15">
            <v>100</v>
          </cell>
          <cell r="T15" t="str">
            <v>Oth Asia/Pacific</v>
          </cell>
          <cell r="U15" t="str">
            <v>一般海外</v>
          </cell>
          <cell r="V15" t="str">
            <v>ｱｼﾞｱ</v>
          </cell>
          <cell r="W15">
            <v>1</v>
          </cell>
          <cell r="X15" t="str">
            <v>ｱｼﾞｱ</v>
          </cell>
          <cell r="Y15" t="str">
            <v>ｱｼﾞｱ</v>
          </cell>
          <cell r="Z15" t="str">
            <v>一般</v>
          </cell>
          <cell r="AA15" t="str">
            <v>他ｱｼﾞｱ</v>
          </cell>
        </row>
        <row r="16">
          <cell r="B16" t="str">
            <v>GMT-540</v>
          </cell>
          <cell r="C16" t="str">
            <v>2.F</v>
          </cell>
          <cell r="D16" t="str">
            <v>車輌</v>
          </cell>
          <cell r="E16" t="str">
            <v>車輌</v>
          </cell>
          <cell r="F16" t="str">
            <v>車輌</v>
          </cell>
          <cell r="L16">
            <v>121</v>
          </cell>
          <cell r="M16" t="str">
            <v>LAOS</v>
          </cell>
          <cell r="N16">
            <v>100</v>
          </cell>
          <cell r="O16" t="str">
            <v>Oth Asia/Pacific</v>
          </cell>
          <cell r="P16">
            <v>100</v>
          </cell>
          <cell r="Q16" t="str">
            <v>Oth Asia/Pacific</v>
          </cell>
          <cell r="R16" t="str">
            <v>●</v>
          </cell>
          <cell r="S16">
            <v>100</v>
          </cell>
          <cell r="T16" t="str">
            <v>Oth Asia/Pacific</v>
          </cell>
          <cell r="U16" t="str">
            <v>一般海外</v>
          </cell>
          <cell r="V16" t="str">
            <v>ｱｼﾞｱ</v>
          </cell>
          <cell r="W16">
            <v>1</v>
          </cell>
          <cell r="X16" t="str">
            <v>ｱｼﾞｱ</v>
          </cell>
          <cell r="Y16" t="str">
            <v>ｱｼﾞｱ</v>
          </cell>
          <cell r="Z16" t="str">
            <v>一般</v>
          </cell>
          <cell r="AA16" t="str">
            <v>他ｱｼﾞｱ</v>
          </cell>
        </row>
        <row r="17">
          <cell r="B17" t="str">
            <v>C</v>
          </cell>
          <cell r="C17" t="str">
            <v>3.C&amp;E</v>
          </cell>
          <cell r="D17" t="str">
            <v>車輌</v>
          </cell>
          <cell r="E17" t="str">
            <v>車輌</v>
          </cell>
          <cell r="F17" t="str">
            <v>車輌</v>
          </cell>
          <cell r="L17">
            <v>122</v>
          </cell>
          <cell r="M17" t="str">
            <v>MYANMAR</v>
          </cell>
          <cell r="N17">
            <v>100</v>
          </cell>
          <cell r="O17" t="str">
            <v>Oth Asia/Pacific</v>
          </cell>
          <cell r="P17">
            <v>100</v>
          </cell>
          <cell r="Q17" t="str">
            <v>Oth Asia/Pacific</v>
          </cell>
          <cell r="R17" t="str">
            <v>●</v>
          </cell>
          <cell r="S17">
            <v>100</v>
          </cell>
          <cell r="T17" t="str">
            <v>Oth Asia/Pacific</v>
          </cell>
          <cell r="U17" t="str">
            <v>一般海外</v>
          </cell>
          <cell r="V17" t="str">
            <v>ｱｼﾞｱ</v>
          </cell>
          <cell r="W17">
            <v>1</v>
          </cell>
          <cell r="X17" t="str">
            <v>ｱｼﾞｱ</v>
          </cell>
          <cell r="Y17" t="str">
            <v>ｱｼﾞｱ</v>
          </cell>
          <cell r="Z17" t="str">
            <v>一般</v>
          </cell>
          <cell r="AA17" t="str">
            <v>他ｱｼﾞｱ</v>
          </cell>
        </row>
        <row r="18">
          <cell r="B18" t="str">
            <v>C&amp;E</v>
          </cell>
          <cell r="C18" t="str">
            <v>3.C&amp;E</v>
          </cell>
          <cell r="D18" t="str">
            <v>車輌</v>
          </cell>
          <cell r="E18" t="str">
            <v>車輌</v>
          </cell>
          <cell r="F18" t="str">
            <v>車輌</v>
          </cell>
          <cell r="L18">
            <v>124</v>
          </cell>
          <cell r="M18" t="str">
            <v>PAKISTN</v>
          </cell>
          <cell r="N18">
            <v>100</v>
          </cell>
          <cell r="O18" t="str">
            <v>Oth Asia/Pacific</v>
          </cell>
          <cell r="P18">
            <v>100</v>
          </cell>
          <cell r="Q18" t="str">
            <v>Oth Asia/Pacific</v>
          </cell>
          <cell r="R18" t="str">
            <v>●</v>
          </cell>
          <cell r="S18">
            <v>100</v>
          </cell>
          <cell r="T18" t="str">
            <v>Oth Asia/Pacific</v>
          </cell>
          <cell r="U18" t="str">
            <v>一般海外</v>
          </cell>
          <cell r="V18" t="str">
            <v>ｱｼﾞｱ</v>
          </cell>
          <cell r="W18">
            <v>1</v>
          </cell>
          <cell r="X18" t="str">
            <v>ｱｼﾞｱ</v>
          </cell>
          <cell r="Y18" t="str">
            <v>ｱｼﾞｱ</v>
          </cell>
          <cell r="Z18" t="str">
            <v>一般</v>
          </cell>
          <cell r="AA18" t="str">
            <v>他ｱｼﾞｱ</v>
          </cell>
        </row>
        <row r="19">
          <cell r="B19" t="str">
            <v>E</v>
          </cell>
          <cell r="C19" t="str">
            <v>3.C&amp;E</v>
          </cell>
          <cell r="D19" t="str">
            <v>車輌</v>
          </cell>
          <cell r="E19" t="str">
            <v>車輌</v>
          </cell>
          <cell r="F19" t="str">
            <v>車輌</v>
          </cell>
          <cell r="L19">
            <v>125</v>
          </cell>
          <cell r="M19" t="str">
            <v>SRILANK</v>
          </cell>
          <cell r="N19">
            <v>100</v>
          </cell>
          <cell r="O19" t="str">
            <v>Oth Asia/Pacific</v>
          </cell>
          <cell r="P19">
            <v>100</v>
          </cell>
          <cell r="Q19" t="str">
            <v>Oth Asia/Pacific</v>
          </cell>
          <cell r="R19" t="str">
            <v>●</v>
          </cell>
          <cell r="S19">
            <v>100</v>
          </cell>
          <cell r="T19" t="str">
            <v>Oth Asia/Pacific</v>
          </cell>
          <cell r="U19" t="str">
            <v>一般海外</v>
          </cell>
          <cell r="V19" t="str">
            <v>ｱｼﾞｱ</v>
          </cell>
          <cell r="W19">
            <v>1</v>
          </cell>
          <cell r="X19" t="str">
            <v>ｱｼﾞｱ</v>
          </cell>
          <cell r="Y19" t="str">
            <v>ｱｼﾞｱ</v>
          </cell>
          <cell r="Z19" t="str">
            <v>一般</v>
          </cell>
          <cell r="AA19" t="str">
            <v>他ｱｼﾞｱ</v>
          </cell>
        </row>
        <row r="20">
          <cell r="B20" t="str">
            <v>SKW</v>
          </cell>
          <cell r="C20" t="str">
            <v>3.C&amp;E</v>
          </cell>
          <cell r="D20" t="str">
            <v>車輌</v>
          </cell>
          <cell r="E20" t="str">
            <v>車輌</v>
          </cell>
          <cell r="F20" t="str">
            <v>車輌</v>
          </cell>
          <cell r="L20">
            <v>126</v>
          </cell>
          <cell r="M20" t="str">
            <v>MALDIVE</v>
          </cell>
          <cell r="N20">
            <v>100</v>
          </cell>
          <cell r="O20" t="str">
            <v>Oth Asia/Pacific</v>
          </cell>
          <cell r="P20">
            <v>100</v>
          </cell>
          <cell r="Q20" t="str">
            <v>Oth Asia/Pacific</v>
          </cell>
          <cell r="R20" t="str">
            <v>●</v>
          </cell>
          <cell r="S20">
            <v>100</v>
          </cell>
          <cell r="T20" t="str">
            <v>Oth Asia/Pacific</v>
          </cell>
          <cell r="U20" t="str">
            <v>一般海外</v>
          </cell>
          <cell r="V20" t="str">
            <v>ｱｼﾞｱ</v>
          </cell>
          <cell r="W20">
            <v>1</v>
          </cell>
          <cell r="X20" t="str">
            <v>ｱｼﾞｱ</v>
          </cell>
          <cell r="Y20" t="str">
            <v>ｱｼﾞｱ</v>
          </cell>
          <cell r="Z20" t="str">
            <v>一般</v>
          </cell>
          <cell r="AA20" t="str">
            <v>他ｱｼﾞｱ</v>
          </cell>
        </row>
        <row r="21">
          <cell r="B21" t="str">
            <v>BUS</v>
          </cell>
          <cell r="C21" t="str">
            <v>4.BUS</v>
          </cell>
          <cell r="D21" t="str">
            <v>車輌</v>
          </cell>
          <cell r="E21" t="str">
            <v>車輌</v>
          </cell>
          <cell r="F21" t="str">
            <v>車輌</v>
          </cell>
          <cell r="L21">
            <v>127</v>
          </cell>
          <cell r="M21" t="str">
            <v>BANGLA</v>
          </cell>
          <cell r="N21">
            <v>100</v>
          </cell>
          <cell r="O21" t="str">
            <v>Oth Asia/Pacific</v>
          </cell>
          <cell r="P21">
            <v>100</v>
          </cell>
          <cell r="Q21" t="str">
            <v>Oth Asia/Pacific</v>
          </cell>
          <cell r="R21" t="str">
            <v>●</v>
          </cell>
          <cell r="S21">
            <v>100</v>
          </cell>
          <cell r="T21" t="str">
            <v>Oth Asia/Pacific</v>
          </cell>
          <cell r="U21" t="str">
            <v>一般海外</v>
          </cell>
          <cell r="V21" t="str">
            <v>ｱｼﾞｱ</v>
          </cell>
          <cell r="W21">
            <v>1</v>
          </cell>
          <cell r="X21" t="str">
            <v>ｱｼﾞｱ</v>
          </cell>
          <cell r="Y21" t="str">
            <v>ｱｼﾞｱ</v>
          </cell>
          <cell r="Z21" t="str">
            <v>一般</v>
          </cell>
          <cell r="AA21" t="str">
            <v>他ｱｼﾞｱ</v>
          </cell>
        </row>
        <row r="22">
          <cell r="B22">
            <v>510</v>
          </cell>
          <cell r="C22" t="str">
            <v>5.LCV</v>
          </cell>
          <cell r="D22" t="str">
            <v>車輌</v>
          </cell>
          <cell r="E22" t="str">
            <v>車輌</v>
          </cell>
          <cell r="F22" t="str">
            <v>車輌</v>
          </cell>
          <cell r="H22" t="str">
            <v>1.N</v>
          </cell>
          <cell r="I22" t="str">
            <v>CV</v>
          </cell>
          <cell r="L22">
            <v>129</v>
          </cell>
          <cell r="M22" t="str">
            <v>MACAO</v>
          </cell>
          <cell r="N22">
            <v>100</v>
          </cell>
          <cell r="O22" t="str">
            <v>Oth Asia/Pacific</v>
          </cell>
          <cell r="P22">
            <v>100</v>
          </cell>
          <cell r="Q22" t="str">
            <v>Oth Asia/Pacific</v>
          </cell>
          <cell r="R22" t="str">
            <v>●</v>
          </cell>
          <cell r="S22">
            <v>100</v>
          </cell>
          <cell r="T22" t="str">
            <v>Oth Asia/Pacific</v>
          </cell>
          <cell r="U22" t="str">
            <v>一般海外</v>
          </cell>
          <cell r="V22" t="str">
            <v>ｱｼﾞｱ</v>
          </cell>
          <cell r="W22">
            <v>1</v>
          </cell>
          <cell r="X22" t="str">
            <v>ｱｼﾞｱ</v>
          </cell>
          <cell r="Y22" t="str">
            <v>ｱｼﾞｱ</v>
          </cell>
          <cell r="Z22" t="str">
            <v>一般</v>
          </cell>
          <cell r="AA22" t="str">
            <v>他ｱｼﾞｱ</v>
          </cell>
        </row>
        <row r="23">
          <cell r="B23" t="str">
            <v>I-160</v>
          </cell>
          <cell r="C23" t="str">
            <v>5.LCV</v>
          </cell>
          <cell r="D23" t="str">
            <v>車輌</v>
          </cell>
          <cell r="E23" t="str">
            <v>車輌</v>
          </cell>
          <cell r="F23" t="str">
            <v>車輌</v>
          </cell>
          <cell r="H23" t="str">
            <v>2.F</v>
          </cell>
          <cell r="I23" t="str">
            <v>CV</v>
          </cell>
          <cell r="L23">
            <v>130</v>
          </cell>
          <cell r="M23" t="str">
            <v>AFGNSTN</v>
          </cell>
          <cell r="N23">
            <v>100</v>
          </cell>
          <cell r="O23" t="str">
            <v>Oth Asia/Pacific</v>
          </cell>
          <cell r="P23">
            <v>100</v>
          </cell>
          <cell r="Q23" t="str">
            <v>Oth Asia/Pacific</v>
          </cell>
          <cell r="R23" t="str">
            <v>●</v>
          </cell>
          <cell r="S23">
            <v>100</v>
          </cell>
          <cell r="T23" t="str">
            <v>Oth Asia/Pacific</v>
          </cell>
          <cell r="U23" t="str">
            <v>一般海外</v>
          </cell>
          <cell r="V23" t="str">
            <v>ｱｼﾞｱ</v>
          </cell>
          <cell r="W23">
            <v>1</v>
          </cell>
          <cell r="X23" t="str">
            <v>ｱｼﾞｱ</v>
          </cell>
          <cell r="Y23" t="str">
            <v>ｱｼﾞｱ</v>
          </cell>
          <cell r="Z23" t="str">
            <v>一般</v>
          </cell>
          <cell r="AA23" t="str">
            <v>他ｱｼﾞｱ</v>
          </cell>
        </row>
        <row r="24">
          <cell r="B24" t="str">
            <v>I-190</v>
          </cell>
          <cell r="C24" t="str">
            <v>5.LCV</v>
          </cell>
          <cell r="D24" t="str">
            <v>車輌</v>
          </cell>
          <cell r="E24" t="str">
            <v>車輌</v>
          </cell>
          <cell r="F24" t="str">
            <v>車輌</v>
          </cell>
          <cell r="H24" t="str">
            <v>3.C&amp;E</v>
          </cell>
          <cell r="I24" t="str">
            <v>CV</v>
          </cell>
          <cell r="L24">
            <v>131</v>
          </cell>
          <cell r="M24" t="str">
            <v>NEPAL</v>
          </cell>
          <cell r="N24">
            <v>100</v>
          </cell>
          <cell r="O24" t="str">
            <v>Oth Asia/Pacific</v>
          </cell>
          <cell r="P24">
            <v>100</v>
          </cell>
          <cell r="Q24" t="str">
            <v>Oth Asia/Pacific</v>
          </cell>
          <cell r="R24" t="str">
            <v>●</v>
          </cell>
          <cell r="S24">
            <v>100</v>
          </cell>
          <cell r="T24" t="str">
            <v>Oth Asia/Pacific</v>
          </cell>
          <cell r="U24" t="str">
            <v>一般海外</v>
          </cell>
          <cell r="V24" t="str">
            <v>ｱｼﾞｱ</v>
          </cell>
          <cell r="W24">
            <v>1</v>
          </cell>
          <cell r="X24" t="str">
            <v>ｱｼﾞｱ</v>
          </cell>
          <cell r="Y24" t="str">
            <v>ｱｼﾞｱ</v>
          </cell>
          <cell r="Z24" t="str">
            <v>一般</v>
          </cell>
          <cell r="AA24" t="str">
            <v>他ｱｼﾞｱ</v>
          </cell>
        </row>
        <row r="25">
          <cell r="B25" t="str">
            <v>I-190(Dom C)</v>
          </cell>
          <cell r="C25" t="str">
            <v>5.LCV</v>
          </cell>
          <cell r="D25" t="str">
            <v>車輌</v>
          </cell>
          <cell r="E25" t="str">
            <v>車輌</v>
          </cell>
          <cell r="F25" t="str">
            <v>車輌</v>
          </cell>
          <cell r="H25" t="str">
            <v>4.BUS</v>
          </cell>
          <cell r="I25" t="str">
            <v>CV</v>
          </cell>
          <cell r="L25">
            <v>132</v>
          </cell>
          <cell r="M25" t="str">
            <v>BHUTAN</v>
          </cell>
          <cell r="N25">
            <v>100</v>
          </cell>
          <cell r="O25" t="str">
            <v>Oth Asia/Pacific</v>
          </cell>
          <cell r="P25">
            <v>100</v>
          </cell>
          <cell r="Q25" t="str">
            <v>Oth Asia/Pacific</v>
          </cell>
          <cell r="R25" t="str">
            <v>●</v>
          </cell>
          <cell r="S25">
            <v>100</v>
          </cell>
          <cell r="T25" t="str">
            <v>Oth Asia/Pacific</v>
          </cell>
          <cell r="U25" t="str">
            <v>一般海外</v>
          </cell>
          <cell r="V25" t="str">
            <v>ｱｼﾞｱ</v>
          </cell>
          <cell r="W25">
            <v>1</v>
          </cell>
          <cell r="X25" t="str">
            <v>ｱｼﾞｱ</v>
          </cell>
          <cell r="Y25" t="str">
            <v>ｱｼﾞｱ</v>
          </cell>
          <cell r="Z25" t="str">
            <v>一般</v>
          </cell>
          <cell r="AA25" t="str">
            <v>他ｱｼﾞｱ</v>
          </cell>
        </row>
        <row r="26">
          <cell r="B26" t="str">
            <v>I-190(Dom I)</v>
          </cell>
          <cell r="C26" t="str">
            <v>5.LCV</v>
          </cell>
          <cell r="D26" t="str">
            <v>車輌</v>
          </cell>
          <cell r="E26" t="str">
            <v>車輌</v>
          </cell>
          <cell r="F26" t="str">
            <v>車輌</v>
          </cell>
          <cell r="H26" t="str">
            <v>5.LCV</v>
          </cell>
          <cell r="I26" t="str">
            <v>LCV</v>
          </cell>
          <cell r="L26">
            <v>105</v>
          </cell>
          <cell r="M26" t="str">
            <v>China</v>
          </cell>
          <cell r="N26">
            <v>105</v>
          </cell>
          <cell r="O26" t="str">
            <v>China</v>
          </cell>
          <cell r="P26">
            <v>105</v>
          </cell>
          <cell r="Q26" t="str">
            <v>China</v>
          </cell>
          <cell r="R26" t="str">
            <v>◎</v>
          </cell>
          <cell r="S26">
            <v>105</v>
          </cell>
          <cell r="T26" t="str">
            <v>China</v>
          </cell>
          <cell r="U26" t="str">
            <v>中国</v>
          </cell>
          <cell r="V26" t="str">
            <v>中国</v>
          </cell>
          <cell r="W26">
            <v>1</v>
          </cell>
          <cell r="X26" t="str">
            <v>ｱｼﾞｱ</v>
          </cell>
          <cell r="Y26" t="str">
            <v>ｱｼﾞｱ</v>
          </cell>
          <cell r="Z26" t="str">
            <v>一般</v>
          </cell>
          <cell r="AA26" t="str">
            <v>中国</v>
          </cell>
        </row>
        <row r="27">
          <cell r="B27" t="str">
            <v>I-190(G.E&amp;HLD)</v>
          </cell>
          <cell r="C27" t="str">
            <v>5.LCV</v>
          </cell>
          <cell r="D27" t="str">
            <v>車輌</v>
          </cell>
          <cell r="E27" t="str">
            <v>車輌</v>
          </cell>
          <cell r="F27" t="str">
            <v>車輌</v>
          </cell>
          <cell r="H27" t="str">
            <v>6.SUV</v>
          </cell>
          <cell r="I27" t="str">
            <v>SUV</v>
          </cell>
          <cell r="L27">
            <v>106</v>
          </cell>
          <cell r="M27" t="str">
            <v>Taiwan</v>
          </cell>
          <cell r="N27">
            <v>106</v>
          </cell>
          <cell r="O27" t="str">
            <v>Taiwan</v>
          </cell>
          <cell r="P27">
            <v>106</v>
          </cell>
          <cell r="Q27" t="str">
            <v>Taiwan</v>
          </cell>
          <cell r="R27" t="str">
            <v>◎</v>
          </cell>
          <cell r="S27">
            <v>106</v>
          </cell>
          <cell r="T27" t="str">
            <v>Taiwan</v>
          </cell>
          <cell r="U27" t="str">
            <v>一般海外</v>
          </cell>
          <cell r="V27" t="str">
            <v>ｱｼﾞｱ</v>
          </cell>
          <cell r="W27">
            <v>1</v>
          </cell>
          <cell r="X27" t="str">
            <v>ｱｼﾞｱ</v>
          </cell>
          <cell r="Y27" t="str">
            <v>ｱｼﾞｱ</v>
          </cell>
          <cell r="Z27" t="str">
            <v>一般</v>
          </cell>
          <cell r="AA27" t="str">
            <v>他ｱｼﾞｱ</v>
          </cell>
        </row>
        <row r="28">
          <cell r="B28" t="str">
            <v>I-190/SUP</v>
          </cell>
          <cell r="C28" t="str">
            <v>5.LCV</v>
          </cell>
          <cell r="D28" t="str">
            <v>車輌</v>
          </cell>
          <cell r="E28" t="str">
            <v>190台数ﾀﾞﾌﾞﾘ</v>
          </cell>
          <cell r="F28" t="str">
            <v>190台数ﾀﾞﾌﾞﾘ</v>
          </cell>
          <cell r="H28" t="str">
            <v>7.OEM</v>
          </cell>
          <cell r="I28" t="str">
            <v>CV</v>
          </cell>
          <cell r="L28">
            <v>108</v>
          </cell>
          <cell r="M28" t="str">
            <v>Hong Kong</v>
          </cell>
          <cell r="N28">
            <v>108</v>
          </cell>
          <cell r="O28" t="str">
            <v>Hong Kong</v>
          </cell>
          <cell r="P28">
            <v>108</v>
          </cell>
          <cell r="Q28" t="str">
            <v>Hong Kong</v>
          </cell>
          <cell r="R28" t="str">
            <v>◎</v>
          </cell>
          <cell r="S28">
            <v>108</v>
          </cell>
          <cell r="T28" t="str">
            <v>Hong Kong</v>
          </cell>
          <cell r="U28" t="str">
            <v>一般海外</v>
          </cell>
          <cell r="V28" t="str">
            <v>ｱｼﾞｱ</v>
          </cell>
          <cell r="W28">
            <v>1</v>
          </cell>
          <cell r="X28" t="str">
            <v>ｱｼﾞｱ</v>
          </cell>
          <cell r="Y28" t="str">
            <v>ｱｼﾞｱ</v>
          </cell>
          <cell r="Z28" t="str">
            <v>一般</v>
          </cell>
          <cell r="AA28" t="str">
            <v>他ｱｼﾞｱ</v>
          </cell>
        </row>
        <row r="29">
          <cell r="B29" t="str">
            <v>P160</v>
          </cell>
          <cell r="C29" t="str">
            <v>5.LCV</v>
          </cell>
          <cell r="D29" t="str">
            <v>車輌</v>
          </cell>
          <cell r="E29" t="str">
            <v>車輌</v>
          </cell>
          <cell r="F29" t="str">
            <v>車輌</v>
          </cell>
          <cell r="H29" t="str">
            <v>8.IE</v>
          </cell>
          <cell r="I29" t="str">
            <v>8.IE</v>
          </cell>
          <cell r="L29">
            <v>111</v>
          </cell>
          <cell r="M29" t="str">
            <v>Thailand</v>
          </cell>
          <cell r="N29">
            <v>111</v>
          </cell>
          <cell r="O29" t="str">
            <v>Thailand</v>
          </cell>
          <cell r="P29">
            <v>111</v>
          </cell>
          <cell r="Q29" t="str">
            <v>Thailand</v>
          </cell>
          <cell r="R29" t="str">
            <v>◎</v>
          </cell>
          <cell r="S29">
            <v>111</v>
          </cell>
          <cell r="T29" t="str">
            <v>Thailand</v>
          </cell>
          <cell r="U29" t="str">
            <v>ｱｾｱﾝ</v>
          </cell>
          <cell r="V29" t="str">
            <v>ｱｾｱﾝ</v>
          </cell>
          <cell r="W29">
            <v>1</v>
          </cell>
          <cell r="X29" t="str">
            <v>ｱｼﾞｱ</v>
          </cell>
          <cell r="Y29" t="str">
            <v>　ｱｾｱﾝ</v>
          </cell>
          <cell r="Z29" t="str">
            <v>一般</v>
          </cell>
          <cell r="AA29" t="str">
            <v>ｱｾｱﾝ</v>
          </cell>
        </row>
        <row r="30">
          <cell r="B30" t="str">
            <v>TF</v>
          </cell>
          <cell r="C30" t="str">
            <v>5.LCV</v>
          </cell>
          <cell r="D30" t="str">
            <v>車輌</v>
          </cell>
          <cell r="E30" t="str">
            <v>車輌</v>
          </cell>
          <cell r="F30" t="str">
            <v>車輌</v>
          </cell>
          <cell r="H30" t="str">
            <v>9.ISPOL</v>
          </cell>
          <cell r="I30" t="str">
            <v>9.ISPOL</v>
          </cell>
          <cell r="L30">
            <v>113</v>
          </cell>
          <cell r="M30" t="str">
            <v>Malaysia</v>
          </cell>
          <cell r="N30">
            <v>113</v>
          </cell>
          <cell r="O30" t="str">
            <v>Malaysia</v>
          </cell>
          <cell r="P30">
            <v>113</v>
          </cell>
          <cell r="Q30" t="str">
            <v>Malaysia</v>
          </cell>
          <cell r="R30" t="str">
            <v>◎</v>
          </cell>
          <cell r="S30">
            <v>113</v>
          </cell>
          <cell r="T30" t="str">
            <v>Malaysia</v>
          </cell>
          <cell r="U30" t="str">
            <v>ｱｾｱﾝ</v>
          </cell>
          <cell r="V30" t="str">
            <v>ｱｾｱﾝ</v>
          </cell>
          <cell r="W30">
            <v>1</v>
          </cell>
          <cell r="X30" t="str">
            <v>ｱｼﾞｱ</v>
          </cell>
          <cell r="Y30" t="str">
            <v>　ｱｾｱﾝ</v>
          </cell>
          <cell r="Z30" t="str">
            <v>一般</v>
          </cell>
          <cell r="AA30" t="str">
            <v>ｱｾｱﾝ</v>
          </cell>
        </row>
        <row r="31">
          <cell r="B31" t="str">
            <v>UCS</v>
          </cell>
          <cell r="C31" t="str">
            <v>5.LCV</v>
          </cell>
          <cell r="D31" t="str">
            <v>車輌</v>
          </cell>
          <cell r="E31" t="str">
            <v>車輌</v>
          </cell>
          <cell r="F31" t="str">
            <v>車輌</v>
          </cell>
          <cell r="H31" t="str">
            <v>10.DMAX</v>
          </cell>
          <cell r="I31" t="str">
            <v>10.DMAX</v>
          </cell>
          <cell r="L31">
            <v>115</v>
          </cell>
          <cell r="M31" t="str">
            <v>E.Malaysia</v>
          </cell>
          <cell r="N31">
            <v>115</v>
          </cell>
          <cell r="O31" t="str">
            <v>E.Malaysia</v>
          </cell>
          <cell r="P31">
            <v>115</v>
          </cell>
          <cell r="Q31" t="str">
            <v>Malaysia</v>
          </cell>
          <cell r="R31" t="str">
            <v>◎</v>
          </cell>
          <cell r="S31">
            <v>115</v>
          </cell>
          <cell r="T31" t="str">
            <v>E.Malaysia</v>
          </cell>
          <cell r="U31" t="str">
            <v>ｱｾｱﾝ</v>
          </cell>
          <cell r="V31" t="str">
            <v>ｱｾｱﾝ</v>
          </cell>
          <cell r="W31">
            <v>1</v>
          </cell>
          <cell r="X31" t="str">
            <v>ｱｼﾞｱ</v>
          </cell>
          <cell r="Y31" t="str">
            <v>　ｱｾｱﾝ</v>
          </cell>
          <cell r="Z31" t="str">
            <v>一般</v>
          </cell>
          <cell r="AA31" t="str">
            <v>ｱｾｱﾝ</v>
          </cell>
        </row>
        <row r="32">
          <cell r="B32" t="str">
            <v>I-145</v>
          </cell>
          <cell r="C32" t="str">
            <v>6.SUV</v>
          </cell>
          <cell r="D32" t="str">
            <v>車輌</v>
          </cell>
          <cell r="E32" t="str">
            <v>車輌</v>
          </cell>
          <cell r="F32" t="str">
            <v>車輌</v>
          </cell>
          <cell r="H32" t="str">
            <v>11.V6D</v>
          </cell>
          <cell r="I32" t="str">
            <v>11.V6D</v>
          </cell>
          <cell r="L32">
            <v>117</v>
          </cell>
          <cell r="M32" t="str">
            <v>Philippines</v>
          </cell>
          <cell r="N32">
            <v>117</v>
          </cell>
          <cell r="O32" t="str">
            <v>Philippines</v>
          </cell>
          <cell r="P32">
            <v>117</v>
          </cell>
          <cell r="Q32" t="str">
            <v>Philippines</v>
          </cell>
          <cell r="R32" t="str">
            <v>◎</v>
          </cell>
          <cell r="S32">
            <v>117</v>
          </cell>
          <cell r="T32" t="str">
            <v>Philippines</v>
          </cell>
          <cell r="U32" t="str">
            <v>ｱｾｱﾝ</v>
          </cell>
          <cell r="V32" t="str">
            <v>ｱｾｱﾝ</v>
          </cell>
          <cell r="W32">
            <v>1</v>
          </cell>
          <cell r="X32" t="str">
            <v>ｱｼﾞｱ</v>
          </cell>
          <cell r="Y32" t="str">
            <v>　ｱｾｱﾝ</v>
          </cell>
          <cell r="Z32" t="str">
            <v>一般</v>
          </cell>
          <cell r="AA32" t="str">
            <v>ｱｾｱﾝ</v>
          </cell>
        </row>
        <row r="33">
          <cell r="B33" t="str">
            <v>UB</v>
          </cell>
          <cell r="C33" t="str">
            <v>6.SUV</v>
          </cell>
          <cell r="D33" t="str">
            <v>車輌</v>
          </cell>
          <cell r="E33" t="str">
            <v>車輌</v>
          </cell>
          <cell r="F33" t="str">
            <v>車輌</v>
          </cell>
          <cell r="H33" t="str">
            <v>12.OTHER</v>
          </cell>
          <cell r="I33" t="str">
            <v>12.OTHER</v>
          </cell>
          <cell r="L33">
            <v>118</v>
          </cell>
          <cell r="M33" t="str">
            <v>Indonesia</v>
          </cell>
          <cell r="N33">
            <v>118</v>
          </cell>
          <cell r="O33" t="str">
            <v>Indonesia</v>
          </cell>
          <cell r="P33">
            <v>118</v>
          </cell>
          <cell r="Q33" t="str">
            <v>Indonesia</v>
          </cell>
          <cell r="R33" t="str">
            <v>◎</v>
          </cell>
          <cell r="S33">
            <v>118</v>
          </cell>
          <cell r="T33" t="str">
            <v>Indonesia</v>
          </cell>
          <cell r="U33" t="str">
            <v>ｱｾｱﾝ</v>
          </cell>
          <cell r="V33" t="str">
            <v>ｱｾｱﾝ</v>
          </cell>
          <cell r="W33">
            <v>1</v>
          </cell>
          <cell r="X33" t="str">
            <v>ｱｼﾞｱ</v>
          </cell>
          <cell r="Y33" t="str">
            <v>　ｱｾｱﾝ</v>
          </cell>
          <cell r="Z33" t="str">
            <v>一般</v>
          </cell>
          <cell r="AA33" t="str">
            <v>ｱｾｱﾝ</v>
          </cell>
        </row>
        <row r="34">
          <cell r="B34" t="str">
            <v>ATLUS</v>
          </cell>
          <cell r="C34" t="str">
            <v>7.OEM</v>
          </cell>
          <cell r="D34" t="str">
            <v>車輌</v>
          </cell>
          <cell r="E34" t="str">
            <v>車輌</v>
          </cell>
          <cell r="F34" t="str">
            <v>車輌</v>
          </cell>
          <cell r="H34" t="str">
            <v>12.OTHER Eng</v>
          </cell>
          <cell r="I34" t="str">
            <v>12.OTHER</v>
          </cell>
          <cell r="L34">
            <v>123</v>
          </cell>
          <cell r="M34" t="str">
            <v>INDIA</v>
          </cell>
          <cell r="N34">
            <v>123</v>
          </cell>
          <cell r="O34" t="str">
            <v>INDIA</v>
          </cell>
          <cell r="P34">
            <v>123</v>
          </cell>
          <cell r="Q34" t="str">
            <v>INDIA</v>
          </cell>
          <cell r="R34" t="str">
            <v>◎</v>
          </cell>
          <cell r="S34">
            <v>123</v>
          </cell>
          <cell r="T34" t="str">
            <v>INDIA</v>
          </cell>
          <cell r="U34" t="str">
            <v>一般海外</v>
          </cell>
          <cell r="V34" t="str">
            <v>ｱｼﾞｱ</v>
          </cell>
          <cell r="W34">
            <v>1</v>
          </cell>
          <cell r="X34" t="str">
            <v>ｱｼﾞｱ</v>
          </cell>
          <cell r="Y34" t="str">
            <v>ｱｼﾞｱ</v>
          </cell>
          <cell r="Z34" t="str">
            <v>一般</v>
          </cell>
          <cell r="AA34" t="str">
            <v>他ｱｼﾞｱ</v>
          </cell>
        </row>
        <row r="35">
          <cell r="B35" t="str">
            <v>CRVN</v>
          </cell>
          <cell r="C35" t="str">
            <v>7.OEM</v>
          </cell>
          <cell r="D35" t="str">
            <v>車輌</v>
          </cell>
          <cell r="E35" t="str">
            <v>車輌</v>
          </cell>
          <cell r="F35" t="str">
            <v>車輌</v>
          </cell>
          <cell r="H35" t="str">
            <v>13.DOM</v>
          </cell>
          <cell r="I35" t="str">
            <v>Parts国内</v>
          </cell>
          <cell r="L35">
            <v>137</v>
          </cell>
          <cell r="M35" t="str">
            <v>Saudi Arabia</v>
          </cell>
          <cell r="N35">
            <v>137</v>
          </cell>
          <cell r="O35" t="str">
            <v>Saudi Arabia</v>
          </cell>
          <cell r="P35">
            <v>137</v>
          </cell>
          <cell r="Q35" t="str">
            <v>Saudi Arabia</v>
          </cell>
          <cell r="R35" t="str">
            <v>◎</v>
          </cell>
          <cell r="S35">
            <v>137</v>
          </cell>
          <cell r="T35" t="str">
            <v>Saudi Arabia</v>
          </cell>
          <cell r="U35" t="str">
            <v>一般海外</v>
          </cell>
          <cell r="V35" t="str">
            <v>中近東</v>
          </cell>
          <cell r="W35">
            <v>2</v>
          </cell>
          <cell r="X35" t="str">
            <v>中近東</v>
          </cell>
          <cell r="Y35" t="str">
            <v>中近東</v>
          </cell>
          <cell r="Z35" t="str">
            <v>一般</v>
          </cell>
          <cell r="AA35" t="str">
            <v>中近東/ｱﾌﾘｶ</v>
          </cell>
        </row>
        <row r="36">
          <cell r="B36" t="str">
            <v>M/BUS</v>
          </cell>
          <cell r="C36" t="str">
            <v>7.OEM</v>
          </cell>
          <cell r="D36" t="str">
            <v>車輌</v>
          </cell>
          <cell r="E36" t="str">
            <v>車輌</v>
          </cell>
          <cell r="F36" t="str">
            <v>車輌</v>
          </cell>
          <cell r="H36" t="str">
            <v>14.NA</v>
          </cell>
          <cell r="I36" t="str">
            <v>Parts北米</v>
          </cell>
          <cell r="L36">
            <v>143</v>
          </cell>
          <cell r="M36" t="str">
            <v>Israel</v>
          </cell>
          <cell r="N36">
            <v>143</v>
          </cell>
          <cell r="O36" t="str">
            <v>Israel</v>
          </cell>
          <cell r="P36">
            <v>143</v>
          </cell>
          <cell r="Q36" t="str">
            <v>Israel</v>
          </cell>
          <cell r="R36" t="str">
            <v>◎</v>
          </cell>
          <cell r="S36">
            <v>143</v>
          </cell>
          <cell r="T36" t="str">
            <v>Israel</v>
          </cell>
          <cell r="U36" t="str">
            <v>一般海外</v>
          </cell>
          <cell r="V36" t="str">
            <v>中近東</v>
          </cell>
          <cell r="W36">
            <v>2</v>
          </cell>
          <cell r="X36" t="str">
            <v>中近東</v>
          </cell>
          <cell r="Y36" t="str">
            <v>中近東</v>
          </cell>
          <cell r="Z36" t="str">
            <v>一般</v>
          </cell>
          <cell r="AA36" t="str">
            <v>中近東/ｱﾌﾘｶ</v>
          </cell>
        </row>
        <row r="37">
          <cell r="B37" t="str">
            <v>2Y</v>
          </cell>
          <cell r="C37" t="str">
            <v>8.IE</v>
          </cell>
          <cell r="D37" t="str">
            <v>PT</v>
          </cell>
          <cell r="E37" t="str">
            <v>エンジン</v>
          </cell>
          <cell r="F37" t="str">
            <v>産業エンジン</v>
          </cell>
          <cell r="H37" t="str">
            <v>15.G.EXP</v>
          </cell>
          <cell r="I37" t="str">
            <v>Parts海外</v>
          </cell>
          <cell r="L37">
            <v>133</v>
          </cell>
          <cell r="M37" t="str">
            <v>IRAN</v>
          </cell>
          <cell r="N37">
            <v>200</v>
          </cell>
          <cell r="O37" t="str">
            <v>Oth Mideast</v>
          </cell>
          <cell r="P37">
            <v>133</v>
          </cell>
          <cell r="Q37" t="str">
            <v>IRAN</v>
          </cell>
          <cell r="R37" t="str">
            <v>X</v>
          </cell>
          <cell r="S37">
            <v>200</v>
          </cell>
          <cell r="T37" t="str">
            <v>Oth Mideast</v>
          </cell>
          <cell r="U37" t="str">
            <v>一般海外</v>
          </cell>
          <cell r="V37" t="str">
            <v>中近東</v>
          </cell>
          <cell r="W37">
            <v>2</v>
          </cell>
          <cell r="X37" t="str">
            <v>中近東</v>
          </cell>
          <cell r="Y37" t="str">
            <v>中近東</v>
          </cell>
          <cell r="Z37" t="str">
            <v>一般</v>
          </cell>
          <cell r="AA37" t="str">
            <v>中近東/ｱﾌﾘｶ</v>
          </cell>
        </row>
        <row r="38">
          <cell r="B38" t="str">
            <v>3C</v>
          </cell>
          <cell r="C38" t="str">
            <v>8.IE</v>
          </cell>
          <cell r="D38" t="str">
            <v>PT</v>
          </cell>
          <cell r="E38" t="str">
            <v>エンジン</v>
          </cell>
          <cell r="F38" t="str">
            <v>産業エンジン</v>
          </cell>
          <cell r="L38">
            <v>141</v>
          </cell>
          <cell r="M38" t="str">
            <v>Oman</v>
          </cell>
          <cell r="N38">
            <v>200</v>
          </cell>
          <cell r="O38" t="str">
            <v>Oth Mideast</v>
          </cell>
          <cell r="P38">
            <v>141</v>
          </cell>
          <cell r="Q38" t="str">
            <v>Oman</v>
          </cell>
          <cell r="R38" t="str">
            <v>X</v>
          </cell>
          <cell r="S38">
            <v>200</v>
          </cell>
          <cell r="T38" t="str">
            <v>Oth Mideast</v>
          </cell>
          <cell r="U38" t="str">
            <v>一般海外</v>
          </cell>
          <cell r="V38" t="str">
            <v>中近東</v>
          </cell>
          <cell r="W38">
            <v>2</v>
          </cell>
          <cell r="X38" t="str">
            <v>中近東</v>
          </cell>
          <cell r="Y38" t="str">
            <v>中近東</v>
          </cell>
          <cell r="Z38" t="str">
            <v>一般</v>
          </cell>
          <cell r="AA38" t="str">
            <v>中近東/ｱﾌﾘｶ</v>
          </cell>
        </row>
        <row r="39">
          <cell r="B39" t="str">
            <v>4C</v>
          </cell>
          <cell r="C39" t="str">
            <v>8.IE</v>
          </cell>
          <cell r="D39" t="str">
            <v>PT</v>
          </cell>
          <cell r="E39" t="str">
            <v>エンジン</v>
          </cell>
          <cell r="F39" t="str">
            <v>産業エンジン</v>
          </cell>
          <cell r="L39">
            <v>150</v>
          </cell>
          <cell r="M39" t="str">
            <v>UAE</v>
          </cell>
          <cell r="N39">
            <v>200</v>
          </cell>
          <cell r="O39" t="str">
            <v>Oth Mideast</v>
          </cell>
          <cell r="P39">
            <v>150</v>
          </cell>
          <cell r="Q39" t="str">
            <v>UAE</v>
          </cell>
          <cell r="R39" t="str">
            <v>◎</v>
          </cell>
          <cell r="S39">
            <v>150</v>
          </cell>
          <cell r="T39" t="str">
            <v>UAE</v>
          </cell>
          <cell r="U39" t="str">
            <v>一般海外</v>
          </cell>
          <cell r="V39" t="str">
            <v>中近東</v>
          </cell>
          <cell r="W39">
            <v>2</v>
          </cell>
          <cell r="X39" t="str">
            <v>中近東</v>
          </cell>
          <cell r="Y39" t="str">
            <v>中近東</v>
          </cell>
          <cell r="Z39" t="str">
            <v>一般</v>
          </cell>
          <cell r="AA39" t="str">
            <v>中近東/ｱﾌﾘｶ</v>
          </cell>
        </row>
        <row r="40">
          <cell r="B40" t="str">
            <v>4EMH</v>
          </cell>
          <cell r="C40" t="str">
            <v>8.IE</v>
          </cell>
          <cell r="D40" t="str">
            <v>PT</v>
          </cell>
          <cell r="E40" t="str">
            <v>エンジン</v>
          </cell>
          <cell r="F40" t="str">
            <v>産業エンジン</v>
          </cell>
          <cell r="L40">
            <v>200</v>
          </cell>
          <cell r="M40" t="str">
            <v>Oth Mideast</v>
          </cell>
          <cell r="N40">
            <v>200</v>
          </cell>
          <cell r="O40" t="str">
            <v>Oth Mideast</v>
          </cell>
          <cell r="P40">
            <v>200</v>
          </cell>
          <cell r="Q40" t="str">
            <v>Oth Mideast</v>
          </cell>
          <cell r="R40" t="str">
            <v>●</v>
          </cell>
          <cell r="S40">
            <v>200</v>
          </cell>
          <cell r="T40" t="str">
            <v>Oth Mideast</v>
          </cell>
          <cell r="U40" t="str">
            <v>一般海外</v>
          </cell>
          <cell r="V40" t="str">
            <v>中近東</v>
          </cell>
          <cell r="W40">
            <v>2</v>
          </cell>
          <cell r="X40" t="str">
            <v>中近東</v>
          </cell>
          <cell r="Y40" t="str">
            <v>中近東</v>
          </cell>
          <cell r="Z40" t="str">
            <v>一般</v>
          </cell>
          <cell r="AA40" t="str">
            <v>中近東/ｱﾌﾘｶ</v>
          </cell>
        </row>
        <row r="41">
          <cell r="B41" t="str">
            <v>4M</v>
          </cell>
          <cell r="C41" t="str">
            <v>8.IE</v>
          </cell>
          <cell r="D41" t="str">
            <v>PT</v>
          </cell>
          <cell r="E41" t="str">
            <v>エンジン</v>
          </cell>
          <cell r="F41" t="str">
            <v>産業エンジン</v>
          </cell>
          <cell r="L41">
            <v>138</v>
          </cell>
          <cell r="M41" t="str">
            <v>Kuwait</v>
          </cell>
          <cell r="N41">
            <v>200</v>
          </cell>
          <cell r="O41" t="str">
            <v>Oth Mideast</v>
          </cell>
          <cell r="P41">
            <v>200</v>
          </cell>
          <cell r="Q41" t="str">
            <v>Oth Mideast</v>
          </cell>
          <cell r="R41" t="str">
            <v>●</v>
          </cell>
          <cell r="S41">
            <v>200</v>
          </cell>
          <cell r="T41" t="str">
            <v>Oth Mideast</v>
          </cell>
          <cell r="U41" t="str">
            <v>一般海外</v>
          </cell>
          <cell r="V41" t="str">
            <v>中近東</v>
          </cell>
          <cell r="W41">
            <v>2</v>
          </cell>
          <cell r="X41" t="str">
            <v>中近東</v>
          </cell>
          <cell r="Y41" t="str">
            <v>中近東</v>
          </cell>
          <cell r="Z41" t="str">
            <v>一般</v>
          </cell>
          <cell r="AA41" t="str">
            <v>中近東/ｱﾌﾘｶ</v>
          </cell>
        </row>
        <row r="42">
          <cell r="B42" t="str">
            <v>HD</v>
          </cell>
          <cell r="C42" t="str">
            <v>8.IE</v>
          </cell>
          <cell r="D42" t="str">
            <v>PT</v>
          </cell>
          <cell r="E42" t="str">
            <v>エンジン</v>
          </cell>
          <cell r="F42" t="str">
            <v>産業エンジン</v>
          </cell>
          <cell r="L42">
            <v>134</v>
          </cell>
          <cell r="M42" t="str">
            <v>IRAQ</v>
          </cell>
          <cell r="N42">
            <v>200</v>
          </cell>
          <cell r="O42" t="str">
            <v>Oth Mideast</v>
          </cell>
          <cell r="P42">
            <v>200</v>
          </cell>
          <cell r="Q42" t="str">
            <v>Oth Mideast</v>
          </cell>
          <cell r="R42" t="str">
            <v>●</v>
          </cell>
          <cell r="S42">
            <v>200</v>
          </cell>
          <cell r="T42" t="str">
            <v>Oth Mideast</v>
          </cell>
          <cell r="U42" t="str">
            <v>一般海外</v>
          </cell>
          <cell r="V42" t="str">
            <v>中近東</v>
          </cell>
          <cell r="W42">
            <v>2</v>
          </cell>
          <cell r="X42" t="str">
            <v>中近東</v>
          </cell>
          <cell r="Y42" t="str">
            <v>中近東</v>
          </cell>
          <cell r="Z42" t="str">
            <v>一般</v>
          </cell>
          <cell r="AA42" t="str">
            <v>中近東/ｱﾌﾘｶ</v>
          </cell>
        </row>
        <row r="43">
          <cell r="B43" t="str">
            <v>HM</v>
          </cell>
          <cell r="C43" t="str">
            <v>8.IE</v>
          </cell>
          <cell r="D43" t="str">
            <v>PT</v>
          </cell>
          <cell r="E43" t="str">
            <v>エンジン</v>
          </cell>
          <cell r="F43" t="str">
            <v>産業エンジン</v>
          </cell>
          <cell r="L43">
            <v>135</v>
          </cell>
          <cell r="M43" t="str">
            <v>BAHREIN</v>
          </cell>
          <cell r="N43">
            <v>200</v>
          </cell>
          <cell r="O43" t="str">
            <v>Oth Mideast</v>
          </cell>
          <cell r="P43">
            <v>200</v>
          </cell>
          <cell r="Q43" t="str">
            <v>Oth Mideast</v>
          </cell>
          <cell r="R43" t="str">
            <v>●</v>
          </cell>
          <cell r="S43">
            <v>200</v>
          </cell>
          <cell r="T43" t="str">
            <v>Oth Mideast</v>
          </cell>
          <cell r="U43" t="str">
            <v>一般海外</v>
          </cell>
          <cell r="V43" t="str">
            <v>中近東</v>
          </cell>
          <cell r="W43">
            <v>2</v>
          </cell>
          <cell r="X43" t="str">
            <v>中近東</v>
          </cell>
          <cell r="Y43" t="str">
            <v>中近東</v>
          </cell>
          <cell r="Z43" t="str">
            <v>一般</v>
          </cell>
          <cell r="AA43" t="str">
            <v>中近東/ｱﾌﾘｶ</v>
          </cell>
        </row>
        <row r="44">
          <cell r="B44" t="str">
            <v>K</v>
          </cell>
          <cell r="C44" t="str">
            <v>8.IE</v>
          </cell>
          <cell r="D44" t="str">
            <v>PT</v>
          </cell>
          <cell r="E44" t="str">
            <v>エンジン</v>
          </cell>
          <cell r="F44" t="str">
            <v>産業エンジン</v>
          </cell>
          <cell r="L44">
            <v>136</v>
          </cell>
          <cell r="M44" t="str">
            <v>P YEMEN</v>
          </cell>
          <cell r="N44">
            <v>200</v>
          </cell>
          <cell r="O44" t="str">
            <v>Oth Mideast</v>
          </cell>
          <cell r="P44">
            <v>200</v>
          </cell>
          <cell r="Q44" t="str">
            <v>Oth Mideast</v>
          </cell>
          <cell r="R44" t="str">
            <v>●</v>
          </cell>
          <cell r="S44">
            <v>200</v>
          </cell>
          <cell r="T44" t="str">
            <v>Oth Mideast</v>
          </cell>
          <cell r="U44" t="str">
            <v>一般海外</v>
          </cell>
          <cell r="V44" t="str">
            <v>中近東</v>
          </cell>
          <cell r="W44">
            <v>2</v>
          </cell>
          <cell r="X44" t="str">
            <v>中近東</v>
          </cell>
          <cell r="Y44" t="str">
            <v>中近東</v>
          </cell>
          <cell r="Z44" t="str">
            <v>一般</v>
          </cell>
          <cell r="AA44" t="str">
            <v>中近東/ｱﾌﾘｶ</v>
          </cell>
        </row>
        <row r="45">
          <cell r="B45" t="str">
            <v>KM</v>
          </cell>
          <cell r="C45" t="str">
            <v>8.IE</v>
          </cell>
          <cell r="D45" t="str">
            <v>PT</v>
          </cell>
          <cell r="E45" t="str">
            <v>エンジン</v>
          </cell>
          <cell r="F45" t="str">
            <v>産業エンジン</v>
          </cell>
          <cell r="L45">
            <v>140</v>
          </cell>
          <cell r="N45">
            <v>200</v>
          </cell>
          <cell r="O45" t="str">
            <v>Oth Mideast</v>
          </cell>
          <cell r="P45">
            <v>200</v>
          </cell>
          <cell r="Q45" t="str">
            <v>Oth Mideast</v>
          </cell>
          <cell r="R45" t="str">
            <v>●</v>
          </cell>
          <cell r="S45">
            <v>200</v>
          </cell>
          <cell r="T45" t="str">
            <v>Oth Mideast</v>
          </cell>
          <cell r="U45" t="str">
            <v>一般海外</v>
          </cell>
          <cell r="V45" t="str">
            <v>中近東</v>
          </cell>
          <cell r="W45">
            <v>2</v>
          </cell>
          <cell r="X45" t="str">
            <v>中近東</v>
          </cell>
          <cell r="Y45" t="str">
            <v>中近東</v>
          </cell>
          <cell r="Z45" t="str">
            <v>一般</v>
          </cell>
          <cell r="AA45" t="str">
            <v>中近東/ｱﾌﾘｶ</v>
          </cell>
        </row>
        <row r="46">
          <cell r="B46" t="str">
            <v>4EHH</v>
          </cell>
          <cell r="C46" t="str">
            <v>9.ISPOL</v>
          </cell>
          <cell r="D46" t="str">
            <v>PT</v>
          </cell>
          <cell r="E46" t="str">
            <v>エンジン</v>
          </cell>
          <cell r="F46" t="str">
            <v>GM系</v>
          </cell>
          <cell r="L46">
            <v>142</v>
          </cell>
          <cell r="M46" t="str">
            <v>YEMEN</v>
          </cell>
          <cell r="N46">
            <v>200</v>
          </cell>
          <cell r="O46" t="str">
            <v>Oth Mideast</v>
          </cell>
          <cell r="P46">
            <v>200</v>
          </cell>
          <cell r="Q46" t="str">
            <v>Oth Mideast</v>
          </cell>
          <cell r="R46" t="str">
            <v>●</v>
          </cell>
          <cell r="S46">
            <v>200</v>
          </cell>
          <cell r="T46" t="str">
            <v>Oth Mideast</v>
          </cell>
          <cell r="U46" t="str">
            <v>一般海外</v>
          </cell>
          <cell r="V46" t="str">
            <v>中近東</v>
          </cell>
          <cell r="W46">
            <v>2</v>
          </cell>
          <cell r="X46" t="str">
            <v>中近東</v>
          </cell>
          <cell r="Y46" t="str">
            <v>中近東</v>
          </cell>
          <cell r="Z46" t="str">
            <v>一般</v>
          </cell>
          <cell r="AA46" t="str">
            <v>中近東/ｱﾌﾘｶ</v>
          </cell>
        </row>
        <row r="47">
          <cell r="B47" t="str">
            <v>4ETH</v>
          </cell>
          <cell r="C47" t="str">
            <v>9.ISPOL</v>
          </cell>
          <cell r="D47" t="str">
            <v>PT</v>
          </cell>
          <cell r="E47" t="str">
            <v>エンジン</v>
          </cell>
          <cell r="F47" t="str">
            <v>GM系</v>
          </cell>
          <cell r="L47">
            <v>144</v>
          </cell>
          <cell r="M47" t="str">
            <v>JARDAN</v>
          </cell>
          <cell r="N47">
            <v>200</v>
          </cell>
          <cell r="O47" t="str">
            <v>Oth Mideast</v>
          </cell>
          <cell r="P47">
            <v>200</v>
          </cell>
          <cell r="Q47" t="str">
            <v>Oth Mideast</v>
          </cell>
          <cell r="R47" t="str">
            <v>●</v>
          </cell>
          <cell r="S47">
            <v>200</v>
          </cell>
          <cell r="T47" t="str">
            <v>Oth Mideast</v>
          </cell>
          <cell r="U47" t="str">
            <v>一般海外</v>
          </cell>
          <cell r="V47" t="str">
            <v>中近東</v>
          </cell>
          <cell r="W47">
            <v>2</v>
          </cell>
          <cell r="X47" t="str">
            <v>中近東</v>
          </cell>
          <cell r="Y47" t="str">
            <v>中近東</v>
          </cell>
          <cell r="Z47" t="str">
            <v>一般</v>
          </cell>
          <cell r="AA47" t="str">
            <v>中近東/ｱﾌﾘｶ</v>
          </cell>
        </row>
        <row r="48">
          <cell r="B48" t="str">
            <v>V8GR</v>
          </cell>
          <cell r="C48" t="str">
            <v>10.DMAX</v>
          </cell>
          <cell r="D48" t="str">
            <v>PT</v>
          </cell>
          <cell r="E48" t="str">
            <v>エンジン</v>
          </cell>
          <cell r="F48" t="str">
            <v>GM系</v>
          </cell>
          <cell r="L48">
            <v>145</v>
          </cell>
          <cell r="M48" t="str">
            <v>SYRIA</v>
          </cell>
          <cell r="N48">
            <v>200</v>
          </cell>
          <cell r="O48" t="str">
            <v>Oth Mideast</v>
          </cell>
          <cell r="P48">
            <v>200</v>
          </cell>
          <cell r="Q48" t="str">
            <v>Oth Mideast</v>
          </cell>
          <cell r="R48" t="str">
            <v>●</v>
          </cell>
          <cell r="S48">
            <v>200</v>
          </cell>
          <cell r="T48" t="str">
            <v>Oth Mideast</v>
          </cell>
          <cell r="U48" t="str">
            <v>一般海外</v>
          </cell>
          <cell r="V48" t="str">
            <v>中近東</v>
          </cell>
          <cell r="W48">
            <v>2</v>
          </cell>
          <cell r="X48" t="str">
            <v>中近東</v>
          </cell>
          <cell r="Y48" t="str">
            <v>中近東</v>
          </cell>
          <cell r="Z48" t="str">
            <v>一般</v>
          </cell>
          <cell r="AA48" t="str">
            <v>中近東/ｱﾌﾘｶ</v>
          </cell>
        </row>
        <row r="49">
          <cell r="B49" t="str">
            <v>V6D</v>
          </cell>
          <cell r="C49" t="str">
            <v>11.V6D</v>
          </cell>
          <cell r="D49" t="str">
            <v>PT</v>
          </cell>
          <cell r="E49" t="str">
            <v>エンジン</v>
          </cell>
          <cell r="F49" t="str">
            <v>GM系</v>
          </cell>
          <cell r="L49">
            <v>146</v>
          </cell>
          <cell r="M49" t="str">
            <v>LEBANON</v>
          </cell>
          <cell r="N49">
            <v>200</v>
          </cell>
          <cell r="O49" t="str">
            <v>Oth Mideast</v>
          </cell>
          <cell r="P49">
            <v>200</v>
          </cell>
          <cell r="Q49" t="str">
            <v>Oth Mideast</v>
          </cell>
          <cell r="R49" t="str">
            <v>●</v>
          </cell>
          <cell r="S49">
            <v>200</v>
          </cell>
          <cell r="T49" t="str">
            <v>Oth Mideast</v>
          </cell>
          <cell r="U49" t="str">
            <v>一般海外</v>
          </cell>
          <cell r="V49" t="str">
            <v>中近東</v>
          </cell>
          <cell r="W49">
            <v>2</v>
          </cell>
          <cell r="X49" t="str">
            <v>中近東</v>
          </cell>
          <cell r="Y49" t="str">
            <v>中近東</v>
          </cell>
          <cell r="Z49" t="str">
            <v>一般</v>
          </cell>
          <cell r="AA49" t="str">
            <v>中近東/ｱﾌﾘｶ</v>
          </cell>
        </row>
        <row r="50">
          <cell r="B50" t="str">
            <v>EngJV</v>
          </cell>
          <cell r="C50" t="str">
            <v>12.OTHER</v>
          </cell>
          <cell r="D50" t="str">
            <v>PT</v>
          </cell>
          <cell r="E50" t="str">
            <v>その他</v>
          </cell>
          <cell r="F50" t="str">
            <v>PT（除くエンジン）</v>
          </cell>
          <cell r="L50">
            <v>147</v>
          </cell>
          <cell r="N50">
            <v>200</v>
          </cell>
          <cell r="O50" t="str">
            <v>Oth Mideast</v>
          </cell>
          <cell r="P50">
            <v>200</v>
          </cell>
          <cell r="Q50" t="str">
            <v>Oth Mideast</v>
          </cell>
          <cell r="R50" t="str">
            <v>●</v>
          </cell>
          <cell r="S50">
            <v>200</v>
          </cell>
          <cell r="T50" t="str">
            <v>Oth Mideast</v>
          </cell>
          <cell r="U50" t="str">
            <v>一般海外</v>
          </cell>
          <cell r="V50" t="str">
            <v>中近東</v>
          </cell>
          <cell r="W50">
            <v>2</v>
          </cell>
          <cell r="X50" t="str">
            <v>中近東</v>
          </cell>
          <cell r="Y50" t="str">
            <v>中近東</v>
          </cell>
          <cell r="Z50" t="str">
            <v>一般</v>
          </cell>
          <cell r="AA50" t="str">
            <v>中近東/ｱﾌﾘｶ</v>
          </cell>
        </row>
        <row r="51">
          <cell r="B51" t="str">
            <v>HAS</v>
          </cell>
          <cell r="C51" t="str">
            <v>12.OTHER</v>
          </cell>
          <cell r="D51" t="str">
            <v>PT</v>
          </cell>
          <cell r="E51" t="str">
            <v>その他</v>
          </cell>
          <cell r="F51" t="str">
            <v>PT（除くエンジン）</v>
          </cell>
          <cell r="L51">
            <v>151</v>
          </cell>
          <cell r="M51" t="str">
            <v>QATAR</v>
          </cell>
          <cell r="N51">
            <v>200</v>
          </cell>
          <cell r="O51" t="str">
            <v>Oth Mideast</v>
          </cell>
          <cell r="P51">
            <v>200</v>
          </cell>
          <cell r="Q51" t="str">
            <v>Oth Mideast</v>
          </cell>
          <cell r="R51" t="str">
            <v>●</v>
          </cell>
          <cell r="S51">
            <v>200</v>
          </cell>
          <cell r="T51" t="str">
            <v>Oth Mideast</v>
          </cell>
          <cell r="U51" t="str">
            <v>一般海外</v>
          </cell>
          <cell r="V51" t="str">
            <v>中近東</v>
          </cell>
          <cell r="W51">
            <v>2</v>
          </cell>
          <cell r="X51" t="str">
            <v>中近東</v>
          </cell>
          <cell r="Y51" t="str">
            <v>中近東</v>
          </cell>
          <cell r="Z51" t="str">
            <v>一般</v>
          </cell>
          <cell r="AA51" t="str">
            <v>中近東/ｱﾌﾘｶ</v>
          </cell>
        </row>
        <row r="52">
          <cell r="B52" t="str">
            <v>MUX</v>
          </cell>
          <cell r="C52" t="str">
            <v>12.OTHER</v>
          </cell>
          <cell r="D52" t="str">
            <v>PT</v>
          </cell>
          <cell r="E52" t="str">
            <v>その他</v>
          </cell>
          <cell r="F52" t="str">
            <v>PT（除くエンジン）</v>
          </cell>
          <cell r="L52">
            <v>153</v>
          </cell>
          <cell r="N52">
            <v>200</v>
          </cell>
          <cell r="O52" t="str">
            <v>Oth Mideast</v>
          </cell>
          <cell r="P52">
            <v>200</v>
          </cell>
          <cell r="Q52" t="str">
            <v>Oth Mideast</v>
          </cell>
          <cell r="R52" t="str">
            <v>●</v>
          </cell>
          <cell r="S52">
            <v>200</v>
          </cell>
          <cell r="T52" t="str">
            <v>Oth Mideast</v>
          </cell>
          <cell r="U52" t="str">
            <v>一般海外</v>
          </cell>
          <cell r="V52" t="str">
            <v>中近東</v>
          </cell>
          <cell r="W52">
            <v>2</v>
          </cell>
          <cell r="X52" t="str">
            <v>中近東</v>
          </cell>
          <cell r="Y52" t="str">
            <v>中近東</v>
          </cell>
          <cell r="Z52" t="str">
            <v>一般</v>
          </cell>
          <cell r="AA52" t="str">
            <v>中近東/ｱﾌﾘｶ</v>
          </cell>
        </row>
        <row r="53">
          <cell r="B53" t="str">
            <v>MYY</v>
          </cell>
          <cell r="C53" t="str">
            <v>12.OTHER</v>
          </cell>
          <cell r="D53" t="str">
            <v>PT</v>
          </cell>
          <cell r="E53" t="str">
            <v>その他</v>
          </cell>
          <cell r="F53" t="str">
            <v>PT（除くエンジン）</v>
          </cell>
          <cell r="L53">
            <v>160</v>
          </cell>
          <cell r="N53">
            <v>200</v>
          </cell>
          <cell r="O53" t="str">
            <v>Oth Mideast</v>
          </cell>
          <cell r="P53">
            <v>200</v>
          </cell>
          <cell r="Q53" t="str">
            <v>Oth Mideast</v>
          </cell>
          <cell r="R53" t="str">
            <v>●</v>
          </cell>
          <cell r="S53">
            <v>200</v>
          </cell>
          <cell r="T53" t="str">
            <v>Oth Mideast</v>
          </cell>
          <cell r="U53" t="str">
            <v>一般海外</v>
          </cell>
          <cell r="V53" t="str">
            <v>中近東</v>
          </cell>
          <cell r="W53">
            <v>2</v>
          </cell>
          <cell r="X53" t="str">
            <v>中近東</v>
          </cell>
          <cell r="Y53" t="str">
            <v>中近東</v>
          </cell>
          <cell r="Z53" t="str">
            <v>一般</v>
          </cell>
          <cell r="AA53" t="str">
            <v>中近東/ｱﾌﾘｶ</v>
          </cell>
        </row>
        <row r="54">
          <cell r="B54" t="str">
            <v>Royalty</v>
          </cell>
          <cell r="C54" t="str">
            <v>12.OTHER</v>
          </cell>
          <cell r="D54" t="str">
            <v>その他</v>
          </cell>
          <cell r="E54" t="str">
            <v>その他</v>
          </cell>
          <cell r="F54" t="str">
            <v>Royalty</v>
          </cell>
          <cell r="L54">
            <v>205</v>
          </cell>
          <cell r="M54" t="str">
            <v>United Kingdom</v>
          </cell>
          <cell r="N54">
            <v>205</v>
          </cell>
          <cell r="O54" t="str">
            <v>United Kingdom</v>
          </cell>
          <cell r="P54">
            <v>205</v>
          </cell>
          <cell r="Q54" t="str">
            <v>United Kingdom</v>
          </cell>
          <cell r="R54" t="str">
            <v>◎</v>
          </cell>
          <cell r="S54">
            <v>205</v>
          </cell>
          <cell r="T54" t="str">
            <v>United Kingdom</v>
          </cell>
          <cell r="U54" t="str">
            <v>一般海外</v>
          </cell>
          <cell r="V54" t="str">
            <v>ﾖｰﾛｯﾊﾟ</v>
          </cell>
          <cell r="W54">
            <v>3</v>
          </cell>
          <cell r="X54" t="str">
            <v>ﾖｰﾛｯﾊﾟ</v>
          </cell>
          <cell r="Y54" t="str">
            <v>ﾖｰﾛｯﾊﾟ</v>
          </cell>
          <cell r="Z54" t="str">
            <v>一般</v>
          </cell>
          <cell r="AA54" t="str">
            <v>欧州</v>
          </cell>
        </row>
        <row r="55">
          <cell r="B55" t="str">
            <v>T150</v>
          </cell>
          <cell r="C55" t="str">
            <v>12.OTHER</v>
          </cell>
          <cell r="D55" t="str">
            <v>PT</v>
          </cell>
          <cell r="E55" t="str">
            <v>その他</v>
          </cell>
          <cell r="F55" t="str">
            <v>PT（除くエンジン）</v>
          </cell>
          <cell r="L55">
            <v>213</v>
          </cell>
          <cell r="M55" t="str">
            <v>FR GERM</v>
          </cell>
          <cell r="N55">
            <v>213</v>
          </cell>
          <cell r="O55" t="str">
            <v>FR GERM</v>
          </cell>
          <cell r="P55">
            <v>213</v>
          </cell>
          <cell r="Q55" t="str">
            <v>FR GERM</v>
          </cell>
          <cell r="R55" t="str">
            <v>◎</v>
          </cell>
          <cell r="S55">
            <v>213</v>
          </cell>
          <cell r="T55" t="str">
            <v>FR GERM</v>
          </cell>
          <cell r="U55" t="str">
            <v>一般海外</v>
          </cell>
          <cell r="V55" t="str">
            <v>ﾖｰﾛｯﾊﾟ</v>
          </cell>
          <cell r="W55">
            <v>3</v>
          </cell>
          <cell r="X55" t="str">
            <v>ﾖｰﾛｯﾊﾟ</v>
          </cell>
          <cell r="Y55" t="str">
            <v>ﾖｰﾛｯﾊﾟ</v>
          </cell>
          <cell r="Z55" t="str">
            <v>一般</v>
          </cell>
          <cell r="AA55" t="str">
            <v>欧州</v>
          </cell>
        </row>
        <row r="56">
          <cell r="B56" t="str">
            <v>TAH</v>
          </cell>
          <cell r="C56" t="str">
            <v>12.OTHER</v>
          </cell>
          <cell r="D56" t="str">
            <v>PT</v>
          </cell>
          <cell r="E56" t="str">
            <v>その他</v>
          </cell>
          <cell r="F56" t="str">
            <v>PT（除くエンジン）</v>
          </cell>
          <cell r="L56">
            <v>217</v>
          </cell>
          <cell r="M56" t="str">
            <v>Portugal</v>
          </cell>
          <cell r="N56">
            <v>217</v>
          </cell>
          <cell r="O56" t="str">
            <v>Portugal</v>
          </cell>
          <cell r="P56">
            <v>217</v>
          </cell>
          <cell r="Q56" t="str">
            <v>Portugal</v>
          </cell>
          <cell r="R56" t="str">
            <v>◎</v>
          </cell>
          <cell r="S56">
            <v>217</v>
          </cell>
          <cell r="T56" t="str">
            <v>Portugal</v>
          </cell>
          <cell r="U56" t="str">
            <v>一般海外</v>
          </cell>
          <cell r="V56" t="str">
            <v>ﾖｰﾛｯﾊﾟ</v>
          </cell>
          <cell r="W56">
            <v>3</v>
          </cell>
          <cell r="X56" t="str">
            <v>ﾖｰﾛｯﾊﾟ</v>
          </cell>
          <cell r="Y56" t="str">
            <v>ﾖｰﾛｯﾊﾟ</v>
          </cell>
          <cell r="Z56" t="str">
            <v>一般</v>
          </cell>
          <cell r="AA56" t="str">
            <v>欧州</v>
          </cell>
        </row>
        <row r="57">
          <cell r="B57" t="str">
            <v>4E</v>
          </cell>
          <cell r="C57" t="str">
            <v>12.OTHER Eng</v>
          </cell>
          <cell r="D57" t="str">
            <v>PT</v>
          </cell>
          <cell r="E57" t="str">
            <v>エンジン</v>
          </cell>
          <cell r="F57" t="str">
            <v>その他エンジン</v>
          </cell>
          <cell r="L57">
            <v>218</v>
          </cell>
          <cell r="M57" t="str">
            <v>SPAIN</v>
          </cell>
          <cell r="N57">
            <v>218</v>
          </cell>
          <cell r="O57" t="str">
            <v>SPAIN</v>
          </cell>
          <cell r="P57">
            <v>218</v>
          </cell>
          <cell r="Q57" t="str">
            <v>SPAIN</v>
          </cell>
          <cell r="R57" t="str">
            <v>◎</v>
          </cell>
          <cell r="S57">
            <v>218</v>
          </cell>
          <cell r="T57" t="str">
            <v>SPAIN</v>
          </cell>
          <cell r="U57" t="str">
            <v>一般海外</v>
          </cell>
          <cell r="V57" t="str">
            <v>ﾖｰﾛｯﾊﾟ</v>
          </cell>
          <cell r="W57">
            <v>3</v>
          </cell>
          <cell r="X57" t="str">
            <v>ﾖｰﾛｯﾊﾟ</v>
          </cell>
          <cell r="Y57" t="str">
            <v>ﾖｰﾛｯﾊﾟ</v>
          </cell>
          <cell r="Z57" t="str">
            <v>一般</v>
          </cell>
          <cell r="AA57" t="str">
            <v>欧州</v>
          </cell>
        </row>
        <row r="58">
          <cell r="B58" t="str">
            <v>4EE</v>
          </cell>
          <cell r="C58" t="str">
            <v>12.OTHER Eng</v>
          </cell>
          <cell r="D58" t="str">
            <v>PT</v>
          </cell>
          <cell r="E58" t="str">
            <v>エンジン</v>
          </cell>
          <cell r="F58" t="str">
            <v>その他エンジン</v>
          </cell>
          <cell r="L58">
            <v>234</v>
          </cell>
          <cell r="M58" t="str">
            <v>Turkey</v>
          </cell>
          <cell r="N58">
            <v>234</v>
          </cell>
          <cell r="O58" t="str">
            <v>Turkey</v>
          </cell>
          <cell r="P58">
            <v>234</v>
          </cell>
          <cell r="Q58" t="str">
            <v>Turkey</v>
          </cell>
          <cell r="R58" t="str">
            <v>◎</v>
          </cell>
          <cell r="S58">
            <v>234</v>
          </cell>
          <cell r="T58" t="str">
            <v>Turkey</v>
          </cell>
          <cell r="U58" t="str">
            <v>一般海外</v>
          </cell>
          <cell r="V58" t="str">
            <v>ﾖｰﾛｯﾊﾟ</v>
          </cell>
          <cell r="W58">
            <v>3</v>
          </cell>
          <cell r="X58" t="str">
            <v>ﾖｰﾛｯﾊﾟ</v>
          </cell>
          <cell r="Y58" t="str">
            <v>ﾖｰﾛｯﾊﾟ</v>
          </cell>
          <cell r="Z58" t="str">
            <v>一般</v>
          </cell>
          <cell r="AA58" t="str">
            <v>欧州</v>
          </cell>
        </row>
        <row r="59">
          <cell r="B59" t="str">
            <v>4H</v>
          </cell>
          <cell r="C59" t="str">
            <v>12.OTHER Eng</v>
          </cell>
          <cell r="D59" t="str">
            <v>PT</v>
          </cell>
          <cell r="E59" t="str">
            <v>エンジン</v>
          </cell>
          <cell r="F59" t="str">
            <v>その他エンジン</v>
          </cell>
          <cell r="L59">
            <v>203</v>
          </cell>
          <cell r="M59" t="str">
            <v>SWEDEN</v>
          </cell>
          <cell r="N59">
            <v>300</v>
          </cell>
          <cell r="O59" t="str">
            <v>Oth Europe</v>
          </cell>
          <cell r="P59">
            <v>203</v>
          </cell>
          <cell r="Q59" t="str">
            <v>SWEDEN</v>
          </cell>
          <cell r="R59" t="str">
            <v>◎</v>
          </cell>
          <cell r="S59">
            <v>203</v>
          </cell>
          <cell r="T59" t="str">
            <v>SWEDEN</v>
          </cell>
          <cell r="U59" t="str">
            <v>一般海外</v>
          </cell>
          <cell r="V59" t="str">
            <v>ﾖｰﾛｯﾊﾟ</v>
          </cell>
          <cell r="W59">
            <v>3</v>
          </cell>
          <cell r="X59" t="str">
            <v>ﾖｰﾛｯﾊﾟ</v>
          </cell>
          <cell r="Y59" t="str">
            <v>ﾖｰﾛｯﾊﾟ</v>
          </cell>
          <cell r="Z59" t="str">
            <v>一般</v>
          </cell>
          <cell r="AA59" t="str">
            <v>欧州</v>
          </cell>
        </row>
        <row r="60">
          <cell r="B60" t="str">
            <v>4H/6H</v>
          </cell>
          <cell r="C60" t="str">
            <v>12.OTHER Eng</v>
          </cell>
          <cell r="D60" t="str">
            <v>PT</v>
          </cell>
          <cell r="E60" t="str">
            <v>エンジン</v>
          </cell>
          <cell r="F60" t="str">
            <v>その他エンジン</v>
          </cell>
          <cell r="L60">
            <v>206</v>
          </cell>
          <cell r="M60" t="str">
            <v>Ireland</v>
          </cell>
          <cell r="N60">
            <v>300</v>
          </cell>
          <cell r="O60" t="str">
            <v>Oth Europe</v>
          </cell>
          <cell r="P60">
            <v>206</v>
          </cell>
          <cell r="Q60" t="str">
            <v>Ireland</v>
          </cell>
          <cell r="R60" t="str">
            <v>X</v>
          </cell>
          <cell r="S60">
            <v>300</v>
          </cell>
          <cell r="T60" t="str">
            <v>Oth Europe</v>
          </cell>
          <cell r="U60" t="str">
            <v>一般海外</v>
          </cell>
          <cell r="V60" t="str">
            <v>ﾖｰﾛｯﾊﾟ</v>
          </cell>
          <cell r="W60">
            <v>3</v>
          </cell>
          <cell r="X60" t="str">
            <v>ﾖｰﾛｯﾊﾟ</v>
          </cell>
          <cell r="Y60" t="str">
            <v>ﾖｰﾛｯﾊﾟ</v>
          </cell>
          <cell r="Z60" t="str">
            <v>一般</v>
          </cell>
          <cell r="AA60" t="str">
            <v>欧州</v>
          </cell>
        </row>
        <row r="61">
          <cell r="B61" t="str">
            <v>4HE</v>
          </cell>
          <cell r="C61" t="str">
            <v>12.OTHER Eng</v>
          </cell>
          <cell r="D61" t="str">
            <v>PT</v>
          </cell>
          <cell r="E61" t="str">
            <v>エンジン</v>
          </cell>
          <cell r="F61" t="str">
            <v>その他エンジン</v>
          </cell>
          <cell r="L61">
            <v>210</v>
          </cell>
          <cell r="M61" t="str">
            <v>FRANCE</v>
          </cell>
          <cell r="N61">
            <v>300</v>
          </cell>
          <cell r="O61" t="str">
            <v>Oth Europe</v>
          </cell>
          <cell r="P61">
            <v>210</v>
          </cell>
          <cell r="Q61" t="str">
            <v>FRANCE</v>
          </cell>
          <cell r="R61" t="str">
            <v>◎</v>
          </cell>
          <cell r="S61">
            <v>210</v>
          </cell>
          <cell r="T61" t="str">
            <v>FRANCE</v>
          </cell>
          <cell r="U61" t="str">
            <v>一般海外</v>
          </cell>
          <cell r="V61" t="str">
            <v>ﾖｰﾛｯﾊﾟ</v>
          </cell>
          <cell r="W61">
            <v>3</v>
          </cell>
          <cell r="X61" t="str">
            <v>ﾖｰﾛｯﾊﾟ</v>
          </cell>
          <cell r="Y61" t="str">
            <v>ﾖｰﾛｯﾊﾟ</v>
          </cell>
          <cell r="Z61" t="str">
            <v>一般</v>
          </cell>
          <cell r="AA61" t="str">
            <v>欧州</v>
          </cell>
        </row>
        <row r="62">
          <cell r="B62" t="str">
            <v>4J</v>
          </cell>
          <cell r="C62" t="str">
            <v>12.OTHER Eng</v>
          </cell>
          <cell r="D62" t="str">
            <v>PT</v>
          </cell>
          <cell r="E62" t="str">
            <v>エンジン</v>
          </cell>
          <cell r="F62" t="str">
            <v>その他エンジン</v>
          </cell>
          <cell r="L62">
            <v>220</v>
          </cell>
          <cell r="M62" t="str">
            <v>Italy</v>
          </cell>
          <cell r="N62">
            <v>300</v>
          </cell>
          <cell r="O62" t="str">
            <v>Oth Europe</v>
          </cell>
          <cell r="P62">
            <v>220</v>
          </cell>
          <cell r="Q62" t="str">
            <v>Italy</v>
          </cell>
          <cell r="R62" t="str">
            <v>◎</v>
          </cell>
          <cell r="S62">
            <v>220</v>
          </cell>
          <cell r="T62" t="str">
            <v>Italy</v>
          </cell>
          <cell r="U62" t="str">
            <v>一般海外</v>
          </cell>
          <cell r="V62" t="str">
            <v>ﾖｰﾛｯﾊﾟ</v>
          </cell>
          <cell r="W62">
            <v>3</v>
          </cell>
          <cell r="X62" t="str">
            <v>ﾖｰﾛｯﾊﾟ</v>
          </cell>
          <cell r="Y62" t="str">
            <v>ﾖｰﾛｯﾊﾟ</v>
          </cell>
          <cell r="Z62" t="str">
            <v>一般</v>
          </cell>
          <cell r="AA62" t="str">
            <v>欧州</v>
          </cell>
        </row>
        <row r="63">
          <cell r="B63" t="str">
            <v>6H</v>
          </cell>
          <cell r="C63" t="str">
            <v>12.OTHER Eng</v>
          </cell>
          <cell r="D63" t="str">
            <v>PT</v>
          </cell>
          <cell r="E63" t="str">
            <v>エンジン</v>
          </cell>
          <cell r="F63" t="str">
            <v>その他エンジン</v>
          </cell>
          <cell r="L63">
            <v>223</v>
          </cell>
          <cell r="M63" t="str">
            <v>POLAND</v>
          </cell>
          <cell r="N63">
            <v>300</v>
          </cell>
          <cell r="O63" t="str">
            <v>Oth Europe</v>
          </cell>
          <cell r="P63">
            <v>223</v>
          </cell>
          <cell r="Q63" t="str">
            <v>POLAND</v>
          </cell>
          <cell r="R63" t="str">
            <v>◎</v>
          </cell>
          <cell r="S63">
            <v>223</v>
          </cell>
          <cell r="T63" t="str">
            <v>POLAND</v>
          </cell>
          <cell r="U63" t="str">
            <v>一般海外</v>
          </cell>
          <cell r="V63" t="str">
            <v>ﾖｰﾛｯﾊﾟ</v>
          </cell>
          <cell r="W63">
            <v>3</v>
          </cell>
          <cell r="X63" t="str">
            <v>ﾖｰﾛｯﾊﾟ</v>
          </cell>
          <cell r="Y63" t="str">
            <v>ﾖｰﾛｯﾊﾟ</v>
          </cell>
          <cell r="Z63" t="str">
            <v>一般</v>
          </cell>
          <cell r="AA63" t="str">
            <v>欧州</v>
          </cell>
        </row>
        <row r="64">
          <cell r="B64" t="str">
            <v>部品1</v>
          </cell>
          <cell r="C64" t="str">
            <v>13.DOM</v>
          </cell>
          <cell r="D64" t="str">
            <v>部品</v>
          </cell>
          <cell r="E64" t="str">
            <v>部品売上</v>
          </cell>
          <cell r="F64" t="str">
            <v>部品売上</v>
          </cell>
          <cell r="L64">
            <v>238</v>
          </cell>
          <cell r="M64" t="str">
            <v>UKRAINE</v>
          </cell>
          <cell r="N64">
            <v>300</v>
          </cell>
          <cell r="O64" t="str">
            <v>Oth Europe</v>
          </cell>
          <cell r="P64">
            <v>238</v>
          </cell>
          <cell r="Q64" t="str">
            <v>UKRAINE</v>
          </cell>
          <cell r="R64" t="str">
            <v>◎</v>
          </cell>
          <cell r="S64">
            <v>238</v>
          </cell>
          <cell r="T64" t="str">
            <v>UKRAINE</v>
          </cell>
          <cell r="U64" t="str">
            <v>一般海外</v>
          </cell>
          <cell r="V64" t="str">
            <v>ﾖｰﾛｯﾊﾟ</v>
          </cell>
          <cell r="W64">
            <v>3</v>
          </cell>
          <cell r="X64" t="str">
            <v>ﾖｰﾛｯﾊﾟ</v>
          </cell>
          <cell r="Y64" t="str">
            <v>ﾖｰﾛｯﾊﾟ</v>
          </cell>
          <cell r="Z64" t="str">
            <v>一般</v>
          </cell>
          <cell r="AA64" t="str">
            <v>欧州</v>
          </cell>
        </row>
        <row r="65">
          <cell r="B65" t="str">
            <v>部品2</v>
          </cell>
          <cell r="C65" t="str">
            <v>13.DOM</v>
          </cell>
          <cell r="D65" t="str">
            <v>部品</v>
          </cell>
          <cell r="E65" t="str">
            <v>部品売上</v>
          </cell>
          <cell r="F65" t="str">
            <v>部品売上</v>
          </cell>
          <cell r="L65">
            <v>300</v>
          </cell>
          <cell r="M65" t="str">
            <v>Oth Europe</v>
          </cell>
          <cell r="N65">
            <v>300</v>
          </cell>
          <cell r="O65" t="str">
            <v>Oth Europe</v>
          </cell>
          <cell r="P65">
            <v>300</v>
          </cell>
          <cell r="Q65" t="str">
            <v>Oth Europe</v>
          </cell>
          <cell r="R65" t="str">
            <v>●</v>
          </cell>
          <cell r="S65">
            <v>300</v>
          </cell>
          <cell r="T65" t="str">
            <v>Oth Europe</v>
          </cell>
          <cell r="U65" t="str">
            <v>一般海外</v>
          </cell>
          <cell r="V65" t="str">
            <v>ﾖｰﾛｯﾊﾟ</v>
          </cell>
          <cell r="W65">
            <v>3</v>
          </cell>
          <cell r="X65" t="str">
            <v>ﾖｰﾛｯﾊﾟ</v>
          </cell>
          <cell r="Y65" t="str">
            <v>ﾖｰﾛｯﾊﾟ</v>
          </cell>
          <cell r="Z65" t="str">
            <v>一般</v>
          </cell>
          <cell r="AA65" t="str">
            <v>欧州</v>
          </cell>
        </row>
        <row r="66">
          <cell r="B66" t="str">
            <v>部品3</v>
          </cell>
          <cell r="C66" t="str">
            <v>13.DOM</v>
          </cell>
          <cell r="D66" t="str">
            <v>部品</v>
          </cell>
          <cell r="E66" t="str">
            <v>部品売上</v>
          </cell>
          <cell r="F66" t="str">
            <v>部品売上</v>
          </cell>
          <cell r="L66">
            <v>201</v>
          </cell>
          <cell r="M66" t="str">
            <v>ICELAND</v>
          </cell>
          <cell r="N66">
            <v>300</v>
          </cell>
          <cell r="O66" t="str">
            <v>Oth Europe</v>
          </cell>
          <cell r="P66">
            <v>300</v>
          </cell>
          <cell r="Q66" t="str">
            <v>Oth Europe</v>
          </cell>
          <cell r="R66" t="str">
            <v>●</v>
          </cell>
          <cell r="S66">
            <v>300</v>
          </cell>
          <cell r="T66" t="str">
            <v>Oth Europe</v>
          </cell>
          <cell r="U66" t="str">
            <v>一般海外</v>
          </cell>
          <cell r="V66" t="str">
            <v>ﾖｰﾛｯﾊﾟ</v>
          </cell>
          <cell r="W66">
            <v>3</v>
          </cell>
          <cell r="X66" t="str">
            <v>ﾖｰﾛｯﾊﾟ</v>
          </cell>
          <cell r="Y66" t="str">
            <v>ﾖｰﾛｯﾊﾟ</v>
          </cell>
          <cell r="Z66" t="str">
            <v>一般</v>
          </cell>
          <cell r="AA66" t="str">
            <v>欧州</v>
          </cell>
        </row>
        <row r="67">
          <cell r="B67" t="str">
            <v>部品4</v>
          </cell>
          <cell r="C67" t="str">
            <v>14.NA</v>
          </cell>
          <cell r="D67" t="str">
            <v>部品</v>
          </cell>
          <cell r="E67" t="str">
            <v>部品売上</v>
          </cell>
          <cell r="F67" t="str">
            <v>部品売上</v>
          </cell>
          <cell r="L67">
            <v>202</v>
          </cell>
          <cell r="M67" t="str">
            <v>NORWAY</v>
          </cell>
          <cell r="N67">
            <v>300</v>
          </cell>
          <cell r="O67" t="str">
            <v>Oth Europe</v>
          </cell>
          <cell r="P67">
            <v>300</v>
          </cell>
          <cell r="Q67" t="str">
            <v>Oth Europe</v>
          </cell>
          <cell r="R67" t="str">
            <v>●</v>
          </cell>
          <cell r="S67">
            <v>300</v>
          </cell>
          <cell r="T67" t="str">
            <v>Oth Europe</v>
          </cell>
          <cell r="U67" t="str">
            <v>一般海外</v>
          </cell>
          <cell r="V67" t="str">
            <v>ﾖｰﾛｯﾊﾟ</v>
          </cell>
          <cell r="W67">
            <v>3</v>
          </cell>
          <cell r="X67" t="str">
            <v>ﾖｰﾛｯﾊﾟ</v>
          </cell>
          <cell r="Y67" t="str">
            <v>ﾖｰﾛｯﾊﾟ</v>
          </cell>
          <cell r="Z67" t="str">
            <v>一般</v>
          </cell>
          <cell r="AA67" t="str">
            <v>欧州</v>
          </cell>
        </row>
        <row r="68">
          <cell r="B68" t="str">
            <v>部品5</v>
          </cell>
          <cell r="C68" t="str">
            <v>15.G.EXP</v>
          </cell>
          <cell r="D68" t="str">
            <v>部品</v>
          </cell>
          <cell r="E68" t="str">
            <v>部品売上</v>
          </cell>
          <cell r="F68" t="str">
            <v>部品売上</v>
          </cell>
          <cell r="L68">
            <v>204</v>
          </cell>
          <cell r="M68" t="str">
            <v>DENMARK</v>
          </cell>
          <cell r="N68">
            <v>300</v>
          </cell>
          <cell r="O68" t="str">
            <v>Oth Europe</v>
          </cell>
          <cell r="P68">
            <v>300</v>
          </cell>
          <cell r="Q68" t="str">
            <v>Oth Europe</v>
          </cell>
          <cell r="R68" t="str">
            <v>●</v>
          </cell>
          <cell r="S68">
            <v>300</v>
          </cell>
          <cell r="T68" t="str">
            <v>Oth Europe</v>
          </cell>
          <cell r="U68" t="str">
            <v>一般海外</v>
          </cell>
          <cell r="V68" t="str">
            <v>ﾖｰﾛｯﾊﾟ</v>
          </cell>
          <cell r="W68">
            <v>3</v>
          </cell>
          <cell r="X68" t="str">
            <v>ﾖｰﾛｯﾊﾟ</v>
          </cell>
          <cell r="Y68" t="str">
            <v>ﾖｰﾛｯﾊﾟ</v>
          </cell>
          <cell r="Z68" t="str">
            <v>一般</v>
          </cell>
          <cell r="AA68" t="str">
            <v>欧州</v>
          </cell>
        </row>
        <row r="69">
          <cell r="B69" t="str">
            <v>産エン</v>
          </cell>
          <cell r="C69" t="str">
            <v>8.IE</v>
          </cell>
          <cell r="D69" t="str">
            <v>PT</v>
          </cell>
          <cell r="E69" t="str">
            <v>エンジン</v>
          </cell>
          <cell r="F69" t="str">
            <v>産業エンジン</v>
          </cell>
          <cell r="L69">
            <v>207</v>
          </cell>
          <cell r="M69" t="str">
            <v>NETHLDS</v>
          </cell>
          <cell r="N69">
            <v>300</v>
          </cell>
          <cell r="O69" t="str">
            <v>Oth Europe</v>
          </cell>
          <cell r="P69">
            <v>300</v>
          </cell>
          <cell r="Q69" t="str">
            <v>Oth Europe</v>
          </cell>
          <cell r="R69" t="str">
            <v>●</v>
          </cell>
          <cell r="S69">
            <v>300</v>
          </cell>
          <cell r="T69" t="str">
            <v>Oth Europe</v>
          </cell>
          <cell r="U69" t="str">
            <v>一般海外</v>
          </cell>
          <cell r="V69" t="str">
            <v>ﾖｰﾛｯﾊﾟ</v>
          </cell>
          <cell r="W69">
            <v>3</v>
          </cell>
          <cell r="X69" t="str">
            <v>ﾖｰﾛｯﾊﾟ</v>
          </cell>
          <cell r="Y69" t="str">
            <v>ﾖｰﾛｯﾊﾟ</v>
          </cell>
          <cell r="Z69" t="str">
            <v>一般</v>
          </cell>
          <cell r="AA69" t="str">
            <v>欧州</v>
          </cell>
        </row>
        <row r="70">
          <cell r="B70" t="str">
            <v>N-Bus</v>
          </cell>
          <cell r="C70" t="str">
            <v>1.N</v>
          </cell>
          <cell r="D70" t="str">
            <v>車輌</v>
          </cell>
          <cell r="E70" t="str">
            <v>車輌</v>
          </cell>
          <cell r="F70" t="str">
            <v>車輌</v>
          </cell>
          <cell r="L70">
            <v>208</v>
          </cell>
          <cell r="M70" t="str">
            <v>BELGIUM</v>
          </cell>
          <cell r="N70">
            <v>300</v>
          </cell>
          <cell r="O70" t="str">
            <v>Oth Europe</v>
          </cell>
          <cell r="P70">
            <v>300</v>
          </cell>
          <cell r="Q70" t="str">
            <v>Oth Europe</v>
          </cell>
          <cell r="R70" t="str">
            <v>●</v>
          </cell>
          <cell r="S70">
            <v>300</v>
          </cell>
          <cell r="T70" t="str">
            <v>Oth Europe</v>
          </cell>
          <cell r="U70" t="str">
            <v>一般海外</v>
          </cell>
          <cell r="V70" t="str">
            <v>ﾖｰﾛｯﾊﾟ</v>
          </cell>
          <cell r="W70">
            <v>3</v>
          </cell>
          <cell r="X70" t="str">
            <v>ﾖｰﾛｯﾊﾟ</v>
          </cell>
          <cell r="Y70" t="str">
            <v>ﾖｰﾛｯﾊﾟ</v>
          </cell>
          <cell r="Z70" t="str">
            <v>一般</v>
          </cell>
          <cell r="AA70" t="str">
            <v>欧州</v>
          </cell>
        </row>
        <row r="71">
          <cell r="L71">
            <v>209</v>
          </cell>
          <cell r="M71" t="str">
            <v>LUXMBRG</v>
          </cell>
          <cell r="N71">
            <v>300</v>
          </cell>
          <cell r="O71" t="str">
            <v>Oth Europe</v>
          </cell>
          <cell r="P71">
            <v>300</v>
          </cell>
          <cell r="Q71" t="str">
            <v>Oth Europe</v>
          </cell>
          <cell r="R71" t="str">
            <v>●</v>
          </cell>
          <cell r="S71">
            <v>300</v>
          </cell>
          <cell r="T71" t="str">
            <v>Oth Europe</v>
          </cell>
          <cell r="U71" t="str">
            <v>一般海外</v>
          </cell>
          <cell r="V71" t="str">
            <v>ﾖｰﾛｯﾊﾟ</v>
          </cell>
          <cell r="W71">
            <v>3</v>
          </cell>
          <cell r="X71" t="str">
            <v>ﾖｰﾛｯﾊﾟ</v>
          </cell>
          <cell r="Y71" t="str">
            <v>ﾖｰﾛｯﾊﾟ</v>
          </cell>
          <cell r="Z71" t="str">
            <v>一般</v>
          </cell>
          <cell r="AA71" t="str">
            <v>欧州</v>
          </cell>
        </row>
        <row r="72">
          <cell r="L72">
            <v>211</v>
          </cell>
          <cell r="M72" t="str">
            <v>MONACO</v>
          </cell>
          <cell r="N72">
            <v>300</v>
          </cell>
          <cell r="O72" t="str">
            <v>Oth Europe</v>
          </cell>
          <cell r="P72">
            <v>300</v>
          </cell>
          <cell r="Q72" t="str">
            <v>Oth Europe</v>
          </cell>
          <cell r="R72" t="str">
            <v>●</v>
          </cell>
          <cell r="S72">
            <v>300</v>
          </cell>
          <cell r="T72" t="str">
            <v>Oth Europe</v>
          </cell>
          <cell r="U72" t="str">
            <v>一般海外</v>
          </cell>
          <cell r="V72" t="str">
            <v>ﾖｰﾛｯﾊﾟ</v>
          </cell>
          <cell r="W72">
            <v>3</v>
          </cell>
          <cell r="X72" t="str">
            <v>ﾖｰﾛｯﾊﾟ</v>
          </cell>
          <cell r="Y72" t="str">
            <v>ﾖｰﾛｯﾊﾟ</v>
          </cell>
          <cell r="Z72" t="str">
            <v>一般</v>
          </cell>
          <cell r="AA72" t="str">
            <v>欧州</v>
          </cell>
        </row>
        <row r="73">
          <cell r="L73">
            <v>212</v>
          </cell>
          <cell r="M73" t="str">
            <v>ANDORRA</v>
          </cell>
          <cell r="N73">
            <v>300</v>
          </cell>
          <cell r="O73" t="str">
            <v>Oth Europe</v>
          </cell>
          <cell r="P73">
            <v>300</v>
          </cell>
          <cell r="Q73" t="str">
            <v>Oth Europe</v>
          </cell>
          <cell r="R73" t="str">
            <v>●</v>
          </cell>
          <cell r="S73">
            <v>300</v>
          </cell>
          <cell r="T73" t="str">
            <v>Oth Europe</v>
          </cell>
          <cell r="U73" t="str">
            <v>一般海外</v>
          </cell>
          <cell r="V73" t="str">
            <v>ﾖｰﾛｯﾊﾟ</v>
          </cell>
          <cell r="W73">
            <v>3</v>
          </cell>
          <cell r="X73" t="str">
            <v>ﾖｰﾛｯﾊﾟ</v>
          </cell>
          <cell r="Y73" t="str">
            <v>ﾖｰﾛｯﾊﾟ</v>
          </cell>
          <cell r="Z73" t="str">
            <v>一般</v>
          </cell>
          <cell r="AA73" t="str">
            <v>欧州</v>
          </cell>
        </row>
        <row r="74">
          <cell r="L74">
            <v>214</v>
          </cell>
          <cell r="N74">
            <v>300</v>
          </cell>
          <cell r="O74" t="str">
            <v>Oth Europe</v>
          </cell>
          <cell r="P74">
            <v>300</v>
          </cell>
          <cell r="Q74" t="str">
            <v>Oth Europe</v>
          </cell>
          <cell r="R74" t="str">
            <v>●</v>
          </cell>
          <cell r="S74">
            <v>300</v>
          </cell>
          <cell r="T74" t="str">
            <v>Oth Europe</v>
          </cell>
          <cell r="U74" t="str">
            <v>一般海外</v>
          </cell>
          <cell r="V74" t="str">
            <v>ﾖｰﾛｯﾊﾟ</v>
          </cell>
          <cell r="W74">
            <v>3</v>
          </cell>
          <cell r="X74" t="str">
            <v>ﾖｰﾛｯﾊﾟ</v>
          </cell>
          <cell r="Y74" t="str">
            <v>ﾖｰﾛｯﾊﾟ</v>
          </cell>
          <cell r="Z74" t="str">
            <v>一般</v>
          </cell>
          <cell r="AA74" t="str">
            <v>欧州</v>
          </cell>
        </row>
        <row r="75">
          <cell r="L75">
            <v>215</v>
          </cell>
          <cell r="M75" t="str">
            <v>SWITZLD</v>
          </cell>
          <cell r="N75">
            <v>300</v>
          </cell>
          <cell r="O75" t="str">
            <v>Oth Europe</v>
          </cell>
          <cell r="P75">
            <v>300</v>
          </cell>
          <cell r="Q75" t="str">
            <v>Oth Europe</v>
          </cell>
          <cell r="R75" t="str">
            <v>●</v>
          </cell>
          <cell r="S75">
            <v>300</v>
          </cell>
          <cell r="T75" t="str">
            <v>Oth Europe</v>
          </cell>
          <cell r="U75" t="str">
            <v>一般海外</v>
          </cell>
          <cell r="V75" t="str">
            <v>ﾖｰﾛｯﾊﾟ</v>
          </cell>
          <cell r="W75">
            <v>3</v>
          </cell>
          <cell r="X75" t="str">
            <v>ﾖｰﾛｯﾊﾟ</v>
          </cell>
          <cell r="Y75" t="str">
            <v>ﾖｰﾛｯﾊﾟ</v>
          </cell>
          <cell r="Z75" t="str">
            <v>一般</v>
          </cell>
          <cell r="AA75" t="str">
            <v>欧州</v>
          </cell>
        </row>
        <row r="76">
          <cell r="L76">
            <v>216</v>
          </cell>
          <cell r="M76" t="str">
            <v>AZORS</v>
          </cell>
          <cell r="N76">
            <v>300</v>
          </cell>
          <cell r="O76" t="str">
            <v>Oth Europe</v>
          </cell>
          <cell r="P76">
            <v>300</v>
          </cell>
          <cell r="Q76" t="str">
            <v>Oth Europe</v>
          </cell>
          <cell r="R76" t="str">
            <v>●</v>
          </cell>
          <cell r="S76">
            <v>300</v>
          </cell>
          <cell r="T76" t="str">
            <v>Oth Europe</v>
          </cell>
          <cell r="U76" t="str">
            <v>一般海外</v>
          </cell>
          <cell r="V76" t="str">
            <v>ﾖｰﾛｯﾊﾟ</v>
          </cell>
          <cell r="W76">
            <v>3</v>
          </cell>
          <cell r="X76" t="str">
            <v>ﾖｰﾛｯﾊﾟ</v>
          </cell>
          <cell r="Y76" t="str">
            <v>ﾖｰﾛｯﾊﾟ</v>
          </cell>
          <cell r="Z76" t="str">
            <v>一般</v>
          </cell>
          <cell r="AA76" t="str">
            <v>欧州</v>
          </cell>
        </row>
        <row r="77">
          <cell r="L77">
            <v>219</v>
          </cell>
          <cell r="M77" t="str">
            <v>GIBRALT</v>
          </cell>
          <cell r="N77">
            <v>300</v>
          </cell>
          <cell r="O77" t="str">
            <v>Oth Europe</v>
          </cell>
          <cell r="P77">
            <v>300</v>
          </cell>
          <cell r="Q77" t="str">
            <v>Oth Europe</v>
          </cell>
          <cell r="R77" t="str">
            <v>●</v>
          </cell>
          <cell r="S77">
            <v>300</v>
          </cell>
          <cell r="T77" t="str">
            <v>Oth Europe</v>
          </cell>
          <cell r="U77" t="str">
            <v>一般海外</v>
          </cell>
          <cell r="V77" t="str">
            <v>ﾖｰﾛｯﾊﾟ</v>
          </cell>
          <cell r="W77">
            <v>3</v>
          </cell>
          <cell r="X77" t="str">
            <v>ﾖｰﾛｯﾊﾟ</v>
          </cell>
          <cell r="Y77" t="str">
            <v>ﾖｰﾛｯﾊﾟ</v>
          </cell>
          <cell r="Z77" t="str">
            <v>一般</v>
          </cell>
          <cell r="AA77" t="str">
            <v>欧州</v>
          </cell>
        </row>
        <row r="78">
          <cell r="L78">
            <v>221</v>
          </cell>
          <cell r="M78" t="str">
            <v>MALTA</v>
          </cell>
          <cell r="N78">
            <v>300</v>
          </cell>
          <cell r="O78" t="str">
            <v>Oth Europe</v>
          </cell>
          <cell r="P78">
            <v>300</v>
          </cell>
          <cell r="Q78" t="str">
            <v>Oth Europe</v>
          </cell>
          <cell r="R78" t="str">
            <v>●</v>
          </cell>
          <cell r="S78">
            <v>300</v>
          </cell>
          <cell r="T78" t="str">
            <v>Oth Europe</v>
          </cell>
          <cell r="U78" t="str">
            <v>一般海外</v>
          </cell>
          <cell r="V78" t="str">
            <v>ﾖｰﾛｯﾊﾟ</v>
          </cell>
          <cell r="W78">
            <v>3</v>
          </cell>
          <cell r="X78" t="str">
            <v>ﾖｰﾛｯﾊﾟ</v>
          </cell>
          <cell r="Y78" t="str">
            <v>ﾖｰﾛｯﾊﾟ</v>
          </cell>
          <cell r="Z78" t="str">
            <v>一般</v>
          </cell>
          <cell r="AA78" t="str">
            <v>欧州</v>
          </cell>
        </row>
        <row r="79">
          <cell r="L79">
            <v>222</v>
          </cell>
          <cell r="M79" t="str">
            <v>FINLAND</v>
          </cell>
          <cell r="N79">
            <v>300</v>
          </cell>
          <cell r="O79" t="str">
            <v>Oth Europe</v>
          </cell>
          <cell r="P79">
            <v>300</v>
          </cell>
          <cell r="Q79" t="str">
            <v>Oth Europe</v>
          </cell>
          <cell r="R79" t="str">
            <v>●</v>
          </cell>
          <cell r="S79">
            <v>300</v>
          </cell>
          <cell r="T79" t="str">
            <v>Oth Europe</v>
          </cell>
          <cell r="U79" t="str">
            <v>一般海外</v>
          </cell>
          <cell r="V79" t="str">
            <v>ﾖｰﾛｯﾊﾟ</v>
          </cell>
          <cell r="W79">
            <v>3</v>
          </cell>
          <cell r="X79" t="str">
            <v>ﾖｰﾛｯﾊﾟ</v>
          </cell>
          <cell r="Y79" t="str">
            <v>ﾖｰﾛｯﾊﾟ</v>
          </cell>
          <cell r="Z79" t="str">
            <v>一般</v>
          </cell>
          <cell r="AA79" t="str">
            <v>欧州</v>
          </cell>
        </row>
        <row r="80">
          <cell r="L80">
            <v>224</v>
          </cell>
          <cell r="M80" t="str">
            <v>RUSSIAN</v>
          </cell>
          <cell r="N80">
            <v>300</v>
          </cell>
          <cell r="O80" t="str">
            <v>Oth Europe</v>
          </cell>
          <cell r="P80">
            <v>300</v>
          </cell>
          <cell r="Q80" t="str">
            <v>Oth Europe</v>
          </cell>
          <cell r="R80" t="str">
            <v>●</v>
          </cell>
          <cell r="S80">
            <v>300</v>
          </cell>
          <cell r="T80" t="str">
            <v>Oth Europe</v>
          </cell>
          <cell r="U80" t="str">
            <v>一般海外</v>
          </cell>
          <cell r="V80" t="str">
            <v>ﾖｰﾛｯﾊﾟ</v>
          </cell>
          <cell r="W80">
            <v>3</v>
          </cell>
          <cell r="X80" t="str">
            <v>ﾖｰﾛｯﾊﾟ</v>
          </cell>
          <cell r="Y80" t="str">
            <v>ﾖｰﾛｯﾊﾟ</v>
          </cell>
          <cell r="Z80" t="str">
            <v>一般</v>
          </cell>
          <cell r="AA80" t="str">
            <v>欧州</v>
          </cell>
        </row>
        <row r="81">
          <cell r="L81">
            <v>225</v>
          </cell>
          <cell r="M81" t="str">
            <v>AUSTRIA</v>
          </cell>
          <cell r="N81">
            <v>300</v>
          </cell>
          <cell r="O81" t="str">
            <v>Oth Europe</v>
          </cell>
          <cell r="P81">
            <v>300</v>
          </cell>
          <cell r="Q81" t="str">
            <v>Oth Europe</v>
          </cell>
          <cell r="R81" t="str">
            <v>●</v>
          </cell>
          <cell r="S81">
            <v>300</v>
          </cell>
          <cell r="T81" t="str">
            <v>Oth Europe</v>
          </cell>
          <cell r="U81" t="str">
            <v>一般海外</v>
          </cell>
          <cell r="V81" t="str">
            <v>ﾖｰﾛｯﾊﾟ</v>
          </cell>
          <cell r="W81">
            <v>3</v>
          </cell>
          <cell r="X81" t="str">
            <v>ﾖｰﾛｯﾊﾟ</v>
          </cell>
          <cell r="Y81" t="str">
            <v>ﾖｰﾛｯﾊﾟ</v>
          </cell>
          <cell r="Z81" t="str">
            <v>一般</v>
          </cell>
          <cell r="AA81" t="str">
            <v>欧州</v>
          </cell>
        </row>
        <row r="82">
          <cell r="L82">
            <v>226</v>
          </cell>
          <cell r="N82">
            <v>300</v>
          </cell>
          <cell r="O82" t="str">
            <v>Oth Europe</v>
          </cell>
          <cell r="P82">
            <v>300</v>
          </cell>
          <cell r="Q82" t="str">
            <v>Oth Europe</v>
          </cell>
          <cell r="R82" t="str">
            <v>●</v>
          </cell>
          <cell r="S82">
            <v>300</v>
          </cell>
          <cell r="T82" t="str">
            <v>Oth Europe</v>
          </cell>
          <cell r="U82" t="str">
            <v>一般海外</v>
          </cell>
          <cell r="V82" t="str">
            <v>ﾖｰﾛｯﾊﾟ</v>
          </cell>
          <cell r="W82">
            <v>3</v>
          </cell>
          <cell r="X82" t="str">
            <v>ﾖｰﾛｯﾊﾟ</v>
          </cell>
          <cell r="Y82" t="str">
            <v>ﾖｰﾛｯﾊﾟ</v>
          </cell>
          <cell r="Z82" t="str">
            <v>一般</v>
          </cell>
          <cell r="AA82" t="str">
            <v>欧州</v>
          </cell>
        </row>
        <row r="83">
          <cell r="L83">
            <v>227</v>
          </cell>
          <cell r="M83" t="str">
            <v>HUNGARY</v>
          </cell>
          <cell r="N83">
            <v>300</v>
          </cell>
          <cell r="O83" t="str">
            <v>Oth Europe</v>
          </cell>
          <cell r="P83">
            <v>300</v>
          </cell>
          <cell r="Q83" t="str">
            <v>Oth Europe</v>
          </cell>
          <cell r="R83" t="str">
            <v>●</v>
          </cell>
          <cell r="S83">
            <v>300</v>
          </cell>
          <cell r="T83" t="str">
            <v>Oth Europe</v>
          </cell>
          <cell r="U83" t="str">
            <v>一般海外</v>
          </cell>
          <cell r="V83" t="str">
            <v>ﾖｰﾛｯﾊﾟ</v>
          </cell>
          <cell r="W83">
            <v>3</v>
          </cell>
          <cell r="X83" t="str">
            <v>ﾖｰﾛｯﾊﾟ</v>
          </cell>
          <cell r="Y83" t="str">
            <v>ﾖｰﾛｯﾊﾟ</v>
          </cell>
          <cell r="Z83" t="str">
            <v>一般</v>
          </cell>
          <cell r="AA83" t="str">
            <v>欧州</v>
          </cell>
        </row>
        <row r="84">
          <cell r="L84">
            <v>228</v>
          </cell>
          <cell r="M84" t="str">
            <v>SER MON</v>
          </cell>
          <cell r="N84">
            <v>300</v>
          </cell>
          <cell r="O84" t="str">
            <v>Oth Europe</v>
          </cell>
          <cell r="P84">
            <v>300</v>
          </cell>
          <cell r="Q84" t="str">
            <v>Oth Europe</v>
          </cell>
          <cell r="R84" t="str">
            <v>●</v>
          </cell>
          <cell r="S84">
            <v>300</v>
          </cell>
          <cell r="T84" t="str">
            <v>Oth Europe</v>
          </cell>
          <cell r="U84" t="str">
            <v>一般海外</v>
          </cell>
          <cell r="V84" t="str">
            <v>ﾖｰﾛｯﾊﾟ</v>
          </cell>
          <cell r="W84">
            <v>3</v>
          </cell>
          <cell r="X84" t="str">
            <v>ﾖｰﾛｯﾊﾟ</v>
          </cell>
          <cell r="Y84" t="str">
            <v>ﾖｰﾛｯﾊﾟ</v>
          </cell>
          <cell r="Z84" t="str">
            <v>一般</v>
          </cell>
          <cell r="AA84" t="str">
            <v>欧州</v>
          </cell>
        </row>
        <row r="85">
          <cell r="L85">
            <v>230</v>
          </cell>
          <cell r="M85" t="str">
            <v>GREECE</v>
          </cell>
          <cell r="N85">
            <v>300</v>
          </cell>
          <cell r="O85" t="str">
            <v>Oth Europe</v>
          </cell>
          <cell r="P85">
            <v>300</v>
          </cell>
          <cell r="Q85" t="str">
            <v>Oth Europe</v>
          </cell>
          <cell r="R85" t="str">
            <v>●</v>
          </cell>
          <cell r="S85">
            <v>300</v>
          </cell>
          <cell r="T85" t="str">
            <v>Oth Europe</v>
          </cell>
          <cell r="U85" t="str">
            <v>一般海外</v>
          </cell>
          <cell r="V85" t="str">
            <v>ﾖｰﾛｯﾊﾟ</v>
          </cell>
          <cell r="W85">
            <v>3</v>
          </cell>
          <cell r="X85" t="str">
            <v>ﾖｰﾛｯﾊﾟ</v>
          </cell>
          <cell r="Y85" t="str">
            <v>ﾖｰﾛｯﾊﾟ</v>
          </cell>
          <cell r="Z85" t="str">
            <v>一般</v>
          </cell>
          <cell r="AA85" t="str">
            <v>欧州</v>
          </cell>
        </row>
        <row r="86">
          <cell r="L86">
            <v>231</v>
          </cell>
          <cell r="M86" t="str">
            <v>ROMANIA</v>
          </cell>
          <cell r="N86">
            <v>300</v>
          </cell>
          <cell r="O86" t="str">
            <v>Oth Europe</v>
          </cell>
          <cell r="P86">
            <v>300</v>
          </cell>
          <cell r="Q86" t="str">
            <v>Oth Europe</v>
          </cell>
          <cell r="R86" t="str">
            <v>●</v>
          </cell>
          <cell r="S86">
            <v>300</v>
          </cell>
          <cell r="T86" t="str">
            <v>Oth Europe</v>
          </cell>
          <cell r="U86" t="str">
            <v>一般海外</v>
          </cell>
          <cell r="V86" t="str">
            <v>ﾖｰﾛｯﾊﾟ</v>
          </cell>
          <cell r="W86">
            <v>3</v>
          </cell>
          <cell r="X86" t="str">
            <v>ﾖｰﾛｯﾊﾟ</v>
          </cell>
          <cell r="Y86" t="str">
            <v>ﾖｰﾛｯﾊﾟ</v>
          </cell>
          <cell r="Z86" t="str">
            <v>一般</v>
          </cell>
          <cell r="AA86" t="str">
            <v>欧州</v>
          </cell>
        </row>
        <row r="87">
          <cell r="L87">
            <v>232</v>
          </cell>
          <cell r="M87" t="str">
            <v>BULGAL</v>
          </cell>
          <cell r="N87">
            <v>300</v>
          </cell>
          <cell r="O87" t="str">
            <v>Oth Europe</v>
          </cell>
          <cell r="P87">
            <v>300</v>
          </cell>
          <cell r="Q87" t="str">
            <v>Oth Europe</v>
          </cell>
          <cell r="R87" t="str">
            <v>●</v>
          </cell>
          <cell r="S87">
            <v>300</v>
          </cell>
          <cell r="T87" t="str">
            <v>Oth Europe</v>
          </cell>
          <cell r="U87" t="str">
            <v>一般海外</v>
          </cell>
          <cell r="V87" t="str">
            <v>ﾖｰﾛｯﾊﾟ</v>
          </cell>
          <cell r="W87">
            <v>3</v>
          </cell>
          <cell r="X87" t="str">
            <v>ﾖｰﾛｯﾊﾟ</v>
          </cell>
          <cell r="Y87" t="str">
            <v>ﾖｰﾛｯﾊﾟ</v>
          </cell>
          <cell r="Z87" t="str">
            <v>一般</v>
          </cell>
          <cell r="AA87" t="str">
            <v>欧州</v>
          </cell>
        </row>
        <row r="88">
          <cell r="L88">
            <v>233</v>
          </cell>
          <cell r="M88" t="str">
            <v>CYPRUS</v>
          </cell>
          <cell r="N88">
            <v>300</v>
          </cell>
          <cell r="O88" t="str">
            <v>Oth Europe</v>
          </cell>
          <cell r="P88">
            <v>300</v>
          </cell>
          <cell r="Q88" t="str">
            <v>Oth Europe</v>
          </cell>
          <cell r="R88" t="str">
            <v>●</v>
          </cell>
          <cell r="S88">
            <v>300</v>
          </cell>
          <cell r="T88" t="str">
            <v>Oth Europe</v>
          </cell>
          <cell r="U88" t="str">
            <v>一般海外</v>
          </cell>
          <cell r="V88" t="str">
            <v>ﾖｰﾛｯﾊﾟ</v>
          </cell>
          <cell r="W88">
            <v>3</v>
          </cell>
          <cell r="X88" t="str">
            <v>ﾖｰﾛｯﾊﾟ</v>
          </cell>
          <cell r="Y88" t="str">
            <v>ﾖｰﾛｯﾊﾟ</v>
          </cell>
          <cell r="Z88" t="str">
            <v>一般</v>
          </cell>
          <cell r="AA88" t="str">
            <v>欧州</v>
          </cell>
        </row>
        <row r="89">
          <cell r="L89">
            <v>236</v>
          </cell>
          <cell r="M89" t="str">
            <v>LATVIA</v>
          </cell>
          <cell r="N89">
            <v>300</v>
          </cell>
          <cell r="O89" t="str">
            <v>Oth Europe</v>
          </cell>
          <cell r="P89">
            <v>300</v>
          </cell>
          <cell r="Q89" t="str">
            <v>Oth Europe</v>
          </cell>
          <cell r="R89" t="str">
            <v>●</v>
          </cell>
          <cell r="S89">
            <v>300</v>
          </cell>
          <cell r="T89" t="str">
            <v>Oth Europe</v>
          </cell>
          <cell r="U89" t="str">
            <v>一般海外</v>
          </cell>
          <cell r="V89" t="str">
            <v>ﾖｰﾛｯﾊﾟ</v>
          </cell>
          <cell r="W89">
            <v>3</v>
          </cell>
          <cell r="X89" t="str">
            <v>ﾖｰﾛｯﾊﾟ</v>
          </cell>
          <cell r="Y89" t="str">
            <v>ﾖｰﾛｯﾊﾟ</v>
          </cell>
          <cell r="Z89" t="str">
            <v>一般</v>
          </cell>
          <cell r="AA89" t="str">
            <v>欧州</v>
          </cell>
        </row>
        <row r="90">
          <cell r="L90">
            <v>240</v>
          </cell>
          <cell r="M90" t="str">
            <v>FAEROE</v>
          </cell>
          <cell r="N90">
            <v>300</v>
          </cell>
          <cell r="O90" t="str">
            <v>Oth Europe</v>
          </cell>
          <cell r="P90">
            <v>300</v>
          </cell>
          <cell r="Q90" t="str">
            <v>Oth Europe</v>
          </cell>
          <cell r="R90" t="str">
            <v>●</v>
          </cell>
          <cell r="S90">
            <v>300</v>
          </cell>
          <cell r="T90" t="str">
            <v>Oth Europe</v>
          </cell>
          <cell r="U90" t="str">
            <v>一般海外</v>
          </cell>
          <cell r="V90" t="str">
            <v>ﾖｰﾛｯﾊﾟ</v>
          </cell>
          <cell r="W90">
            <v>3</v>
          </cell>
          <cell r="X90" t="str">
            <v>ﾖｰﾛｯﾊﾟ</v>
          </cell>
          <cell r="Y90" t="str">
            <v>ﾖｰﾛｯﾊﾟ</v>
          </cell>
          <cell r="Z90" t="str">
            <v>一般</v>
          </cell>
          <cell r="AA90" t="str">
            <v>欧州</v>
          </cell>
        </row>
        <row r="91">
          <cell r="L91">
            <v>241</v>
          </cell>
          <cell r="M91" t="str">
            <v>CROATIA</v>
          </cell>
          <cell r="N91">
            <v>300</v>
          </cell>
          <cell r="O91" t="str">
            <v>Oth Europe</v>
          </cell>
          <cell r="P91">
            <v>300</v>
          </cell>
          <cell r="Q91" t="str">
            <v>Oth Europe</v>
          </cell>
          <cell r="R91" t="str">
            <v>●</v>
          </cell>
          <cell r="S91">
            <v>300</v>
          </cell>
          <cell r="T91" t="str">
            <v>Oth Europe</v>
          </cell>
          <cell r="U91" t="str">
            <v>一般海外</v>
          </cell>
          <cell r="V91" t="str">
            <v>ﾖｰﾛｯﾊﾟ</v>
          </cell>
          <cell r="W91">
            <v>3</v>
          </cell>
          <cell r="X91" t="str">
            <v>ﾖｰﾛｯﾊﾟ</v>
          </cell>
          <cell r="Y91" t="str">
            <v>ﾖｰﾛｯﾊﾟ</v>
          </cell>
          <cell r="Z91" t="str">
            <v>一般</v>
          </cell>
          <cell r="AA91" t="str">
            <v>欧州</v>
          </cell>
        </row>
        <row r="92">
          <cell r="L92">
            <v>243</v>
          </cell>
          <cell r="M92" t="str">
            <v>BOS HER</v>
          </cell>
          <cell r="N92">
            <v>300</v>
          </cell>
          <cell r="O92" t="str">
            <v>Oth Europe</v>
          </cell>
          <cell r="P92">
            <v>300</v>
          </cell>
          <cell r="Q92" t="str">
            <v>Oth Europe</v>
          </cell>
          <cell r="R92" t="str">
            <v>●</v>
          </cell>
          <cell r="S92">
            <v>300</v>
          </cell>
          <cell r="T92" t="str">
            <v>Oth Europe</v>
          </cell>
          <cell r="U92" t="str">
            <v>一般海外</v>
          </cell>
          <cell r="V92" t="str">
            <v>ﾖｰﾛｯﾊﾟ</v>
          </cell>
          <cell r="W92">
            <v>3</v>
          </cell>
          <cell r="X92" t="str">
            <v>ﾖｰﾛｯﾊﾟ</v>
          </cell>
          <cell r="Y92" t="str">
            <v>ﾖｰﾛｯﾊﾟ</v>
          </cell>
          <cell r="Z92" t="str">
            <v>一般</v>
          </cell>
          <cell r="AA92" t="str">
            <v>欧州</v>
          </cell>
        </row>
        <row r="93">
          <cell r="L93">
            <v>245</v>
          </cell>
          <cell r="M93" t="str">
            <v>CZECH</v>
          </cell>
          <cell r="N93">
            <v>300</v>
          </cell>
          <cell r="O93" t="str">
            <v>Oth Europe</v>
          </cell>
          <cell r="P93">
            <v>300</v>
          </cell>
          <cell r="Q93" t="str">
            <v>Oth Europe</v>
          </cell>
          <cell r="R93" t="str">
            <v>●</v>
          </cell>
          <cell r="S93">
            <v>300</v>
          </cell>
          <cell r="T93" t="str">
            <v>Oth Europe</v>
          </cell>
          <cell r="U93" t="str">
            <v>一般海外</v>
          </cell>
          <cell r="V93" t="str">
            <v>ﾖｰﾛｯﾊﾟ</v>
          </cell>
          <cell r="W93">
            <v>3</v>
          </cell>
          <cell r="X93" t="str">
            <v>ﾖｰﾛｯﾊﾟ</v>
          </cell>
          <cell r="Y93" t="str">
            <v>ﾖｰﾛｯﾊﾟ</v>
          </cell>
          <cell r="Z93" t="str">
            <v>一般</v>
          </cell>
          <cell r="AA93" t="str">
            <v>欧州</v>
          </cell>
        </row>
        <row r="94">
          <cell r="L94">
            <v>302</v>
          </cell>
          <cell r="M94" t="str">
            <v>Canada</v>
          </cell>
          <cell r="N94">
            <v>302</v>
          </cell>
          <cell r="O94" t="str">
            <v>Canada</v>
          </cell>
          <cell r="P94">
            <v>400</v>
          </cell>
          <cell r="Q94" t="str">
            <v>North America</v>
          </cell>
          <cell r="R94" t="str">
            <v>●</v>
          </cell>
          <cell r="S94">
            <v>400</v>
          </cell>
          <cell r="T94" t="str">
            <v>North America</v>
          </cell>
          <cell r="U94" t="str">
            <v>北米</v>
          </cell>
          <cell r="V94" t="str">
            <v>北米</v>
          </cell>
          <cell r="W94">
            <v>4</v>
          </cell>
          <cell r="X94" t="str">
            <v>北米</v>
          </cell>
          <cell r="Y94" t="str">
            <v>北米</v>
          </cell>
          <cell r="Z94" t="str">
            <v>北米</v>
          </cell>
          <cell r="AA94" t="str">
            <v>北米</v>
          </cell>
        </row>
        <row r="95">
          <cell r="L95">
            <v>304</v>
          </cell>
          <cell r="M95" t="str">
            <v>United States</v>
          </cell>
          <cell r="N95">
            <v>304</v>
          </cell>
          <cell r="O95" t="str">
            <v>United States</v>
          </cell>
          <cell r="P95">
            <v>304</v>
          </cell>
          <cell r="Q95" t="str">
            <v>United States</v>
          </cell>
          <cell r="R95" t="str">
            <v>◎</v>
          </cell>
          <cell r="S95">
            <v>304</v>
          </cell>
          <cell r="T95" t="str">
            <v>United States</v>
          </cell>
          <cell r="U95" t="str">
            <v>北米</v>
          </cell>
          <cell r="V95" t="str">
            <v>北米</v>
          </cell>
          <cell r="W95">
            <v>4</v>
          </cell>
          <cell r="X95" t="str">
            <v>北米</v>
          </cell>
          <cell r="Y95" t="str">
            <v>北米</v>
          </cell>
          <cell r="Z95" t="str">
            <v>北米</v>
          </cell>
          <cell r="AA95" t="str">
            <v>北米</v>
          </cell>
        </row>
        <row r="96">
          <cell r="L96">
            <v>324</v>
          </cell>
          <cell r="M96" t="str">
            <v>PRTRICO</v>
          </cell>
          <cell r="N96">
            <v>324</v>
          </cell>
          <cell r="O96" t="str">
            <v>PRTRICO</v>
          </cell>
          <cell r="P96">
            <v>324</v>
          </cell>
          <cell r="Q96" t="str">
            <v>PRTRICO</v>
          </cell>
          <cell r="R96" t="str">
            <v>◎</v>
          </cell>
          <cell r="S96">
            <v>324</v>
          </cell>
          <cell r="T96" t="str">
            <v>PRTRICO</v>
          </cell>
          <cell r="U96" t="str">
            <v>一般海外</v>
          </cell>
          <cell r="V96" t="str">
            <v>中米</v>
          </cell>
          <cell r="W96">
            <v>5</v>
          </cell>
          <cell r="X96" t="str">
            <v>中米</v>
          </cell>
          <cell r="Y96" t="str">
            <v>中米</v>
          </cell>
          <cell r="Z96" t="str">
            <v>一般</v>
          </cell>
          <cell r="AA96" t="str">
            <v>中南米</v>
          </cell>
        </row>
        <row r="97">
          <cell r="L97">
            <v>325</v>
          </cell>
          <cell r="M97" t="str">
            <v>A VIRI</v>
          </cell>
          <cell r="N97">
            <v>325</v>
          </cell>
          <cell r="O97" t="str">
            <v>A VIRI</v>
          </cell>
          <cell r="P97">
            <v>500</v>
          </cell>
          <cell r="Q97" t="str">
            <v>Central America</v>
          </cell>
          <cell r="R97" t="e">
            <v>#REF!</v>
          </cell>
          <cell r="S97">
            <v>500</v>
          </cell>
          <cell r="T97" t="str">
            <v>Central America</v>
          </cell>
          <cell r="U97" t="str">
            <v>一般海外</v>
          </cell>
          <cell r="V97" t="str">
            <v>中米</v>
          </cell>
          <cell r="W97">
            <v>5</v>
          </cell>
          <cell r="X97" t="str">
            <v>中米</v>
          </cell>
          <cell r="Y97" t="str">
            <v>中米</v>
          </cell>
          <cell r="Z97" t="str">
            <v>一般</v>
          </cell>
          <cell r="AA97" t="str">
            <v>中南米</v>
          </cell>
        </row>
        <row r="98">
          <cell r="L98">
            <v>400</v>
          </cell>
          <cell r="M98" t="str">
            <v>North America</v>
          </cell>
          <cell r="N98">
            <v>400</v>
          </cell>
          <cell r="O98" t="str">
            <v>North America</v>
          </cell>
          <cell r="P98">
            <v>400</v>
          </cell>
          <cell r="Q98" t="str">
            <v>North America</v>
          </cell>
          <cell r="R98" t="str">
            <v>◎</v>
          </cell>
          <cell r="S98">
            <v>400</v>
          </cell>
          <cell r="T98" t="str">
            <v>North America</v>
          </cell>
          <cell r="U98" t="str">
            <v>北米</v>
          </cell>
          <cell r="V98" t="str">
            <v>北米</v>
          </cell>
          <cell r="W98">
            <v>4</v>
          </cell>
          <cell r="X98" t="str">
            <v>北米</v>
          </cell>
          <cell r="Y98" t="str">
            <v>北米</v>
          </cell>
          <cell r="Z98" t="str">
            <v>北米</v>
          </cell>
          <cell r="AA98" t="str">
            <v>中南米</v>
          </cell>
        </row>
        <row r="99">
          <cell r="L99">
            <v>401</v>
          </cell>
          <cell r="M99" t="str">
            <v>Colombia</v>
          </cell>
          <cell r="N99">
            <v>401</v>
          </cell>
          <cell r="O99" t="str">
            <v>Colombia</v>
          </cell>
          <cell r="P99">
            <v>401</v>
          </cell>
          <cell r="Q99" t="str">
            <v>Colombia</v>
          </cell>
          <cell r="R99" t="str">
            <v>◎</v>
          </cell>
          <cell r="S99">
            <v>401</v>
          </cell>
          <cell r="T99" t="str">
            <v>Colombia</v>
          </cell>
          <cell r="U99" t="str">
            <v>一般海外</v>
          </cell>
          <cell r="V99" t="str">
            <v>南米</v>
          </cell>
          <cell r="W99">
            <v>6</v>
          </cell>
          <cell r="X99" t="str">
            <v>南米</v>
          </cell>
          <cell r="Y99" t="str">
            <v>南米</v>
          </cell>
          <cell r="Z99" t="str">
            <v>一般</v>
          </cell>
          <cell r="AA99" t="str">
            <v>中南米</v>
          </cell>
        </row>
        <row r="100">
          <cell r="L100">
            <v>406</v>
          </cell>
          <cell r="M100" t="str">
            <v>Ecuador</v>
          </cell>
          <cell r="N100">
            <v>406</v>
          </cell>
          <cell r="O100" t="str">
            <v>Ecuador</v>
          </cell>
          <cell r="P100">
            <v>406</v>
          </cell>
          <cell r="Q100" t="str">
            <v>Ecuador</v>
          </cell>
          <cell r="R100" t="str">
            <v>◎</v>
          </cell>
          <cell r="S100">
            <v>406</v>
          </cell>
          <cell r="T100" t="str">
            <v>Ecuador</v>
          </cell>
          <cell r="U100" t="str">
            <v>一般海外</v>
          </cell>
          <cell r="V100" t="str">
            <v>南米</v>
          </cell>
          <cell r="W100">
            <v>6</v>
          </cell>
          <cell r="X100" t="str">
            <v>南米</v>
          </cell>
          <cell r="Y100" t="str">
            <v>南米</v>
          </cell>
          <cell r="Z100" t="str">
            <v>一般</v>
          </cell>
          <cell r="AA100" t="str">
            <v>中南米</v>
          </cell>
        </row>
        <row r="101">
          <cell r="L101">
            <v>409</v>
          </cell>
          <cell r="M101" t="str">
            <v>Chile</v>
          </cell>
          <cell r="N101">
            <v>409</v>
          </cell>
          <cell r="O101" t="str">
            <v>Chile</v>
          </cell>
          <cell r="P101">
            <v>409</v>
          </cell>
          <cell r="Q101" t="str">
            <v>Chile</v>
          </cell>
          <cell r="R101" t="str">
            <v>◎</v>
          </cell>
          <cell r="S101">
            <v>409</v>
          </cell>
          <cell r="T101" t="str">
            <v>Chile</v>
          </cell>
          <cell r="U101" t="str">
            <v>一般海外</v>
          </cell>
          <cell r="V101" t="str">
            <v>南米</v>
          </cell>
          <cell r="W101">
            <v>6</v>
          </cell>
          <cell r="X101" t="str">
            <v>南米</v>
          </cell>
          <cell r="Y101" t="str">
            <v>南米</v>
          </cell>
          <cell r="Z101" t="str">
            <v>一般</v>
          </cell>
          <cell r="AA101" t="str">
            <v>中南米</v>
          </cell>
        </row>
        <row r="102">
          <cell r="L102">
            <v>413</v>
          </cell>
          <cell r="M102" t="str">
            <v>Argentina</v>
          </cell>
          <cell r="N102">
            <v>413</v>
          </cell>
          <cell r="O102" t="str">
            <v>Argentina</v>
          </cell>
          <cell r="P102">
            <v>600</v>
          </cell>
          <cell r="Q102" t="str">
            <v>Central America</v>
          </cell>
          <cell r="R102" t="str">
            <v>●</v>
          </cell>
          <cell r="S102">
            <v>600</v>
          </cell>
          <cell r="T102" t="str">
            <v>Central America</v>
          </cell>
          <cell r="U102" t="str">
            <v>一般海外</v>
          </cell>
          <cell r="V102" t="str">
            <v>南米</v>
          </cell>
          <cell r="W102">
            <v>6</v>
          </cell>
          <cell r="X102" t="str">
            <v>南米</v>
          </cell>
          <cell r="Y102" t="str">
            <v>南米</v>
          </cell>
          <cell r="Z102" t="str">
            <v>一般</v>
          </cell>
          <cell r="AA102" t="str">
            <v>中南米</v>
          </cell>
        </row>
        <row r="103">
          <cell r="L103">
            <v>500</v>
          </cell>
          <cell r="M103" t="str">
            <v>Central America</v>
          </cell>
          <cell r="N103">
            <v>500</v>
          </cell>
          <cell r="O103" t="str">
            <v>Central America</v>
          </cell>
          <cell r="P103">
            <v>500</v>
          </cell>
          <cell r="Q103" t="str">
            <v>Central America</v>
          </cell>
          <cell r="R103" t="str">
            <v>●</v>
          </cell>
          <cell r="S103">
            <v>500</v>
          </cell>
          <cell r="T103" t="str">
            <v>Central America</v>
          </cell>
          <cell r="U103" t="str">
            <v>一般海外</v>
          </cell>
          <cell r="V103" t="str">
            <v>中米</v>
          </cell>
          <cell r="W103">
            <v>5</v>
          </cell>
          <cell r="X103" t="str">
            <v>中米</v>
          </cell>
          <cell r="Y103" t="str">
            <v>中米</v>
          </cell>
          <cell r="Z103" t="str">
            <v>一般</v>
          </cell>
          <cell r="AA103" t="str">
            <v>中南米</v>
          </cell>
        </row>
        <row r="104">
          <cell r="L104">
            <v>321</v>
          </cell>
          <cell r="M104" t="str">
            <v>Cuba</v>
          </cell>
          <cell r="N104">
            <v>500</v>
          </cell>
          <cell r="O104" t="str">
            <v>Central America</v>
          </cell>
          <cell r="P104">
            <v>500</v>
          </cell>
          <cell r="Q104" t="str">
            <v>Central America</v>
          </cell>
          <cell r="R104" t="str">
            <v>●</v>
          </cell>
          <cell r="S104">
            <v>500</v>
          </cell>
          <cell r="T104" t="str">
            <v>Central America</v>
          </cell>
          <cell r="U104" t="str">
            <v>一般海外</v>
          </cell>
          <cell r="V104" t="str">
            <v>中米</v>
          </cell>
          <cell r="W104">
            <v>5</v>
          </cell>
          <cell r="X104" t="str">
            <v>中米</v>
          </cell>
          <cell r="Y104" t="str">
            <v>中米</v>
          </cell>
          <cell r="Z104" t="str">
            <v>一般</v>
          </cell>
          <cell r="AA104" t="str">
            <v>中南米</v>
          </cell>
        </row>
        <row r="105">
          <cell r="L105">
            <v>305</v>
          </cell>
          <cell r="M105" t="str">
            <v>MAXICO</v>
          </cell>
          <cell r="N105">
            <v>500</v>
          </cell>
          <cell r="O105" t="str">
            <v>Central America</v>
          </cell>
          <cell r="P105">
            <v>500</v>
          </cell>
          <cell r="Q105" t="str">
            <v>Central America</v>
          </cell>
          <cell r="R105" t="str">
            <v>●</v>
          </cell>
          <cell r="S105">
            <v>500</v>
          </cell>
          <cell r="T105" t="str">
            <v>Central America</v>
          </cell>
          <cell r="U105" t="str">
            <v>一般海外</v>
          </cell>
          <cell r="V105" t="str">
            <v>中米</v>
          </cell>
          <cell r="W105">
            <v>5</v>
          </cell>
          <cell r="X105" t="str">
            <v>中米</v>
          </cell>
          <cell r="Y105" t="str">
            <v>中米</v>
          </cell>
          <cell r="Z105" t="str">
            <v>一般</v>
          </cell>
          <cell r="AA105" t="str">
            <v>中南米</v>
          </cell>
        </row>
        <row r="106">
          <cell r="L106">
            <v>306</v>
          </cell>
          <cell r="M106" t="str">
            <v>GUATMAL</v>
          </cell>
          <cell r="N106">
            <v>500</v>
          </cell>
          <cell r="O106" t="str">
            <v>Central America</v>
          </cell>
          <cell r="P106">
            <v>500</v>
          </cell>
          <cell r="Q106" t="str">
            <v>Central America</v>
          </cell>
          <cell r="R106" t="str">
            <v>●</v>
          </cell>
          <cell r="S106">
            <v>500</v>
          </cell>
          <cell r="T106" t="str">
            <v>Central America</v>
          </cell>
          <cell r="U106" t="str">
            <v>一般海外</v>
          </cell>
          <cell r="V106" t="str">
            <v>中米</v>
          </cell>
          <cell r="W106">
            <v>5</v>
          </cell>
          <cell r="X106" t="str">
            <v>中米</v>
          </cell>
          <cell r="Y106" t="str">
            <v>中米</v>
          </cell>
          <cell r="Z106" t="str">
            <v>一般</v>
          </cell>
          <cell r="AA106" t="str">
            <v>中南米</v>
          </cell>
        </row>
        <row r="107">
          <cell r="L107">
            <v>307</v>
          </cell>
          <cell r="M107" t="str">
            <v>HONDURS</v>
          </cell>
          <cell r="N107">
            <v>500</v>
          </cell>
          <cell r="O107" t="str">
            <v>Central America</v>
          </cell>
          <cell r="P107">
            <v>500</v>
          </cell>
          <cell r="Q107" t="str">
            <v>Central America</v>
          </cell>
          <cell r="R107" t="str">
            <v>●</v>
          </cell>
          <cell r="S107">
            <v>500</v>
          </cell>
          <cell r="T107" t="str">
            <v>Central America</v>
          </cell>
          <cell r="U107" t="str">
            <v>一般海外</v>
          </cell>
          <cell r="V107" t="str">
            <v>中米</v>
          </cell>
          <cell r="W107">
            <v>5</v>
          </cell>
          <cell r="X107" t="str">
            <v>中米</v>
          </cell>
          <cell r="Y107" t="str">
            <v>中米</v>
          </cell>
          <cell r="Z107" t="str">
            <v>一般</v>
          </cell>
          <cell r="AA107" t="str">
            <v>中南米</v>
          </cell>
        </row>
        <row r="108">
          <cell r="L108">
            <v>308</v>
          </cell>
          <cell r="M108" t="str">
            <v>BELIZE</v>
          </cell>
          <cell r="N108">
            <v>500</v>
          </cell>
          <cell r="O108" t="str">
            <v>Central America</v>
          </cell>
          <cell r="P108">
            <v>500</v>
          </cell>
          <cell r="Q108" t="str">
            <v>Central America</v>
          </cell>
          <cell r="R108" t="str">
            <v>●</v>
          </cell>
          <cell r="S108">
            <v>500</v>
          </cell>
          <cell r="T108" t="str">
            <v>Central America</v>
          </cell>
          <cell r="U108" t="str">
            <v>一般海外</v>
          </cell>
          <cell r="V108" t="str">
            <v>中米</v>
          </cell>
          <cell r="W108">
            <v>5</v>
          </cell>
          <cell r="X108" t="str">
            <v>中米</v>
          </cell>
          <cell r="Y108" t="str">
            <v>中米</v>
          </cell>
          <cell r="Z108" t="str">
            <v>一般</v>
          </cell>
          <cell r="AA108" t="str">
            <v>中南米</v>
          </cell>
        </row>
        <row r="109">
          <cell r="L109">
            <v>309</v>
          </cell>
          <cell r="M109" t="str">
            <v>SALVADR</v>
          </cell>
          <cell r="N109">
            <v>500</v>
          </cell>
          <cell r="O109" t="str">
            <v>Central America</v>
          </cell>
          <cell r="P109">
            <v>500</v>
          </cell>
          <cell r="Q109" t="str">
            <v>Central America</v>
          </cell>
          <cell r="R109" t="str">
            <v>●</v>
          </cell>
          <cell r="S109">
            <v>500</v>
          </cell>
          <cell r="T109" t="str">
            <v>Central America</v>
          </cell>
          <cell r="U109" t="str">
            <v>一般海外</v>
          </cell>
          <cell r="V109" t="str">
            <v>中米</v>
          </cell>
          <cell r="W109">
            <v>5</v>
          </cell>
          <cell r="X109" t="str">
            <v>中米</v>
          </cell>
          <cell r="Y109" t="str">
            <v>中米</v>
          </cell>
          <cell r="Z109" t="str">
            <v>一般</v>
          </cell>
          <cell r="AA109" t="str">
            <v>中南米</v>
          </cell>
        </row>
        <row r="110">
          <cell r="L110">
            <v>310</v>
          </cell>
          <cell r="M110" t="str">
            <v>NICARAG</v>
          </cell>
          <cell r="N110">
            <v>500</v>
          </cell>
          <cell r="O110" t="str">
            <v>Central America</v>
          </cell>
          <cell r="P110">
            <v>500</v>
          </cell>
          <cell r="Q110" t="str">
            <v>Central America</v>
          </cell>
          <cell r="R110" t="str">
            <v>●</v>
          </cell>
          <cell r="S110">
            <v>500</v>
          </cell>
          <cell r="T110" t="str">
            <v>Central America</v>
          </cell>
          <cell r="U110" t="str">
            <v>一般海外</v>
          </cell>
          <cell r="V110" t="str">
            <v>中米</v>
          </cell>
          <cell r="W110">
            <v>5</v>
          </cell>
          <cell r="X110" t="str">
            <v>中米</v>
          </cell>
          <cell r="Y110" t="str">
            <v>中米</v>
          </cell>
          <cell r="Z110" t="str">
            <v>一般</v>
          </cell>
          <cell r="AA110" t="str">
            <v>中南米</v>
          </cell>
        </row>
        <row r="111">
          <cell r="L111">
            <v>311</v>
          </cell>
          <cell r="M111" t="str">
            <v>CST RCA</v>
          </cell>
          <cell r="N111">
            <v>500</v>
          </cell>
          <cell r="O111" t="str">
            <v>Central America</v>
          </cell>
          <cell r="P111">
            <v>500</v>
          </cell>
          <cell r="Q111" t="str">
            <v>Central America</v>
          </cell>
          <cell r="R111" t="str">
            <v>●</v>
          </cell>
          <cell r="S111">
            <v>500</v>
          </cell>
          <cell r="T111" t="str">
            <v>Central America</v>
          </cell>
          <cell r="U111" t="str">
            <v>一般海外</v>
          </cell>
          <cell r="V111" t="str">
            <v>中米</v>
          </cell>
          <cell r="W111">
            <v>5</v>
          </cell>
          <cell r="X111" t="str">
            <v>中米</v>
          </cell>
          <cell r="Y111" t="str">
            <v>中米</v>
          </cell>
          <cell r="Z111" t="str">
            <v>一般</v>
          </cell>
          <cell r="AA111" t="str">
            <v>中南米</v>
          </cell>
        </row>
        <row r="112">
          <cell r="L112">
            <v>312</v>
          </cell>
          <cell r="M112" t="str">
            <v>PANAMA</v>
          </cell>
          <cell r="N112">
            <v>500</v>
          </cell>
          <cell r="O112" t="str">
            <v>Central America</v>
          </cell>
          <cell r="P112">
            <v>500</v>
          </cell>
          <cell r="Q112" t="str">
            <v>Central America</v>
          </cell>
          <cell r="R112" t="str">
            <v>●</v>
          </cell>
          <cell r="S112">
            <v>500</v>
          </cell>
          <cell r="T112" t="str">
            <v>Central America</v>
          </cell>
          <cell r="U112" t="str">
            <v>一般海外</v>
          </cell>
          <cell r="V112" t="str">
            <v>中米</v>
          </cell>
          <cell r="W112">
            <v>5</v>
          </cell>
          <cell r="X112" t="str">
            <v>中米</v>
          </cell>
          <cell r="Y112" t="str">
            <v>中米</v>
          </cell>
          <cell r="Z112" t="str">
            <v>一般</v>
          </cell>
          <cell r="AA112" t="str">
            <v>中南米</v>
          </cell>
        </row>
        <row r="113">
          <cell r="L113">
            <v>314</v>
          </cell>
          <cell r="M113" t="str">
            <v>BERMUDA</v>
          </cell>
          <cell r="N113">
            <v>500</v>
          </cell>
          <cell r="O113" t="str">
            <v>Central America</v>
          </cell>
          <cell r="P113">
            <v>500</v>
          </cell>
          <cell r="Q113" t="str">
            <v>Central America</v>
          </cell>
          <cell r="R113" t="str">
            <v>●</v>
          </cell>
          <cell r="S113">
            <v>500</v>
          </cell>
          <cell r="T113" t="str">
            <v>Central America</v>
          </cell>
          <cell r="U113" t="str">
            <v>一般海外</v>
          </cell>
          <cell r="V113" t="str">
            <v>中米</v>
          </cell>
          <cell r="W113">
            <v>5</v>
          </cell>
          <cell r="X113" t="str">
            <v>中米</v>
          </cell>
          <cell r="Y113" t="str">
            <v>中米</v>
          </cell>
          <cell r="Z113" t="str">
            <v>一般</v>
          </cell>
          <cell r="AA113" t="str">
            <v>中南米</v>
          </cell>
        </row>
        <row r="114">
          <cell r="L114">
            <v>315</v>
          </cell>
          <cell r="M114" t="str">
            <v>BAHAMAS</v>
          </cell>
          <cell r="N114">
            <v>500</v>
          </cell>
          <cell r="O114" t="str">
            <v>Central America</v>
          </cell>
          <cell r="P114">
            <v>500</v>
          </cell>
          <cell r="Q114" t="str">
            <v>Central America</v>
          </cell>
          <cell r="R114" t="str">
            <v>●</v>
          </cell>
          <cell r="S114">
            <v>500</v>
          </cell>
          <cell r="T114" t="str">
            <v>Central America</v>
          </cell>
          <cell r="U114" t="str">
            <v>一般海外</v>
          </cell>
          <cell r="V114" t="str">
            <v>中米</v>
          </cell>
          <cell r="W114">
            <v>5</v>
          </cell>
          <cell r="X114" t="str">
            <v>中米</v>
          </cell>
          <cell r="Y114" t="str">
            <v>中米</v>
          </cell>
          <cell r="Z114" t="str">
            <v>一般</v>
          </cell>
          <cell r="AA114" t="str">
            <v>中南米</v>
          </cell>
        </row>
        <row r="115">
          <cell r="L115">
            <v>316</v>
          </cell>
          <cell r="M115" t="str">
            <v>JAMAICA</v>
          </cell>
          <cell r="N115">
            <v>500</v>
          </cell>
          <cell r="O115" t="str">
            <v>Central America</v>
          </cell>
          <cell r="P115">
            <v>500</v>
          </cell>
          <cell r="Q115" t="str">
            <v>Central America</v>
          </cell>
          <cell r="R115" t="str">
            <v>●</v>
          </cell>
          <cell r="S115">
            <v>500</v>
          </cell>
          <cell r="T115" t="str">
            <v>Central America</v>
          </cell>
          <cell r="U115" t="str">
            <v>一般海外</v>
          </cell>
          <cell r="V115" t="str">
            <v>中米</v>
          </cell>
          <cell r="W115">
            <v>5</v>
          </cell>
          <cell r="X115" t="str">
            <v>中米</v>
          </cell>
          <cell r="Y115" t="str">
            <v>中米</v>
          </cell>
          <cell r="Z115" t="str">
            <v>一般</v>
          </cell>
          <cell r="AA115" t="str">
            <v>中南米</v>
          </cell>
        </row>
        <row r="116">
          <cell r="L116">
            <v>319</v>
          </cell>
          <cell r="M116" t="str">
            <v>BARBADS</v>
          </cell>
          <cell r="N116">
            <v>500</v>
          </cell>
          <cell r="O116" t="str">
            <v>Central America</v>
          </cell>
          <cell r="P116">
            <v>500</v>
          </cell>
          <cell r="Q116" t="str">
            <v>Central America</v>
          </cell>
          <cell r="R116" t="str">
            <v>●</v>
          </cell>
          <cell r="S116">
            <v>500</v>
          </cell>
          <cell r="T116" t="str">
            <v>Central America</v>
          </cell>
          <cell r="U116" t="str">
            <v>一般海外</v>
          </cell>
          <cell r="V116" t="str">
            <v>中米</v>
          </cell>
          <cell r="W116">
            <v>5</v>
          </cell>
          <cell r="X116" t="str">
            <v>中米</v>
          </cell>
          <cell r="Y116" t="str">
            <v>中米</v>
          </cell>
          <cell r="Z116" t="str">
            <v>一般</v>
          </cell>
          <cell r="AA116" t="str">
            <v>中南米</v>
          </cell>
        </row>
        <row r="117">
          <cell r="L117">
            <v>320</v>
          </cell>
          <cell r="M117" t="str">
            <v>TRINIDO</v>
          </cell>
          <cell r="N117">
            <v>500</v>
          </cell>
          <cell r="O117" t="str">
            <v>Central America</v>
          </cell>
          <cell r="P117">
            <v>500</v>
          </cell>
          <cell r="Q117" t="str">
            <v>Central America</v>
          </cell>
          <cell r="R117" t="str">
            <v>●</v>
          </cell>
          <cell r="S117">
            <v>500</v>
          </cell>
          <cell r="T117" t="str">
            <v>Central America</v>
          </cell>
          <cell r="U117" t="str">
            <v>一般海外</v>
          </cell>
          <cell r="V117" t="str">
            <v>中米</v>
          </cell>
          <cell r="W117">
            <v>5</v>
          </cell>
          <cell r="X117" t="str">
            <v>中米</v>
          </cell>
          <cell r="Y117" t="str">
            <v>中米</v>
          </cell>
          <cell r="Z117" t="str">
            <v>一般</v>
          </cell>
          <cell r="AA117" t="str">
            <v>中南米</v>
          </cell>
        </row>
        <row r="118">
          <cell r="L118">
            <v>322</v>
          </cell>
          <cell r="M118" t="str">
            <v>HAITI</v>
          </cell>
          <cell r="N118">
            <v>500</v>
          </cell>
          <cell r="O118" t="str">
            <v>Central America</v>
          </cell>
          <cell r="P118">
            <v>500</v>
          </cell>
          <cell r="Q118" t="str">
            <v>Central America</v>
          </cell>
          <cell r="R118" t="str">
            <v>●</v>
          </cell>
          <cell r="S118">
            <v>500</v>
          </cell>
          <cell r="T118" t="str">
            <v>Central America</v>
          </cell>
          <cell r="U118" t="str">
            <v>一般海外</v>
          </cell>
          <cell r="V118" t="str">
            <v>中米</v>
          </cell>
          <cell r="W118">
            <v>5</v>
          </cell>
          <cell r="X118" t="str">
            <v>中米</v>
          </cell>
          <cell r="Y118" t="str">
            <v>中米</v>
          </cell>
          <cell r="Z118" t="str">
            <v>一般</v>
          </cell>
          <cell r="AA118" t="str">
            <v>中南米</v>
          </cell>
        </row>
        <row r="119">
          <cell r="L119">
            <v>323</v>
          </cell>
          <cell r="M119" t="str">
            <v>DOMNICA</v>
          </cell>
          <cell r="N119">
            <v>500</v>
          </cell>
          <cell r="O119" t="str">
            <v>Central America</v>
          </cell>
          <cell r="P119">
            <v>500</v>
          </cell>
          <cell r="Q119" t="str">
            <v>Central America</v>
          </cell>
          <cell r="R119" t="str">
            <v>●</v>
          </cell>
          <cell r="S119">
            <v>500</v>
          </cell>
          <cell r="T119" t="str">
            <v>Central America</v>
          </cell>
          <cell r="U119" t="str">
            <v>一般海外</v>
          </cell>
          <cell r="V119" t="str">
            <v>中米</v>
          </cell>
          <cell r="W119">
            <v>5</v>
          </cell>
          <cell r="X119" t="str">
            <v>中米</v>
          </cell>
          <cell r="Y119" t="str">
            <v>中米</v>
          </cell>
          <cell r="Z119" t="str">
            <v>一般</v>
          </cell>
          <cell r="AA119" t="str">
            <v>中南米</v>
          </cell>
        </row>
        <row r="120">
          <cell r="L120">
            <v>329</v>
          </cell>
          <cell r="N120">
            <v>500</v>
          </cell>
          <cell r="O120" t="str">
            <v>Central America</v>
          </cell>
          <cell r="P120">
            <v>500</v>
          </cell>
          <cell r="Q120" t="str">
            <v>Central America</v>
          </cell>
          <cell r="R120" t="str">
            <v>●</v>
          </cell>
          <cell r="S120">
            <v>500</v>
          </cell>
          <cell r="T120" t="str">
            <v>Central America</v>
          </cell>
          <cell r="U120" t="str">
            <v>一般海外</v>
          </cell>
          <cell r="V120" t="str">
            <v>中米</v>
          </cell>
          <cell r="W120">
            <v>5</v>
          </cell>
          <cell r="X120" t="str">
            <v>中米</v>
          </cell>
          <cell r="Y120" t="str">
            <v>中米</v>
          </cell>
          <cell r="Z120" t="str">
            <v>一般</v>
          </cell>
          <cell r="AA120" t="str">
            <v>中南米</v>
          </cell>
        </row>
        <row r="121">
          <cell r="L121">
            <v>331</v>
          </cell>
          <cell r="N121">
            <v>500</v>
          </cell>
          <cell r="O121" t="str">
            <v>Central America</v>
          </cell>
          <cell r="P121">
            <v>500</v>
          </cell>
          <cell r="Q121" t="str">
            <v>Central America</v>
          </cell>
          <cell r="R121" t="str">
            <v>●</v>
          </cell>
          <cell r="S121">
            <v>500</v>
          </cell>
          <cell r="T121" t="str">
            <v>Central America</v>
          </cell>
          <cell r="U121" t="str">
            <v>一般海外</v>
          </cell>
          <cell r="V121" t="str">
            <v>中米</v>
          </cell>
          <cell r="W121">
            <v>5</v>
          </cell>
          <cell r="X121" t="str">
            <v>中米</v>
          </cell>
          <cell r="Y121" t="str">
            <v>中米</v>
          </cell>
          <cell r="Z121" t="str">
            <v>一般</v>
          </cell>
          <cell r="AA121" t="str">
            <v>中南米</v>
          </cell>
        </row>
        <row r="122">
          <cell r="L122">
            <v>332</v>
          </cell>
          <cell r="N122">
            <v>500</v>
          </cell>
          <cell r="O122" t="str">
            <v>Central America</v>
          </cell>
          <cell r="P122">
            <v>500</v>
          </cell>
          <cell r="Q122" t="str">
            <v>Central America</v>
          </cell>
          <cell r="R122" t="str">
            <v>●</v>
          </cell>
          <cell r="S122">
            <v>500</v>
          </cell>
          <cell r="T122" t="str">
            <v>Central America</v>
          </cell>
          <cell r="U122" t="str">
            <v>一般海外</v>
          </cell>
          <cell r="V122" t="str">
            <v>中米</v>
          </cell>
          <cell r="W122">
            <v>5</v>
          </cell>
          <cell r="X122" t="str">
            <v>中米</v>
          </cell>
          <cell r="Y122" t="str">
            <v>中米</v>
          </cell>
          <cell r="Z122" t="str">
            <v>一般</v>
          </cell>
          <cell r="AA122" t="str">
            <v>中南米</v>
          </cell>
        </row>
        <row r="123">
          <cell r="L123">
            <v>333</v>
          </cell>
          <cell r="N123">
            <v>500</v>
          </cell>
          <cell r="O123" t="str">
            <v>Central America</v>
          </cell>
          <cell r="P123">
            <v>500</v>
          </cell>
          <cell r="Q123" t="str">
            <v>Central America</v>
          </cell>
          <cell r="R123" t="str">
            <v>●</v>
          </cell>
          <cell r="S123">
            <v>500</v>
          </cell>
          <cell r="T123" t="str">
            <v>Central America</v>
          </cell>
          <cell r="U123" t="str">
            <v>一般海外</v>
          </cell>
          <cell r="V123" t="str">
            <v>中米</v>
          </cell>
          <cell r="W123">
            <v>5</v>
          </cell>
          <cell r="X123" t="str">
            <v>中米</v>
          </cell>
          <cell r="Y123" t="str">
            <v>中米</v>
          </cell>
          <cell r="Z123" t="str">
            <v>一般</v>
          </cell>
          <cell r="AA123" t="str">
            <v>中南米</v>
          </cell>
        </row>
        <row r="124">
          <cell r="L124">
            <v>335</v>
          </cell>
          <cell r="N124">
            <v>500</v>
          </cell>
          <cell r="O124" t="str">
            <v>Central America</v>
          </cell>
          <cell r="P124">
            <v>500</v>
          </cell>
          <cell r="Q124" t="str">
            <v>Central America</v>
          </cell>
          <cell r="R124" t="str">
            <v>●</v>
          </cell>
          <cell r="S124">
            <v>500</v>
          </cell>
          <cell r="T124" t="str">
            <v>Central America</v>
          </cell>
          <cell r="U124" t="str">
            <v>一般海外</v>
          </cell>
          <cell r="V124" t="str">
            <v>中米</v>
          </cell>
          <cell r="W124">
            <v>5</v>
          </cell>
          <cell r="X124" t="str">
            <v>中米</v>
          </cell>
          <cell r="Y124" t="str">
            <v>中米</v>
          </cell>
          <cell r="Z124" t="str">
            <v>一般</v>
          </cell>
          <cell r="AA124" t="str">
            <v>中南米</v>
          </cell>
        </row>
        <row r="125">
          <cell r="L125">
            <v>340</v>
          </cell>
          <cell r="M125" t="str">
            <v>STVINT</v>
          </cell>
          <cell r="N125">
            <v>500</v>
          </cell>
          <cell r="O125" t="str">
            <v>Central America</v>
          </cell>
          <cell r="P125">
            <v>500</v>
          </cell>
          <cell r="Q125" t="str">
            <v>Central America</v>
          </cell>
          <cell r="R125" t="str">
            <v>●</v>
          </cell>
          <cell r="S125">
            <v>500</v>
          </cell>
          <cell r="T125" t="str">
            <v>Central America</v>
          </cell>
          <cell r="U125" t="str">
            <v>一般海外</v>
          </cell>
          <cell r="V125" t="str">
            <v>中米</v>
          </cell>
          <cell r="W125">
            <v>5</v>
          </cell>
          <cell r="X125" t="str">
            <v>中米</v>
          </cell>
          <cell r="Y125" t="str">
            <v>中米</v>
          </cell>
          <cell r="Z125" t="str">
            <v>一般</v>
          </cell>
          <cell r="AA125" t="str">
            <v>中南米</v>
          </cell>
        </row>
        <row r="126">
          <cell r="L126">
            <v>341</v>
          </cell>
          <cell r="M126" t="str">
            <v>GRENADA</v>
          </cell>
          <cell r="N126">
            <v>500</v>
          </cell>
          <cell r="O126" t="str">
            <v>Central America</v>
          </cell>
          <cell r="P126">
            <v>500</v>
          </cell>
          <cell r="Q126" t="str">
            <v>Central America</v>
          </cell>
          <cell r="R126" t="str">
            <v>●</v>
          </cell>
          <cell r="S126">
            <v>500</v>
          </cell>
          <cell r="T126" t="str">
            <v>Central America</v>
          </cell>
          <cell r="U126" t="str">
            <v>一般海外</v>
          </cell>
          <cell r="V126" t="str">
            <v>中米</v>
          </cell>
          <cell r="W126">
            <v>5</v>
          </cell>
          <cell r="X126" t="str">
            <v>中米</v>
          </cell>
          <cell r="Y126" t="str">
            <v>中米</v>
          </cell>
          <cell r="Z126" t="str">
            <v>一般</v>
          </cell>
          <cell r="AA126" t="str">
            <v>中南米</v>
          </cell>
        </row>
        <row r="127">
          <cell r="L127">
            <v>342</v>
          </cell>
          <cell r="M127" t="str">
            <v>B DOMNC</v>
          </cell>
          <cell r="N127">
            <v>500</v>
          </cell>
          <cell r="O127" t="str">
            <v>Central America</v>
          </cell>
          <cell r="P127">
            <v>500</v>
          </cell>
          <cell r="Q127" t="str">
            <v>Central America</v>
          </cell>
          <cell r="R127" t="str">
            <v>●</v>
          </cell>
          <cell r="S127">
            <v>500</v>
          </cell>
          <cell r="T127" t="str">
            <v>Central America</v>
          </cell>
          <cell r="U127" t="str">
            <v>一般海外</v>
          </cell>
          <cell r="V127" t="str">
            <v>中米</v>
          </cell>
          <cell r="W127">
            <v>5</v>
          </cell>
          <cell r="X127" t="str">
            <v>中米</v>
          </cell>
          <cell r="Y127" t="str">
            <v>中米</v>
          </cell>
          <cell r="Z127" t="str">
            <v>一般</v>
          </cell>
          <cell r="AA127" t="str">
            <v>中南米</v>
          </cell>
        </row>
        <row r="128">
          <cell r="L128">
            <v>343</v>
          </cell>
          <cell r="M128" t="str">
            <v>ST LUCI</v>
          </cell>
          <cell r="N128">
            <v>500</v>
          </cell>
          <cell r="O128" t="str">
            <v>Central America</v>
          </cell>
          <cell r="P128">
            <v>500</v>
          </cell>
          <cell r="Q128" t="str">
            <v>Central America</v>
          </cell>
          <cell r="R128" t="str">
            <v>●</v>
          </cell>
          <cell r="S128">
            <v>500</v>
          </cell>
          <cell r="T128" t="str">
            <v>Central America</v>
          </cell>
          <cell r="U128" t="str">
            <v>一般海外</v>
          </cell>
          <cell r="V128" t="str">
            <v>中米</v>
          </cell>
          <cell r="W128">
            <v>5</v>
          </cell>
          <cell r="X128" t="str">
            <v>中米</v>
          </cell>
          <cell r="Y128" t="str">
            <v>中米</v>
          </cell>
          <cell r="Z128" t="str">
            <v>一般</v>
          </cell>
          <cell r="AA128" t="str">
            <v>中南米</v>
          </cell>
        </row>
        <row r="129">
          <cell r="L129">
            <v>345</v>
          </cell>
          <cell r="M129" t="str">
            <v>ARUBA</v>
          </cell>
          <cell r="N129">
            <v>500</v>
          </cell>
          <cell r="O129" t="str">
            <v>Central America</v>
          </cell>
          <cell r="P129">
            <v>500</v>
          </cell>
          <cell r="Q129" t="str">
            <v>Central America</v>
          </cell>
          <cell r="R129" t="str">
            <v>●</v>
          </cell>
          <cell r="S129">
            <v>500</v>
          </cell>
          <cell r="T129" t="str">
            <v>Central America</v>
          </cell>
          <cell r="U129" t="str">
            <v>一般海外</v>
          </cell>
          <cell r="V129" t="str">
            <v>中米</v>
          </cell>
          <cell r="W129">
            <v>5</v>
          </cell>
          <cell r="X129" t="str">
            <v>中米</v>
          </cell>
          <cell r="Y129" t="str">
            <v>中米</v>
          </cell>
          <cell r="Z129" t="str">
            <v>一般</v>
          </cell>
          <cell r="AA129" t="str">
            <v>中南米</v>
          </cell>
        </row>
        <row r="130">
          <cell r="L130">
            <v>346</v>
          </cell>
          <cell r="M130" t="str">
            <v>CURACAU</v>
          </cell>
          <cell r="N130">
            <v>500</v>
          </cell>
          <cell r="O130" t="str">
            <v>Central America</v>
          </cell>
          <cell r="P130">
            <v>500</v>
          </cell>
          <cell r="Q130" t="str">
            <v>Central America</v>
          </cell>
          <cell r="R130" t="str">
            <v>●</v>
          </cell>
          <cell r="S130">
            <v>500</v>
          </cell>
          <cell r="T130" t="str">
            <v>Central America</v>
          </cell>
          <cell r="U130" t="str">
            <v>一般海外</v>
          </cell>
          <cell r="V130" t="str">
            <v>中米</v>
          </cell>
          <cell r="W130">
            <v>5</v>
          </cell>
          <cell r="X130" t="str">
            <v>中米</v>
          </cell>
          <cell r="Y130" t="str">
            <v>中米</v>
          </cell>
          <cell r="Z130" t="str">
            <v>一般</v>
          </cell>
          <cell r="AA130" t="str">
            <v>中南米</v>
          </cell>
        </row>
        <row r="131">
          <cell r="L131">
            <v>347</v>
          </cell>
          <cell r="M131" t="str">
            <v>BONAIRE</v>
          </cell>
          <cell r="N131">
            <v>500</v>
          </cell>
          <cell r="O131" t="str">
            <v>Central America</v>
          </cell>
          <cell r="P131">
            <v>500</v>
          </cell>
          <cell r="Q131" t="str">
            <v>Central America</v>
          </cell>
          <cell r="R131" t="str">
            <v>●</v>
          </cell>
          <cell r="S131">
            <v>500</v>
          </cell>
          <cell r="T131" t="str">
            <v>Central America</v>
          </cell>
          <cell r="U131" t="str">
            <v>一般海外</v>
          </cell>
          <cell r="V131" t="str">
            <v>中米</v>
          </cell>
          <cell r="W131">
            <v>5</v>
          </cell>
          <cell r="X131" t="str">
            <v>中米</v>
          </cell>
          <cell r="Y131" t="str">
            <v>中米</v>
          </cell>
          <cell r="Z131" t="str">
            <v>一般</v>
          </cell>
          <cell r="AA131" t="str">
            <v>中南米</v>
          </cell>
        </row>
        <row r="132">
          <cell r="L132">
            <v>348</v>
          </cell>
          <cell r="M132" t="str">
            <v>S MARTN</v>
          </cell>
          <cell r="N132">
            <v>500</v>
          </cell>
          <cell r="O132" t="str">
            <v>Central America</v>
          </cell>
          <cell r="P132">
            <v>500</v>
          </cell>
          <cell r="Q132" t="str">
            <v>Central America</v>
          </cell>
          <cell r="R132" t="str">
            <v>●</v>
          </cell>
          <cell r="S132">
            <v>500</v>
          </cell>
          <cell r="T132" t="str">
            <v>Central America</v>
          </cell>
          <cell r="U132" t="str">
            <v>一般海外</v>
          </cell>
          <cell r="V132" t="str">
            <v>中米</v>
          </cell>
          <cell r="W132">
            <v>5</v>
          </cell>
          <cell r="X132" t="str">
            <v>中米</v>
          </cell>
          <cell r="Y132" t="str">
            <v>中米</v>
          </cell>
          <cell r="Z132" t="str">
            <v>一般</v>
          </cell>
          <cell r="AA132" t="str">
            <v>中南米</v>
          </cell>
        </row>
        <row r="133">
          <cell r="L133">
            <v>350</v>
          </cell>
          <cell r="M133" t="str">
            <v>G CAYMN</v>
          </cell>
          <cell r="N133">
            <v>500</v>
          </cell>
          <cell r="O133" t="str">
            <v>Central America</v>
          </cell>
          <cell r="P133">
            <v>500</v>
          </cell>
          <cell r="Q133" t="str">
            <v>Central America</v>
          </cell>
          <cell r="R133" t="str">
            <v>●</v>
          </cell>
          <cell r="S133">
            <v>500</v>
          </cell>
          <cell r="T133" t="str">
            <v>Central America</v>
          </cell>
          <cell r="U133" t="str">
            <v>一般海外</v>
          </cell>
          <cell r="V133" t="str">
            <v>中米</v>
          </cell>
          <cell r="W133">
            <v>5</v>
          </cell>
          <cell r="X133" t="str">
            <v>中米</v>
          </cell>
          <cell r="Y133" t="str">
            <v>中米</v>
          </cell>
          <cell r="Z133" t="str">
            <v>一般</v>
          </cell>
          <cell r="AA133" t="str">
            <v>中南米</v>
          </cell>
        </row>
        <row r="134">
          <cell r="L134">
            <v>360</v>
          </cell>
          <cell r="M134" t="str">
            <v>ST KITT</v>
          </cell>
          <cell r="N134">
            <v>500</v>
          </cell>
          <cell r="O134" t="str">
            <v>Central America</v>
          </cell>
          <cell r="P134">
            <v>500</v>
          </cell>
          <cell r="Q134" t="str">
            <v>Central America</v>
          </cell>
          <cell r="R134" t="str">
            <v>●</v>
          </cell>
          <cell r="S134">
            <v>500</v>
          </cell>
          <cell r="T134" t="str">
            <v>Central America</v>
          </cell>
          <cell r="U134" t="str">
            <v>一般海外</v>
          </cell>
          <cell r="V134" t="str">
            <v>中米</v>
          </cell>
          <cell r="W134">
            <v>5</v>
          </cell>
          <cell r="X134" t="str">
            <v>中米</v>
          </cell>
          <cell r="Y134" t="str">
            <v>中米</v>
          </cell>
          <cell r="Z134" t="str">
            <v>一般</v>
          </cell>
          <cell r="AA134" t="str">
            <v>中南米</v>
          </cell>
        </row>
        <row r="135">
          <cell r="L135">
            <v>361</v>
          </cell>
          <cell r="M135" t="str">
            <v>ANTIQUA</v>
          </cell>
          <cell r="N135">
            <v>500</v>
          </cell>
          <cell r="O135" t="str">
            <v>Central America</v>
          </cell>
          <cell r="P135">
            <v>500</v>
          </cell>
          <cell r="Q135" t="str">
            <v>Central America</v>
          </cell>
          <cell r="R135" t="str">
            <v>●</v>
          </cell>
          <cell r="S135">
            <v>500</v>
          </cell>
          <cell r="T135" t="str">
            <v>Central America</v>
          </cell>
          <cell r="U135" t="str">
            <v>一般海外</v>
          </cell>
          <cell r="V135" t="str">
            <v>中米</v>
          </cell>
          <cell r="W135">
            <v>5</v>
          </cell>
          <cell r="X135" t="str">
            <v>中米</v>
          </cell>
          <cell r="Y135" t="str">
            <v>中米</v>
          </cell>
          <cell r="Z135" t="str">
            <v>一般</v>
          </cell>
          <cell r="AA135" t="str">
            <v>中南米</v>
          </cell>
        </row>
        <row r="136">
          <cell r="L136">
            <v>362</v>
          </cell>
          <cell r="M136" t="str">
            <v>MT SRAT</v>
          </cell>
          <cell r="N136">
            <v>500</v>
          </cell>
          <cell r="O136" t="str">
            <v>Central America</v>
          </cell>
          <cell r="P136">
            <v>500</v>
          </cell>
          <cell r="Q136" t="str">
            <v>Central America</v>
          </cell>
          <cell r="R136" t="str">
            <v>●</v>
          </cell>
          <cell r="S136">
            <v>500</v>
          </cell>
          <cell r="T136" t="str">
            <v>Central America</v>
          </cell>
          <cell r="U136" t="str">
            <v>一般海外</v>
          </cell>
          <cell r="V136" t="str">
            <v>中米</v>
          </cell>
          <cell r="W136">
            <v>5</v>
          </cell>
          <cell r="X136" t="str">
            <v>中米</v>
          </cell>
          <cell r="Y136" t="str">
            <v>中米</v>
          </cell>
          <cell r="Z136" t="str">
            <v>一般</v>
          </cell>
          <cell r="AA136" t="str">
            <v>中南米</v>
          </cell>
        </row>
        <row r="137">
          <cell r="L137">
            <v>363</v>
          </cell>
          <cell r="M137" t="str">
            <v>VIRGN B</v>
          </cell>
          <cell r="N137">
            <v>500</v>
          </cell>
          <cell r="O137" t="str">
            <v>Central America</v>
          </cell>
          <cell r="P137">
            <v>500</v>
          </cell>
          <cell r="Q137" t="str">
            <v>Central America</v>
          </cell>
          <cell r="R137" t="str">
            <v>●</v>
          </cell>
          <cell r="S137">
            <v>500</v>
          </cell>
          <cell r="T137" t="str">
            <v>Central America</v>
          </cell>
          <cell r="U137" t="str">
            <v>一般海外</v>
          </cell>
          <cell r="V137" t="str">
            <v>中米</v>
          </cell>
          <cell r="W137">
            <v>5</v>
          </cell>
          <cell r="X137" t="str">
            <v>中米</v>
          </cell>
          <cell r="Y137" t="str">
            <v>中米</v>
          </cell>
          <cell r="Z137" t="str">
            <v>一般</v>
          </cell>
          <cell r="AA137" t="str">
            <v>中南米</v>
          </cell>
        </row>
        <row r="138">
          <cell r="L138">
            <v>365</v>
          </cell>
          <cell r="M138" t="str">
            <v>OT BR WI</v>
          </cell>
          <cell r="N138">
            <v>500</v>
          </cell>
          <cell r="O138" t="str">
            <v>Central America</v>
          </cell>
          <cell r="P138">
            <v>500</v>
          </cell>
          <cell r="Q138" t="str">
            <v>Central America</v>
          </cell>
          <cell r="R138" t="str">
            <v>●</v>
          </cell>
          <cell r="S138">
            <v>500</v>
          </cell>
          <cell r="T138" t="str">
            <v>Central America</v>
          </cell>
          <cell r="U138" t="str">
            <v>一般海外</v>
          </cell>
          <cell r="V138" t="str">
            <v>中米</v>
          </cell>
          <cell r="W138">
            <v>5</v>
          </cell>
          <cell r="X138" t="str">
            <v>中米</v>
          </cell>
          <cell r="Y138" t="str">
            <v>中米</v>
          </cell>
          <cell r="Z138" t="str">
            <v>一般</v>
          </cell>
          <cell r="AA138" t="str">
            <v>中南米</v>
          </cell>
        </row>
        <row r="139">
          <cell r="L139">
            <v>370</v>
          </cell>
          <cell r="M139" t="str">
            <v>GUADEIP</v>
          </cell>
          <cell r="N139">
            <v>500</v>
          </cell>
          <cell r="O139" t="str">
            <v>Central America</v>
          </cell>
          <cell r="P139">
            <v>500</v>
          </cell>
          <cell r="Q139" t="str">
            <v>Central America</v>
          </cell>
          <cell r="R139" t="str">
            <v>●</v>
          </cell>
          <cell r="S139">
            <v>500</v>
          </cell>
          <cell r="T139" t="str">
            <v>Central America</v>
          </cell>
          <cell r="U139" t="str">
            <v>一般海外</v>
          </cell>
          <cell r="V139" t="str">
            <v>中米</v>
          </cell>
          <cell r="W139">
            <v>5</v>
          </cell>
          <cell r="X139" t="str">
            <v>中米</v>
          </cell>
          <cell r="Y139" t="str">
            <v>中米</v>
          </cell>
          <cell r="Z139" t="str">
            <v>一般</v>
          </cell>
          <cell r="AA139" t="str">
            <v>中南米</v>
          </cell>
        </row>
        <row r="140">
          <cell r="L140">
            <v>371</v>
          </cell>
          <cell r="M140" t="str">
            <v>MARTINQ</v>
          </cell>
          <cell r="N140">
            <v>500</v>
          </cell>
          <cell r="O140" t="str">
            <v>Central America</v>
          </cell>
          <cell r="P140">
            <v>500</v>
          </cell>
          <cell r="Q140" t="str">
            <v>Central America</v>
          </cell>
          <cell r="R140" t="str">
            <v>●</v>
          </cell>
          <cell r="S140">
            <v>500</v>
          </cell>
          <cell r="T140" t="str">
            <v>Central America</v>
          </cell>
          <cell r="U140" t="str">
            <v>一般海外</v>
          </cell>
          <cell r="V140" t="str">
            <v>中米</v>
          </cell>
          <cell r="W140">
            <v>5</v>
          </cell>
          <cell r="X140" t="str">
            <v>中米</v>
          </cell>
          <cell r="Y140" t="str">
            <v>中米</v>
          </cell>
          <cell r="Z140" t="str">
            <v>一般</v>
          </cell>
          <cell r="AA140" t="str">
            <v>中南米</v>
          </cell>
        </row>
        <row r="141">
          <cell r="L141">
            <v>375</v>
          </cell>
          <cell r="M141" t="str">
            <v>F W IND</v>
          </cell>
          <cell r="N141">
            <v>500</v>
          </cell>
          <cell r="O141" t="str">
            <v>Central America</v>
          </cell>
          <cell r="P141">
            <v>500</v>
          </cell>
          <cell r="Q141" t="str">
            <v>Central America</v>
          </cell>
          <cell r="R141" t="str">
            <v>●</v>
          </cell>
          <cell r="S141">
            <v>500</v>
          </cell>
          <cell r="T141" t="str">
            <v>Central America</v>
          </cell>
          <cell r="U141" t="str">
            <v>一般海外</v>
          </cell>
          <cell r="V141" t="str">
            <v>中米</v>
          </cell>
          <cell r="W141">
            <v>5</v>
          </cell>
          <cell r="X141" t="str">
            <v>中米</v>
          </cell>
          <cell r="Y141" t="str">
            <v>中米</v>
          </cell>
          <cell r="Z141" t="str">
            <v>一般</v>
          </cell>
          <cell r="AA141" t="str">
            <v>中南米</v>
          </cell>
        </row>
        <row r="142">
          <cell r="L142">
            <v>501</v>
          </cell>
          <cell r="M142" t="str">
            <v>MOROCCO</v>
          </cell>
          <cell r="N142">
            <v>501</v>
          </cell>
          <cell r="O142" t="str">
            <v>MOROCCO</v>
          </cell>
          <cell r="P142">
            <v>501</v>
          </cell>
          <cell r="Q142" t="str">
            <v>MOROCCO</v>
          </cell>
          <cell r="R142" t="str">
            <v>◎</v>
          </cell>
          <cell r="S142">
            <v>501</v>
          </cell>
          <cell r="T142" t="str">
            <v>MOROCCO</v>
          </cell>
          <cell r="U142" t="str">
            <v>一般海外</v>
          </cell>
          <cell r="V142" t="str">
            <v>ｱﾌﾘｶ</v>
          </cell>
          <cell r="W142">
            <v>7</v>
          </cell>
          <cell r="X142" t="str">
            <v>ｱﾌﾘｶ</v>
          </cell>
          <cell r="Y142" t="str">
            <v>ｱﾌﾘｶ</v>
          </cell>
          <cell r="Z142" t="str">
            <v>一般</v>
          </cell>
          <cell r="AA142" t="str">
            <v>中近東/ｱﾌﾘｶ</v>
          </cell>
        </row>
        <row r="143">
          <cell r="L143">
            <v>504</v>
          </cell>
          <cell r="M143" t="str">
            <v>Tunisia</v>
          </cell>
          <cell r="N143">
            <v>504</v>
          </cell>
          <cell r="O143" t="str">
            <v>Tunisia</v>
          </cell>
          <cell r="P143">
            <v>504</v>
          </cell>
          <cell r="Q143" t="str">
            <v>Tunisia</v>
          </cell>
          <cell r="R143" t="str">
            <v>◎</v>
          </cell>
          <cell r="S143">
            <v>504</v>
          </cell>
          <cell r="T143" t="str">
            <v>Tunisia</v>
          </cell>
          <cell r="U143" t="str">
            <v>一般海外</v>
          </cell>
          <cell r="V143" t="str">
            <v>ｱﾌﾘｶ</v>
          </cell>
          <cell r="W143">
            <v>7</v>
          </cell>
          <cell r="X143" t="str">
            <v>ｱﾌﾘｶ</v>
          </cell>
          <cell r="Y143" t="str">
            <v>ｱﾌﾘｶ</v>
          </cell>
          <cell r="Z143" t="str">
            <v>一般</v>
          </cell>
          <cell r="AA143" t="str">
            <v>中近東/ｱﾌﾘｶ</v>
          </cell>
        </row>
        <row r="144">
          <cell r="L144">
            <v>506</v>
          </cell>
          <cell r="M144" t="str">
            <v>Egypt</v>
          </cell>
          <cell r="N144">
            <v>506</v>
          </cell>
          <cell r="O144" t="str">
            <v>Egypt</v>
          </cell>
          <cell r="P144">
            <v>506</v>
          </cell>
          <cell r="Q144" t="str">
            <v>Egypt</v>
          </cell>
          <cell r="R144" t="str">
            <v>◎</v>
          </cell>
          <cell r="S144">
            <v>506</v>
          </cell>
          <cell r="T144" t="str">
            <v>Egypt</v>
          </cell>
          <cell r="U144" t="str">
            <v>一般海外</v>
          </cell>
          <cell r="V144" t="str">
            <v>ｱﾌﾘｶ</v>
          </cell>
          <cell r="W144">
            <v>7</v>
          </cell>
          <cell r="X144" t="str">
            <v>ｱﾌﾘｶ</v>
          </cell>
          <cell r="Y144" t="str">
            <v>ｱﾌﾘｶ</v>
          </cell>
          <cell r="Z144" t="str">
            <v>一般</v>
          </cell>
          <cell r="AA144" t="str">
            <v>中近東/ｱﾌﾘｶ</v>
          </cell>
        </row>
        <row r="145">
          <cell r="L145">
            <v>551</v>
          </cell>
          <cell r="M145" t="str">
            <v>S Africa</v>
          </cell>
          <cell r="N145">
            <v>551</v>
          </cell>
          <cell r="O145" t="str">
            <v>S Africa</v>
          </cell>
          <cell r="P145">
            <v>551</v>
          </cell>
          <cell r="Q145" t="str">
            <v>S Africa</v>
          </cell>
          <cell r="R145" t="str">
            <v>◎</v>
          </cell>
          <cell r="S145">
            <v>551</v>
          </cell>
          <cell r="T145" t="str">
            <v>S Africa</v>
          </cell>
          <cell r="U145" t="str">
            <v>一般海外</v>
          </cell>
          <cell r="V145" t="str">
            <v>ｱﾌﾘｶ</v>
          </cell>
          <cell r="W145">
            <v>7</v>
          </cell>
          <cell r="X145" t="str">
            <v>ｱﾌﾘｶ</v>
          </cell>
          <cell r="Y145" t="str">
            <v>ｱﾌﾘｶ</v>
          </cell>
          <cell r="Z145" t="str">
            <v>一般</v>
          </cell>
          <cell r="AA145" t="str">
            <v>中近東/ｱﾌﾘｶ</v>
          </cell>
        </row>
        <row r="146">
          <cell r="L146">
            <v>402</v>
          </cell>
          <cell r="M146" t="str">
            <v>Venezuela</v>
          </cell>
          <cell r="N146">
            <v>600</v>
          </cell>
          <cell r="O146" t="str">
            <v>Oth S America</v>
          </cell>
          <cell r="P146">
            <v>402</v>
          </cell>
          <cell r="Q146" t="str">
            <v>Venezuela</v>
          </cell>
          <cell r="R146" t="str">
            <v>◎</v>
          </cell>
          <cell r="S146">
            <v>600</v>
          </cell>
          <cell r="T146" t="str">
            <v>Oth S America</v>
          </cell>
          <cell r="U146" t="str">
            <v>一般海外</v>
          </cell>
          <cell r="V146" t="str">
            <v>南米</v>
          </cell>
          <cell r="W146">
            <v>6</v>
          </cell>
          <cell r="X146" t="str">
            <v>南米</v>
          </cell>
          <cell r="Y146" t="str">
            <v>南米</v>
          </cell>
          <cell r="Z146" t="str">
            <v>一般</v>
          </cell>
          <cell r="AA146" t="str">
            <v>中南米</v>
          </cell>
        </row>
        <row r="147">
          <cell r="L147">
            <v>407</v>
          </cell>
          <cell r="M147" t="str">
            <v>Peru</v>
          </cell>
          <cell r="N147">
            <v>600</v>
          </cell>
          <cell r="O147" t="str">
            <v>Oth S America</v>
          </cell>
          <cell r="P147">
            <v>407</v>
          </cell>
          <cell r="Q147" t="str">
            <v>Peru</v>
          </cell>
          <cell r="R147" t="str">
            <v>X</v>
          </cell>
          <cell r="S147">
            <v>600</v>
          </cell>
          <cell r="T147" t="str">
            <v>Oth S America</v>
          </cell>
          <cell r="U147" t="str">
            <v>一般海外</v>
          </cell>
          <cell r="V147" t="str">
            <v>南米</v>
          </cell>
          <cell r="W147">
            <v>6</v>
          </cell>
          <cell r="X147" t="str">
            <v>南米</v>
          </cell>
          <cell r="Y147" t="str">
            <v>南米</v>
          </cell>
          <cell r="Z147" t="str">
            <v>一般</v>
          </cell>
          <cell r="AA147" t="str">
            <v>中南米</v>
          </cell>
        </row>
        <row r="148">
          <cell r="L148">
            <v>600</v>
          </cell>
          <cell r="M148" t="str">
            <v>Oth S America</v>
          </cell>
          <cell r="N148">
            <v>600</v>
          </cell>
          <cell r="O148" t="str">
            <v>Oth S America</v>
          </cell>
          <cell r="P148">
            <v>600</v>
          </cell>
          <cell r="Q148" t="str">
            <v>Oth S America</v>
          </cell>
          <cell r="R148" t="str">
            <v>●</v>
          </cell>
          <cell r="S148">
            <v>600</v>
          </cell>
          <cell r="T148" t="str">
            <v>Oth S America</v>
          </cell>
          <cell r="U148" t="str">
            <v>一般海外</v>
          </cell>
          <cell r="V148" t="str">
            <v>南米</v>
          </cell>
          <cell r="W148">
            <v>6</v>
          </cell>
          <cell r="X148" t="str">
            <v>南米</v>
          </cell>
          <cell r="Y148" t="str">
            <v>南米</v>
          </cell>
          <cell r="Z148" t="str">
            <v>一般</v>
          </cell>
          <cell r="AA148" t="str">
            <v>中南米</v>
          </cell>
        </row>
        <row r="149">
          <cell r="L149">
            <v>403</v>
          </cell>
          <cell r="M149" t="str">
            <v>GUYANA</v>
          </cell>
          <cell r="N149">
            <v>600</v>
          </cell>
          <cell r="O149" t="str">
            <v>Oth S America</v>
          </cell>
          <cell r="P149">
            <v>600</v>
          </cell>
          <cell r="Q149" t="str">
            <v>Oth S America</v>
          </cell>
          <cell r="R149" t="str">
            <v>●</v>
          </cell>
          <cell r="S149">
            <v>600</v>
          </cell>
          <cell r="T149" t="str">
            <v>Oth S America</v>
          </cell>
          <cell r="U149" t="str">
            <v>一般海外</v>
          </cell>
          <cell r="V149" t="str">
            <v>南米</v>
          </cell>
          <cell r="W149">
            <v>6</v>
          </cell>
          <cell r="X149" t="str">
            <v>南米</v>
          </cell>
          <cell r="Y149" t="str">
            <v>南米</v>
          </cell>
          <cell r="Z149" t="str">
            <v>一般</v>
          </cell>
          <cell r="AA149" t="str">
            <v>中南米</v>
          </cell>
        </row>
        <row r="150">
          <cell r="L150">
            <v>404</v>
          </cell>
          <cell r="M150" t="str">
            <v>SURINAMU</v>
          </cell>
          <cell r="N150">
            <v>600</v>
          </cell>
          <cell r="O150" t="str">
            <v>Oth S America</v>
          </cell>
          <cell r="P150">
            <v>600</v>
          </cell>
          <cell r="Q150" t="str">
            <v>Oth S America</v>
          </cell>
          <cell r="R150" t="str">
            <v>●</v>
          </cell>
          <cell r="S150">
            <v>600</v>
          </cell>
          <cell r="T150" t="str">
            <v>Oth S America</v>
          </cell>
          <cell r="U150" t="str">
            <v>一般海外</v>
          </cell>
          <cell r="V150" t="str">
            <v>南米</v>
          </cell>
          <cell r="W150">
            <v>6</v>
          </cell>
          <cell r="X150" t="str">
            <v>南米</v>
          </cell>
          <cell r="Y150" t="str">
            <v>南米</v>
          </cell>
          <cell r="Z150" t="str">
            <v>一般</v>
          </cell>
          <cell r="AA150" t="str">
            <v>中南米</v>
          </cell>
        </row>
        <row r="151">
          <cell r="L151">
            <v>405</v>
          </cell>
          <cell r="M151" t="str">
            <v>F GIANA</v>
          </cell>
          <cell r="N151">
            <v>600</v>
          </cell>
          <cell r="O151" t="str">
            <v>Oth S America</v>
          </cell>
          <cell r="P151">
            <v>600</v>
          </cell>
          <cell r="Q151" t="str">
            <v>Oth S America</v>
          </cell>
          <cell r="R151" t="str">
            <v>●</v>
          </cell>
          <cell r="S151">
            <v>600</v>
          </cell>
          <cell r="T151" t="str">
            <v>Oth S America</v>
          </cell>
          <cell r="U151" t="str">
            <v>一般海外</v>
          </cell>
          <cell r="V151" t="str">
            <v>南米</v>
          </cell>
          <cell r="W151">
            <v>6</v>
          </cell>
          <cell r="X151" t="str">
            <v>南米</v>
          </cell>
          <cell r="Y151" t="str">
            <v>南米</v>
          </cell>
          <cell r="Z151" t="str">
            <v>一般</v>
          </cell>
          <cell r="AA151" t="str">
            <v>中南米</v>
          </cell>
        </row>
        <row r="152">
          <cell r="L152">
            <v>408</v>
          </cell>
          <cell r="M152" t="str">
            <v>BOLIVIA</v>
          </cell>
          <cell r="N152">
            <v>600</v>
          </cell>
          <cell r="O152" t="str">
            <v>Oth S America</v>
          </cell>
          <cell r="P152">
            <v>600</v>
          </cell>
          <cell r="Q152" t="str">
            <v>Oth S America</v>
          </cell>
          <cell r="R152" t="str">
            <v>●</v>
          </cell>
          <cell r="S152">
            <v>600</v>
          </cell>
          <cell r="T152" t="str">
            <v>Oth S America</v>
          </cell>
          <cell r="U152" t="str">
            <v>一般海外</v>
          </cell>
          <cell r="V152" t="str">
            <v>南米</v>
          </cell>
          <cell r="W152">
            <v>6</v>
          </cell>
          <cell r="X152" t="str">
            <v>南米</v>
          </cell>
          <cell r="Y152" t="str">
            <v>南米</v>
          </cell>
          <cell r="Z152" t="str">
            <v>一般</v>
          </cell>
          <cell r="AA152" t="str">
            <v>中南米</v>
          </cell>
        </row>
        <row r="153">
          <cell r="L153">
            <v>410</v>
          </cell>
          <cell r="M153" t="str">
            <v>BRAZIL</v>
          </cell>
          <cell r="N153">
            <v>600</v>
          </cell>
          <cell r="O153" t="str">
            <v>Oth S America</v>
          </cell>
          <cell r="P153">
            <v>600</v>
          </cell>
          <cell r="Q153" t="str">
            <v>Oth S America</v>
          </cell>
          <cell r="R153" t="str">
            <v>●</v>
          </cell>
          <cell r="S153">
            <v>600</v>
          </cell>
          <cell r="T153" t="str">
            <v>Oth S America</v>
          </cell>
          <cell r="U153" t="str">
            <v>一般海外</v>
          </cell>
          <cell r="V153" t="str">
            <v>南米</v>
          </cell>
          <cell r="W153">
            <v>6</v>
          </cell>
          <cell r="X153" t="str">
            <v>南米</v>
          </cell>
          <cell r="Y153" t="str">
            <v>南米</v>
          </cell>
          <cell r="Z153" t="str">
            <v>一般</v>
          </cell>
          <cell r="AA153" t="str">
            <v>中南米</v>
          </cell>
        </row>
        <row r="154">
          <cell r="L154">
            <v>411</v>
          </cell>
          <cell r="M154" t="str">
            <v>PARAGUA</v>
          </cell>
          <cell r="N154">
            <v>600</v>
          </cell>
          <cell r="O154" t="str">
            <v>Oth S America</v>
          </cell>
          <cell r="P154">
            <v>600</v>
          </cell>
          <cell r="Q154" t="str">
            <v>Oth S America</v>
          </cell>
          <cell r="R154" t="str">
            <v>●</v>
          </cell>
          <cell r="S154">
            <v>600</v>
          </cell>
          <cell r="T154" t="str">
            <v>Oth S America</v>
          </cell>
          <cell r="U154" t="str">
            <v>一般海外</v>
          </cell>
          <cell r="V154" t="str">
            <v>南米</v>
          </cell>
          <cell r="W154">
            <v>6</v>
          </cell>
          <cell r="X154" t="str">
            <v>南米</v>
          </cell>
          <cell r="Y154" t="str">
            <v>南米</v>
          </cell>
          <cell r="Z154" t="str">
            <v>一般</v>
          </cell>
          <cell r="AA154" t="str">
            <v>中南米</v>
          </cell>
        </row>
        <row r="155">
          <cell r="L155">
            <v>412</v>
          </cell>
          <cell r="M155" t="str">
            <v>URUGUY</v>
          </cell>
          <cell r="N155">
            <v>600</v>
          </cell>
          <cell r="O155" t="str">
            <v>Oth S America</v>
          </cell>
          <cell r="P155">
            <v>600</v>
          </cell>
          <cell r="Q155" t="str">
            <v>Oth S America</v>
          </cell>
          <cell r="R155" t="str">
            <v>●</v>
          </cell>
          <cell r="S155">
            <v>600</v>
          </cell>
          <cell r="T155" t="str">
            <v>Oth S America</v>
          </cell>
          <cell r="U155" t="str">
            <v>一般海外</v>
          </cell>
          <cell r="V155" t="str">
            <v>南米</v>
          </cell>
          <cell r="W155">
            <v>6</v>
          </cell>
          <cell r="X155" t="str">
            <v>南米</v>
          </cell>
          <cell r="Y155" t="str">
            <v>南米</v>
          </cell>
          <cell r="Z155" t="str">
            <v>一般</v>
          </cell>
          <cell r="AA155" t="str">
            <v>中南米</v>
          </cell>
        </row>
        <row r="156">
          <cell r="L156">
            <v>601</v>
          </cell>
          <cell r="M156" t="str">
            <v>Australia</v>
          </cell>
          <cell r="N156">
            <v>601</v>
          </cell>
          <cell r="O156" t="str">
            <v>Australia</v>
          </cell>
          <cell r="P156">
            <v>601</v>
          </cell>
          <cell r="Q156" t="str">
            <v>Australia</v>
          </cell>
          <cell r="R156" t="str">
            <v>◎</v>
          </cell>
          <cell r="S156">
            <v>601</v>
          </cell>
          <cell r="T156" t="str">
            <v>Australia</v>
          </cell>
          <cell r="U156" t="str">
            <v>一般海外</v>
          </cell>
          <cell r="V156" t="str">
            <v>ｵｾｱﾆｱ</v>
          </cell>
          <cell r="W156">
            <v>8</v>
          </cell>
          <cell r="X156" t="str">
            <v>ｵｾｱﾆｱ</v>
          </cell>
          <cell r="Y156" t="str">
            <v>ｵｾｱﾆｱ</v>
          </cell>
          <cell r="Z156" t="str">
            <v>一般</v>
          </cell>
          <cell r="AA156" t="str">
            <v>ｵｾｱﾆｱ</v>
          </cell>
        </row>
        <row r="157">
          <cell r="L157">
            <v>524</v>
          </cell>
          <cell r="M157" t="str">
            <v>Nigeria</v>
          </cell>
          <cell r="N157">
            <v>700</v>
          </cell>
          <cell r="O157" t="str">
            <v>AFRICA</v>
          </cell>
          <cell r="P157">
            <v>524</v>
          </cell>
          <cell r="Q157" t="str">
            <v>Nigeria</v>
          </cell>
          <cell r="R157" t="str">
            <v>X</v>
          </cell>
          <cell r="S157">
            <v>700</v>
          </cell>
          <cell r="T157" t="str">
            <v>AFRICA</v>
          </cell>
          <cell r="U157" t="str">
            <v>一般海外</v>
          </cell>
          <cell r="V157" t="str">
            <v>ｱﾌﾘｶ</v>
          </cell>
          <cell r="W157">
            <v>7</v>
          </cell>
          <cell r="X157" t="str">
            <v>ｱﾌﾘｶ</v>
          </cell>
          <cell r="Y157" t="str">
            <v>ｱﾌﾘｶ</v>
          </cell>
          <cell r="Z157" t="str">
            <v>一般</v>
          </cell>
          <cell r="AA157" t="str">
            <v>中近東/ｱﾌﾘｶ</v>
          </cell>
        </row>
        <row r="158">
          <cell r="L158">
            <v>541</v>
          </cell>
          <cell r="M158" t="str">
            <v>Kenya</v>
          </cell>
          <cell r="N158">
            <v>700</v>
          </cell>
          <cell r="O158" t="str">
            <v>AFRICA</v>
          </cell>
          <cell r="P158">
            <v>541</v>
          </cell>
          <cell r="Q158" t="str">
            <v>Kenya</v>
          </cell>
          <cell r="R158" t="str">
            <v>◎</v>
          </cell>
          <cell r="S158">
            <v>541</v>
          </cell>
          <cell r="T158" t="str">
            <v>Kenya</v>
          </cell>
          <cell r="U158" t="str">
            <v>一般海外</v>
          </cell>
          <cell r="V158" t="str">
            <v>ｱﾌﾘｶ</v>
          </cell>
          <cell r="W158">
            <v>7</v>
          </cell>
          <cell r="X158" t="str">
            <v>ｱﾌﾘｶ</v>
          </cell>
          <cell r="Y158" t="str">
            <v>ｱﾌﾘｶ</v>
          </cell>
          <cell r="Z158" t="str">
            <v>一般</v>
          </cell>
          <cell r="AA158" t="str">
            <v>中近東/ｱﾌﾘｶ</v>
          </cell>
        </row>
        <row r="159">
          <cell r="L159">
            <v>700</v>
          </cell>
          <cell r="M159" t="str">
            <v>AFRICA</v>
          </cell>
          <cell r="N159">
            <v>700</v>
          </cell>
          <cell r="O159" t="str">
            <v>AFRICA</v>
          </cell>
          <cell r="P159">
            <v>700</v>
          </cell>
          <cell r="Q159" t="str">
            <v>AFRICA</v>
          </cell>
          <cell r="R159" t="str">
            <v>●</v>
          </cell>
          <cell r="S159">
            <v>700</v>
          </cell>
          <cell r="T159" t="str">
            <v>AFRICA</v>
          </cell>
          <cell r="U159" t="str">
            <v>一般海外</v>
          </cell>
          <cell r="V159" t="str">
            <v>ｱﾌﾘｶ</v>
          </cell>
          <cell r="W159">
            <v>7</v>
          </cell>
          <cell r="X159" t="str">
            <v>ｱﾌﾘｶ</v>
          </cell>
          <cell r="Y159" t="str">
            <v>ｱﾌﾘｶ</v>
          </cell>
          <cell r="Z159" t="str">
            <v>一般</v>
          </cell>
          <cell r="AA159" t="str">
            <v>中近東/ｱﾌﾘｶ</v>
          </cell>
        </row>
        <row r="160">
          <cell r="L160">
            <v>502</v>
          </cell>
          <cell r="M160" t="str">
            <v>CET MEL</v>
          </cell>
          <cell r="N160">
            <v>700</v>
          </cell>
          <cell r="O160" t="str">
            <v>AFRICA</v>
          </cell>
          <cell r="P160">
            <v>700</v>
          </cell>
          <cell r="Q160" t="str">
            <v>AFRICA</v>
          </cell>
          <cell r="R160" t="str">
            <v>●</v>
          </cell>
          <cell r="S160">
            <v>700</v>
          </cell>
          <cell r="T160" t="str">
            <v>AFRICA</v>
          </cell>
          <cell r="U160" t="str">
            <v>一般海外</v>
          </cell>
          <cell r="V160" t="str">
            <v>ｱﾌﾘｶ</v>
          </cell>
          <cell r="W160">
            <v>7</v>
          </cell>
          <cell r="X160" t="str">
            <v>ｱﾌﾘｶ</v>
          </cell>
          <cell r="Y160" t="str">
            <v>ｱﾌﾘｶ</v>
          </cell>
          <cell r="Z160" t="str">
            <v>一般</v>
          </cell>
          <cell r="AA160" t="str">
            <v>中近東/ｱﾌﾘｶ</v>
          </cell>
        </row>
        <row r="161">
          <cell r="L161">
            <v>503</v>
          </cell>
          <cell r="M161" t="str">
            <v>ALGERIA</v>
          </cell>
          <cell r="N161">
            <v>700</v>
          </cell>
          <cell r="O161" t="str">
            <v>AFRICA</v>
          </cell>
          <cell r="P161">
            <v>700</v>
          </cell>
          <cell r="Q161" t="str">
            <v>AFRICA</v>
          </cell>
          <cell r="R161" t="str">
            <v>●</v>
          </cell>
          <cell r="S161">
            <v>700</v>
          </cell>
          <cell r="T161" t="str">
            <v>AFRICA</v>
          </cell>
          <cell r="U161" t="str">
            <v>一般海外</v>
          </cell>
          <cell r="V161" t="str">
            <v>ｱﾌﾘｶ</v>
          </cell>
          <cell r="W161">
            <v>7</v>
          </cell>
          <cell r="X161" t="str">
            <v>ｱﾌﾘｶ</v>
          </cell>
          <cell r="Y161" t="str">
            <v>ｱﾌﾘｶ</v>
          </cell>
          <cell r="Z161" t="str">
            <v>一般</v>
          </cell>
          <cell r="AA161" t="str">
            <v>中近東/ｱﾌﾘｶ</v>
          </cell>
        </row>
        <row r="162">
          <cell r="L162">
            <v>505</v>
          </cell>
          <cell r="M162" t="str">
            <v>LIBYA</v>
          </cell>
          <cell r="N162">
            <v>700</v>
          </cell>
          <cell r="O162" t="str">
            <v>AFRICA</v>
          </cell>
          <cell r="P162">
            <v>700</v>
          </cell>
          <cell r="Q162" t="str">
            <v>AFRICA</v>
          </cell>
          <cell r="R162" t="str">
            <v>●</v>
          </cell>
          <cell r="S162">
            <v>700</v>
          </cell>
          <cell r="T162" t="str">
            <v>AFRICA</v>
          </cell>
          <cell r="U162" t="str">
            <v>一般海外</v>
          </cell>
          <cell r="V162" t="str">
            <v>ｱﾌﾘｶ</v>
          </cell>
          <cell r="W162">
            <v>7</v>
          </cell>
          <cell r="X162" t="str">
            <v>ｱﾌﾘｶ</v>
          </cell>
          <cell r="Y162" t="str">
            <v>ｱﾌﾘｶ</v>
          </cell>
          <cell r="Z162" t="str">
            <v>一般</v>
          </cell>
          <cell r="AA162" t="str">
            <v>中近東/ｱﾌﾘｶ</v>
          </cell>
        </row>
        <row r="163">
          <cell r="L163">
            <v>507</v>
          </cell>
          <cell r="M163" t="str">
            <v>SUDAN</v>
          </cell>
          <cell r="N163">
            <v>700</v>
          </cell>
          <cell r="O163" t="str">
            <v>AFRICA</v>
          </cell>
          <cell r="P163">
            <v>700</v>
          </cell>
          <cell r="Q163" t="str">
            <v>AFRICA</v>
          </cell>
          <cell r="R163" t="str">
            <v>●</v>
          </cell>
          <cell r="S163">
            <v>700</v>
          </cell>
          <cell r="T163" t="str">
            <v>AFRICA</v>
          </cell>
          <cell r="U163" t="str">
            <v>一般海外</v>
          </cell>
          <cell r="V163" t="str">
            <v>ｱﾌﾘｶ</v>
          </cell>
          <cell r="W163">
            <v>7</v>
          </cell>
          <cell r="X163" t="str">
            <v>ｱﾌﾘｶ</v>
          </cell>
          <cell r="Y163" t="str">
            <v>ｱﾌﾘｶ</v>
          </cell>
          <cell r="Z163" t="str">
            <v>一般</v>
          </cell>
          <cell r="AA163" t="str">
            <v>中近東/ｱﾌﾘｶ</v>
          </cell>
        </row>
        <row r="164">
          <cell r="L164">
            <v>509</v>
          </cell>
          <cell r="M164" t="str">
            <v>MARITAN</v>
          </cell>
          <cell r="N164">
            <v>700</v>
          </cell>
          <cell r="O164" t="str">
            <v>AFRICA</v>
          </cell>
          <cell r="P164">
            <v>700</v>
          </cell>
          <cell r="Q164" t="str">
            <v>AFRICA</v>
          </cell>
          <cell r="R164" t="str">
            <v>●</v>
          </cell>
          <cell r="S164">
            <v>700</v>
          </cell>
          <cell r="T164" t="str">
            <v>AFRICA</v>
          </cell>
          <cell r="U164" t="str">
            <v>一般海外</v>
          </cell>
          <cell r="V164" t="str">
            <v>ｱﾌﾘｶ</v>
          </cell>
          <cell r="W164">
            <v>7</v>
          </cell>
          <cell r="X164" t="str">
            <v>ｱﾌﾘｶ</v>
          </cell>
          <cell r="Y164" t="str">
            <v>ｱﾌﾘｶ</v>
          </cell>
          <cell r="Z164" t="str">
            <v>一般</v>
          </cell>
          <cell r="AA164" t="str">
            <v>中近東/ｱﾌﾘｶ</v>
          </cell>
        </row>
        <row r="165">
          <cell r="L165">
            <v>510</v>
          </cell>
          <cell r="M165" t="str">
            <v>SENEGAL</v>
          </cell>
          <cell r="N165">
            <v>700</v>
          </cell>
          <cell r="O165" t="str">
            <v>AFRICA</v>
          </cell>
          <cell r="P165">
            <v>700</v>
          </cell>
          <cell r="Q165" t="str">
            <v>AFRICA</v>
          </cell>
          <cell r="R165" t="str">
            <v>●</v>
          </cell>
          <cell r="S165">
            <v>700</v>
          </cell>
          <cell r="T165" t="str">
            <v>AFRICA</v>
          </cell>
          <cell r="U165" t="str">
            <v>一般海外</v>
          </cell>
          <cell r="V165" t="str">
            <v>ｱﾌﾘｶ</v>
          </cell>
          <cell r="W165">
            <v>7</v>
          </cell>
          <cell r="X165" t="str">
            <v>ｱﾌﾘｶ</v>
          </cell>
          <cell r="Y165" t="str">
            <v>ｱﾌﾘｶ</v>
          </cell>
          <cell r="Z165" t="str">
            <v>一般</v>
          </cell>
          <cell r="AA165" t="str">
            <v>中近東/ｱﾌﾘｶ</v>
          </cell>
        </row>
        <row r="166">
          <cell r="L166">
            <v>511</v>
          </cell>
          <cell r="M166" t="str">
            <v>GAMBIA</v>
          </cell>
          <cell r="N166">
            <v>700</v>
          </cell>
          <cell r="O166" t="str">
            <v>AFRICA</v>
          </cell>
          <cell r="P166">
            <v>700</v>
          </cell>
          <cell r="Q166" t="str">
            <v>AFRICA</v>
          </cell>
          <cell r="R166" t="str">
            <v>●</v>
          </cell>
          <cell r="S166">
            <v>700</v>
          </cell>
          <cell r="T166" t="str">
            <v>AFRICA</v>
          </cell>
          <cell r="U166" t="str">
            <v>一般海外</v>
          </cell>
          <cell r="V166" t="str">
            <v>ｱﾌﾘｶ</v>
          </cell>
          <cell r="W166">
            <v>7</v>
          </cell>
          <cell r="X166" t="str">
            <v>ｱﾌﾘｶ</v>
          </cell>
          <cell r="Y166" t="str">
            <v>ｱﾌﾘｶ</v>
          </cell>
          <cell r="Z166" t="str">
            <v>一般</v>
          </cell>
          <cell r="AA166" t="str">
            <v>中近東/ｱﾌﾘｶ</v>
          </cell>
        </row>
        <row r="167">
          <cell r="L167">
            <v>512</v>
          </cell>
          <cell r="M167" t="str">
            <v>GINEA B</v>
          </cell>
          <cell r="N167">
            <v>700</v>
          </cell>
          <cell r="O167" t="str">
            <v>AFRICA</v>
          </cell>
          <cell r="P167">
            <v>700</v>
          </cell>
          <cell r="Q167" t="str">
            <v>AFRICA</v>
          </cell>
          <cell r="R167" t="str">
            <v>●</v>
          </cell>
          <cell r="S167">
            <v>700</v>
          </cell>
          <cell r="T167" t="str">
            <v>AFRICA</v>
          </cell>
          <cell r="U167" t="str">
            <v>一般海外</v>
          </cell>
          <cell r="V167" t="str">
            <v>ｱﾌﾘｶ</v>
          </cell>
          <cell r="W167">
            <v>7</v>
          </cell>
          <cell r="X167" t="str">
            <v>ｱﾌﾘｶ</v>
          </cell>
          <cell r="Y167" t="str">
            <v>ｱﾌﾘｶ</v>
          </cell>
          <cell r="Z167" t="str">
            <v>一般</v>
          </cell>
          <cell r="AA167" t="str">
            <v>中近東/ｱﾌﾘｶ</v>
          </cell>
        </row>
        <row r="168">
          <cell r="L168">
            <v>513</v>
          </cell>
          <cell r="M168" t="str">
            <v>GUINEA</v>
          </cell>
          <cell r="N168">
            <v>700</v>
          </cell>
          <cell r="O168" t="str">
            <v>AFRICA</v>
          </cell>
          <cell r="P168">
            <v>700</v>
          </cell>
          <cell r="Q168" t="str">
            <v>AFRICA</v>
          </cell>
          <cell r="R168" t="str">
            <v>●</v>
          </cell>
          <cell r="S168">
            <v>700</v>
          </cell>
          <cell r="T168" t="str">
            <v>AFRICA</v>
          </cell>
          <cell r="U168" t="str">
            <v>一般海外</v>
          </cell>
          <cell r="V168" t="str">
            <v>ｱﾌﾘｶ</v>
          </cell>
          <cell r="W168">
            <v>7</v>
          </cell>
          <cell r="X168" t="str">
            <v>ｱﾌﾘｶ</v>
          </cell>
          <cell r="Y168" t="str">
            <v>ｱﾌﾘｶ</v>
          </cell>
          <cell r="Z168" t="str">
            <v>一般</v>
          </cell>
          <cell r="AA168" t="str">
            <v>中近東/ｱﾌﾘｶ</v>
          </cell>
        </row>
        <row r="169">
          <cell r="L169">
            <v>514</v>
          </cell>
          <cell r="M169" t="str">
            <v>SIERLEO</v>
          </cell>
          <cell r="N169">
            <v>700</v>
          </cell>
          <cell r="O169" t="str">
            <v>AFRICA</v>
          </cell>
          <cell r="P169">
            <v>700</v>
          </cell>
          <cell r="Q169" t="str">
            <v>AFRICA</v>
          </cell>
          <cell r="R169" t="str">
            <v>●</v>
          </cell>
          <cell r="S169">
            <v>700</v>
          </cell>
          <cell r="T169" t="str">
            <v>AFRICA</v>
          </cell>
          <cell r="U169" t="str">
            <v>一般海外</v>
          </cell>
          <cell r="V169" t="str">
            <v>ｱﾌﾘｶ</v>
          </cell>
          <cell r="W169">
            <v>7</v>
          </cell>
          <cell r="X169" t="str">
            <v>ｱﾌﾘｶ</v>
          </cell>
          <cell r="Y169" t="str">
            <v>ｱﾌﾘｶ</v>
          </cell>
          <cell r="Z169" t="str">
            <v>一般</v>
          </cell>
          <cell r="AA169" t="str">
            <v>中近東/ｱﾌﾘｶ</v>
          </cell>
        </row>
        <row r="170">
          <cell r="L170">
            <v>515</v>
          </cell>
          <cell r="M170" t="str">
            <v>LIBERIA</v>
          </cell>
          <cell r="N170">
            <v>700</v>
          </cell>
          <cell r="O170" t="str">
            <v>AFRICA</v>
          </cell>
          <cell r="P170">
            <v>700</v>
          </cell>
          <cell r="Q170" t="str">
            <v>AFRICA</v>
          </cell>
          <cell r="R170" t="str">
            <v>●</v>
          </cell>
          <cell r="S170">
            <v>700</v>
          </cell>
          <cell r="T170" t="str">
            <v>AFRICA</v>
          </cell>
          <cell r="U170" t="str">
            <v>一般海外</v>
          </cell>
          <cell r="V170" t="str">
            <v>ｱﾌﾘｶ</v>
          </cell>
          <cell r="W170">
            <v>7</v>
          </cell>
          <cell r="X170" t="str">
            <v>ｱﾌﾘｶ</v>
          </cell>
          <cell r="Y170" t="str">
            <v>ｱﾌﾘｶ</v>
          </cell>
          <cell r="Z170" t="str">
            <v>一般</v>
          </cell>
          <cell r="AA170" t="str">
            <v>中近東/ｱﾌﾘｶ</v>
          </cell>
        </row>
        <row r="171">
          <cell r="L171">
            <v>516</v>
          </cell>
          <cell r="M171" t="str">
            <v>IVCOAST</v>
          </cell>
          <cell r="N171">
            <v>700</v>
          </cell>
          <cell r="O171" t="str">
            <v>AFRICA</v>
          </cell>
          <cell r="P171">
            <v>700</v>
          </cell>
          <cell r="Q171" t="str">
            <v>AFRICA</v>
          </cell>
          <cell r="R171" t="str">
            <v>●</v>
          </cell>
          <cell r="S171">
            <v>700</v>
          </cell>
          <cell r="T171" t="str">
            <v>AFRICA</v>
          </cell>
          <cell r="U171" t="str">
            <v>一般海外</v>
          </cell>
          <cell r="V171" t="str">
            <v>ｱﾌﾘｶ</v>
          </cell>
          <cell r="W171">
            <v>7</v>
          </cell>
          <cell r="X171" t="str">
            <v>ｱﾌﾘｶ</v>
          </cell>
          <cell r="Y171" t="str">
            <v>ｱﾌﾘｶ</v>
          </cell>
          <cell r="Z171" t="str">
            <v>一般</v>
          </cell>
          <cell r="AA171" t="str">
            <v>中近東/ｱﾌﾘｶ</v>
          </cell>
        </row>
        <row r="172">
          <cell r="L172">
            <v>517</v>
          </cell>
          <cell r="M172" t="str">
            <v>GHANA</v>
          </cell>
          <cell r="N172">
            <v>700</v>
          </cell>
          <cell r="O172" t="str">
            <v>AFRICA</v>
          </cell>
          <cell r="P172">
            <v>700</v>
          </cell>
          <cell r="Q172" t="str">
            <v>AFRICA</v>
          </cell>
          <cell r="R172" t="str">
            <v>●</v>
          </cell>
          <cell r="S172">
            <v>700</v>
          </cell>
          <cell r="T172" t="str">
            <v>AFRICA</v>
          </cell>
          <cell r="U172" t="str">
            <v>一般海外</v>
          </cell>
          <cell r="V172" t="str">
            <v>ｱﾌﾘｶ</v>
          </cell>
          <cell r="W172">
            <v>7</v>
          </cell>
          <cell r="X172" t="str">
            <v>ｱﾌﾘｶ</v>
          </cell>
          <cell r="Y172" t="str">
            <v>ｱﾌﾘｶ</v>
          </cell>
          <cell r="Z172" t="str">
            <v>一般</v>
          </cell>
          <cell r="AA172" t="str">
            <v>中近東/ｱﾌﾘｶ</v>
          </cell>
        </row>
        <row r="173">
          <cell r="L173">
            <v>518</v>
          </cell>
          <cell r="M173" t="str">
            <v>TOGO</v>
          </cell>
          <cell r="N173">
            <v>700</v>
          </cell>
          <cell r="O173" t="str">
            <v>AFRICA</v>
          </cell>
          <cell r="P173">
            <v>700</v>
          </cell>
          <cell r="Q173" t="str">
            <v>AFRICA</v>
          </cell>
          <cell r="R173" t="str">
            <v>●</v>
          </cell>
          <cell r="S173">
            <v>700</v>
          </cell>
          <cell r="T173" t="str">
            <v>AFRICA</v>
          </cell>
          <cell r="U173" t="str">
            <v>一般海外</v>
          </cell>
          <cell r="V173" t="str">
            <v>ｱﾌﾘｶ</v>
          </cell>
          <cell r="W173">
            <v>7</v>
          </cell>
          <cell r="X173" t="str">
            <v>ｱﾌﾘｶ</v>
          </cell>
          <cell r="Y173" t="str">
            <v>ｱﾌﾘｶ</v>
          </cell>
          <cell r="Z173" t="str">
            <v>一般</v>
          </cell>
          <cell r="AA173" t="str">
            <v>中近東/ｱﾌﾘｶ</v>
          </cell>
        </row>
        <row r="174">
          <cell r="L174">
            <v>519</v>
          </cell>
          <cell r="M174" t="str">
            <v>BENIN</v>
          </cell>
          <cell r="N174">
            <v>700</v>
          </cell>
          <cell r="O174" t="str">
            <v>AFRICA</v>
          </cell>
          <cell r="P174">
            <v>700</v>
          </cell>
          <cell r="Q174" t="str">
            <v>AFRICA</v>
          </cell>
          <cell r="R174" t="str">
            <v>●</v>
          </cell>
          <cell r="S174">
            <v>700</v>
          </cell>
          <cell r="T174" t="str">
            <v>AFRICA</v>
          </cell>
          <cell r="U174" t="str">
            <v>一般海外</v>
          </cell>
          <cell r="V174" t="str">
            <v>ｱﾌﾘｶ</v>
          </cell>
          <cell r="W174">
            <v>7</v>
          </cell>
          <cell r="X174" t="str">
            <v>ｱﾌﾘｶ</v>
          </cell>
          <cell r="Y174" t="str">
            <v>ｱﾌﾘｶ</v>
          </cell>
          <cell r="Z174" t="str">
            <v>一般</v>
          </cell>
          <cell r="AA174" t="str">
            <v>中近東/ｱﾌﾘｶ</v>
          </cell>
        </row>
        <row r="175">
          <cell r="L175">
            <v>520</v>
          </cell>
          <cell r="M175" t="str">
            <v>MALI</v>
          </cell>
          <cell r="N175">
            <v>700</v>
          </cell>
          <cell r="O175" t="str">
            <v>AFRICA</v>
          </cell>
          <cell r="P175">
            <v>700</v>
          </cell>
          <cell r="Q175" t="str">
            <v>AFRICA</v>
          </cell>
          <cell r="R175" t="str">
            <v>●</v>
          </cell>
          <cell r="S175">
            <v>700</v>
          </cell>
          <cell r="T175" t="str">
            <v>AFRICA</v>
          </cell>
          <cell r="U175" t="str">
            <v>一般海外</v>
          </cell>
          <cell r="V175" t="str">
            <v>ｱﾌﾘｶ</v>
          </cell>
          <cell r="W175">
            <v>7</v>
          </cell>
          <cell r="X175" t="str">
            <v>ｱﾌﾘｶ</v>
          </cell>
          <cell r="Y175" t="str">
            <v>ｱﾌﾘｶ</v>
          </cell>
          <cell r="Z175" t="str">
            <v>一般</v>
          </cell>
          <cell r="AA175" t="str">
            <v>中近東/ｱﾌﾘｶ</v>
          </cell>
        </row>
        <row r="176">
          <cell r="L176">
            <v>521</v>
          </cell>
          <cell r="M176" t="str">
            <v>BURKINA F</v>
          </cell>
          <cell r="N176">
            <v>700</v>
          </cell>
          <cell r="O176" t="str">
            <v>AFRICA</v>
          </cell>
          <cell r="P176">
            <v>700</v>
          </cell>
          <cell r="Q176" t="str">
            <v>AFRICA</v>
          </cell>
          <cell r="R176" t="str">
            <v>●</v>
          </cell>
          <cell r="S176">
            <v>700</v>
          </cell>
          <cell r="T176" t="str">
            <v>AFRICA</v>
          </cell>
          <cell r="U176" t="str">
            <v>一般海外</v>
          </cell>
          <cell r="V176" t="str">
            <v>ｱﾌﾘｶ</v>
          </cell>
          <cell r="W176">
            <v>7</v>
          </cell>
          <cell r="X176" t="str">
            <v>ｱﾌﾘｶ</v>
          </cell>
          <cell r="Y176" t="str">
            <v>ｱﾌﾘｶ</v>
          </cell>
          <cell r="Z176" t="str">
            <v>一般</v>
          </cell>
          <cell r="AA176" t="str">
            <v>中近東/ｱﾌﾘｶ</v>
          </cell>
        </row>
        <row r="177">
          <cell r="L177">
            <v>522</v>
          </cell>
          <cell r="M177" t="str">
            <v>C VERDE</v>
          </cell>
          <cell r="N177">
            <v>700</v>
          </cell>
          <cell r="O177" t="str">
            <v>AFRICA</v>
          </cell>
          <cell r="P177">
            <v>700</v>
          </cell>
          <cell r="Q177" t="str">
            <v>AFRICA</v>
          </cell>
          <cell r="R177" t="str">
            <v>●</v>
          </cell>
          <cell r="S177">
            <v>700</v>
          </cell>
          <cell r="T177" t="str">
            <v>AFRICA</v>
          </cell>
          <cell r="U177" t="str">
            <v>一般海外</v>
          </cell>
          <cell r="V177" t="str">
            <v>ｱﾌﾘｶ</v>
          </cell>
          <cell r="W177">
            <v>7</v>
          </cell>
          <cell r="X177" t="str">
            <v>ｱﾌﾘｶ</v>
          </cell>
          <cell r="Y177" t="str">
            <v>ｱﾌﾘｶ</v>
          </cell>
          <cell r="Z177" t="str">
            <v>一般</v>
          </cell>
          <cell r="AA177" t="str">
            <v>中近東/ｱﾌﾘｶ</v>
          </cell>
        </row>
        <row r="178">
          <cell r="L178">
            <v>523</v>
          </cell>
          <cell r="M178" t="str">
            <v>CANARY</v>
          </cell>
          <cell r="N178">
            <v>700</v>
          </cell>
          <cell r="O178" t="str">
            <v>AFRICA</v>
          </cell>
          <cell r="P178">
            <v>700</v>
          </cell>
          <cell r="Q178" t="str">
            <v>AFRICA</v>
          </cell>
          <cell r="R178" t="str">
            <v>●</v>
          </cell>
          <cell r="S178">
            <v>700</v>
          </cell>
          <cell r="T178" t="str">
            <v>AFRICA</v>
          </cell>
          <cell r="U178" t="str">
            <v>一般海外</v>
          </cell>
          <cell r="V178" t="str">
            <v>ｱﾌﾘｶ</v>
          </cell>
          <cell r="W178">
            <v>7</v>
          </cell>
          <cell r="X178" t="str">
            <v>ｱﾌﾘｶ</v>
          </cell>
          <cell r="Y178" t="str">
            <v>ｱﾌﾘｶ</v>
          </cell>
          <cell r="Z178" t="str">
            <v>一般</v>
          </cell>
          <cell r="AA178" t="str">
            <v>中近東/ｱﾌﾘｶ</v>
          </cell>
        </row>
        <row r="179">
          <cell r="L179">
            <v>525</v>
          </cell>
          <cell r="M179" t="str">
            <v>NIGER</v>
          </cell>
          <cell r="N179">
            <v>700</v>
          </cell>
          <cell r="O179" t="str">
            <v>AFRICA</v>
          </cell>
          <cell r="P179">
            <v>700</v>
          </cell>
          <cell r="Q179" t="str">
            <v>AFRICA</v>
          </cell>
          <cell r="R179" t="str">
            <v>●</v>
          </cell>
          <cell r="S179">
            <v>700</v>
          </cell>
          <cell r="T179" t="str">
            <v>AFRICA</v>
          </cell>
          <cell r="U179" t="str">
            <v>一般海外</v>
          </cell>
          <cell r="V179" t="str">
            <v>ｱﾌﾘｶ</v>
          </cell>
          <cell r="W179">
            <v>7</v>
          </cell>
          <cell r="X179" t="str">
            <v>ｱﾌﾘｶ</v>
          </cell>
          <cell r="Y179" t="str">
            <v>ｱﾌﾘｶ</v>
          </cell>
          <cell r="Z179" t="str">
            <v>一般</v>
          </cell>
          <cell r="AA179" t="str">
            <v>中近東/ｱﾌﾘｶ</v>
          </cell>
        </row>
        <row r="180">
          <cell r="L180">
            <v>526</v>
          </cell>
          <cell r="M180" t="str">
            <v>RWANDA</v>
          </cell>
          <cell r="N180">
            <v>700</v>
          </cell>
          <cell r="O180" t="str">
            <v>AFRICA</v>
          </cell>
          <cell r="P180">
            <v>700</v>
          </cell>
          <cell r="Q180" t="str">
            <v>AFRICA</v>
          </cell>
          <cell r="R180" t="str">
            <v>●</v>
          </cell>
          <cell r="S180">
            <v>700</v>
          </cell>
          <cell r="T180" t="str">
            <v>AFRICA</v>
          </cell>
          <cell r="U180" t="str">
            <v>一般海外</v>
          </cell>
          <cell r="V180" t="str">
            <v>ｱﾌﾘｶ</v>
          </cell>
          <cell r="W180">
            <v>7</v>
          </cell>
          <cell r="X180" t="str">
            <v>ｱﾌﾘｶ</v>
          </cell>
          <cell r="Y180" t="str">
            <v>ｱﾌﾘｶ</v>
          </cell>
          <cell r="Z180" t="str">
            <v>一般</v>
          </cell>
          <cell r="AA180" t="str">
            <v>中近東/ｱﾌﾘｶ</v>
          </cell>
        </row>
        <row r="181">
          <cell r="L181">
            <v>527</v>
          </cell>
          <cell r="M181" t="str">
            <v>CAMEROUN</v>
          </cell>
          <cell r="N181">
            <v>700</v>
          </cell>
          <cell r="O181" t="str">
            <v>AFRICA</v>
          </cell>
          <cell r="P181">
            <v>700</v>
          </cell>
          <cell r="Q181" t="str">
            <v>AFRICA</v>
          </cell>
          <cell r="R181" t="str">
            <v>●</v>
          </cell>
          <cell r="S181">
            <v>700</v>
          </cell>
          <cell r="T181" t="str">
            <v>AFRICA</v>
          </cell>
          <cell r="U181" t="str">
            <v>一般海外</v>
          </cell>
          <cell r="V181" t="str">
            <v>ｱﾌﾘｶ</v>
          </cell>
          <cell r="W181">
            <v>7</v>
          </cell>
          <cell r="X181" t="str">
            <v>ｱﾌﾘｶ</v>
          </cell>
          <cell r="Y181" t="str">
            <v>ｱﾌﾘｶ</v>
          </cell>
          <cell r="Z181" t="str">
            <v>一般</v>
          </cell>
          <cell r="AA181" t="str">
            <v>中近東/ｱﾌﾘｶ</v>
          </cell>
        </row>
        <row r="182">
          <cell r="L182">
            <v>528</v>
          </cell>
          <cell r="M182" t="str">
            <v>CHAD</v>
          </cell>
          <cell r="N182">
            <v>700</v>
          </cell>
          <cell r="O182" t="str">
            <v>AFRICA</v>
          </cell>
          <cell r="P182">
            <v>700</v>
          </cell>
          <cell r="Q182" t="str">
            <v>AFRICA</v>
          </cell>
          <cell r="R182" t="str">
            <v>●</v>
          </cell>
          <cell r="S182">
            <v>700</v>
          </cell>
          <cell r="T182" t="str">
            <v>AFRICA</v>
          </cell>
          <cell r="U182" t="str">
            <v>一般海外</v>
          </cell>
          <cell r="V182" t="str">
            <v>ｱﾌﾘｶ</v>
          </cell>
          <cell r="W182">
            <v>7</v>
          </cell>
          <cell r="X182" t="str">
            <v>ｱﾌﾘｶ</v>
          </cell>
          <cell r="Y182" t="str">
            <v>ｱﾌﾘｶ</v>
          </cell>
          <cell r="Z182" t="str">
            <v>一般</v>
          </cell>
          <cell r="AA182" t="str">
            <v>中近東/ｱﾌﾘｶ</v>
          </cell>
        </row>
        <row r="183">
          <cell r="L183">
            <v>529</v>
          </cell>
          <cell r="M183" t="str">
            <v>C AFRCA</v>
          </cell>
          <cell r="N183">
            <v>700</v>
          </cell>
          <cell r="O183" t="str">
            <v>AFRICA</v>
          </cell>
          <cell r="P183">
            <v>700</v>
          </cell>
          <cell r="Q183" t="str">
            <v>AFRICA</v>
          </cell>
          <cell r="R183" t="str">
            <v>●</v>
          </cell>
          <cell r="S183">
            <v>700</v>
          </cell>
          <cell r="T183" t="str">
            <v>AFRICA</v>
          </cell>
          <cell r="U183" t="str">
            <v>一般海外</v>
          </cell>
          <cell r="V183" t="str">
            <v>ｱﾌﾘｶ</v>
          </cell>
          <cell r="W183">
            <v>7</v>
          </cell>
          <cell r="X183" t="str">
            <v>ｱﾌﾘｶ</v>
          </cell>
          <cell r="Y183" t="str">
            <v>ｱﾌﾘｶ</v>
          </cell>
          <cell r="Z183" t="str">
            <v>一般</v>
          </cell>
          <cell r="AA183" t="str">
            <v>中近東/ｱﾌﾘｶ</v>
          </cell>
        </row>
        <row r="184">
          <cell r="L184">
            <v>530</v>
          </cell>
          <cell r="M184" t="str">
            <v>EQ GNEA</v>
          </cell>
          <cell r="N184">
            <v>700</v>
          </cell>
          <cell r="O184" t="str">
            <v>AFRICA</v>
          </cell>
          <cell r="P184">
            <v>700</v>
          </cell>
          <cell r="Q184" t="str">
            <v>AFRICA</v>
          </cell>
          <cell r="R184" t="str">
            <v>●</v>
          </cell>
          <cell r="S184">
            <v>700</v>
          </cell>
          <cell r="T184" t="str">
            <v>AFRICA</v>
          </cell>
          <cell r="U184" t="str">
            <v>一般海外</v>
          </cell>
          <cell r="V184" t="str">
            <v>ｱﾌﾘｶ</v>
          </cell>
          <cell r="W184">
            <v>7</v>
          </cell>
          <cell r="X184" t="str">
            <v>ｱﾌﾘｶ</v>
          </cell>
          <cell r="Y184" t="str">
            <v>ｱﾌﾘｶ</v>
          </cell>
          <cell r="Z184" t="str">
            <v>一般</v>
          </cell>
          <cell r="AA184" t="str">
            <v>中近東/ｱﾌﾘｶ</v>
          </cell>
        </row>
        <row r="185">
          <cell r="L185">
            <v>531</v>
          </cell>
          <cell r="M185" t="str">
            <v>GABON</v>
          </cell>
          <cell r="N185">
            <v>700</v>
          </cell>
          <cell r="O185" t="str">
            <v>AFRICA</v>
          </cell>
          <cell r="P185">
            <v>700</v>
          </cell>
          <cell r="Q185" t="str">
            <v>AFRICA</v>
          </cell>
          <cell r="R185" t="str">
            <v>●</v>
          </cell>
          <cell r="S185">
            <v>700</v>
          </cell>
          <cell r="T185" t="str">
            <v>AFRICA</v>
          </cell>
          <cell r="U185" t="str">
            <v>一般海外</v>
          </cell>
          <cell r="V185" t="str">
            <v>ｱﾌﾘｶ</v>
          </cell>
          <cell r="W185">
            <v>7</v>
          </cell>
          <cell r="X185" t="str">
            <v>ｱﾌﾘｶ</v>
          </cell>
          <cell r="Y185" t="str">
            <v>ｱﾌﾘｶ</v>
          </cell>
          <cell r="Z185" t="str">
            <v>一般</v>
          </cell>
          <cell r="AA185" t="str">
            <v>中近東/ｱﾌﾘｶ</v>
          </cell>
        </row>
        <row r="186">
          <cell r="L186">
            <v>532</v>
          </cell>
          <cell r="M186" t="str">
            <v>CONGO</v>
          </cell>
          <cell r="N186">
            <v>700</v>
          </cell>
          <cell r="O186" t="str">
            <v>AFRICA</v>
          </cell>
          <cell r="P186">
            <v>700</v>
          </cell>
          <cell r="Q186" t="str">
            <v>AFRICA</v>
          </cell>
          <cell r="R186" t="str">
            <v>●</v>
          </cell>
          <cell r="S186">
            <v>700</v>
          </cell>
          <cell r="T186" t="str">
            <v>AFRICA</v>
          </cell>
          <cell r="U186" t="str">
            <v>一般海外</v>
          </cell>
          <cell r="V186" t="str">
            <v>ｱﾌﾘｶ</v>
          </cell>
          <cell r="W186">
            <v>7</v>
          </cell>
          <cell r="X186" t="str">
            <v>ｱﾌﾘｶ</v>
          </cell>
          <cell r="Y186" t="str">
            <v>ｱﾌﾘｶ</v>
          </cell>
          <cell r="Z186" t="str">
            <v>一般</v>
          </cell>
          <cell r="AA186" t="str">
            <v>中近東/ｱﾌﾘｶ</v>
          </cell>
        </row>
        <row r="187">
          <cell r="L187">
            <v>533</v>
          </cell>
          <cell r="M187" t="str">
            <v>ZAIRE</v>
          </cell>
          <cell r="N187">
            <v>700</v>
          </cell>
          <cell r="O187" t="str">
            <v>AFRICA</v>
          </cell>
          <cell r="P187">
            <v>700</v>
          </cell>
          <cell r="Q187" t="str">
            <v>AFRICA</v>
          </cell>
          <cell r="R187" t="str">
            <v>●</v>
          </cell>
          <cell r="S187">
            <v>700</v>
          </cell>
          <cell r="T187" t="str">
            <v>AFRICA</v>
          </cell>
          <cell r="U187" t="str">
            <v>一般海外</v>
          </cell>
          <cell r="V187" t="str">
            <v>ｱﾌﾘｶ</v>
          </cell>
          <cell r="W187">
            <v>7</v>
          </cell>
          <cell r="X187" t="str">
            <v>ｱﾌﾘｶ</v>
          </cell>
          <cell r="Y187" t="str">
            <v>ｱﾌﾘｶ</v>
          </cell>
          <cell r="Z187" t="str">
            <v>一般</v>
          </cell>
          <cell r="AA187" t="str">
            <v>中近東/ｱﾌﾘｶ</v>
          </cell>
        </row>
        <row r="188">
          <cell r="L188">
            <v>534</v>
          </cell>
          <cell r="M188" t="str">
            <v>BRUNDI</v>
          </cell>
          <cell r="N188">
            <v>700</v>
          </cell>
          <cell r="O188" t="str">
            <v>AFRICA</v>
          </cell>
          <cell r="P188">
            <v>700</v>
          </cell>
          <cell r="Q188" t="str">
            <v>AFRICA</v>
          </cell>
          <cell r="R188" t="str">
            <v>●</v>
          </cell>
          <cell r="S188">
            <v>700</v>
          </cell>
          <cell r="T188" t="str">
            <v>AFRICA</v>
          </cell>
          <cell r="U188" t="str">
            <v>一般海外</v>
          </cell>
          <cell r="V188" t="str">
            <v>ｱﾌﾘｶ</v>
          </cell>
          <cell r="W188">
            <v>7</v>
          </cell>
          <cell r="X188" t="str">
            <v>ｱﾌﾘｶ</v>
          </cell>
          <cell r="Y188" t="str">
            <v>ｱﾌﾘｶ</v>
          </cell>
          <cell r="Z188" t="str">
            <v>一般</v>
          </cell>
          <cell r="AA188" t="str">
            <v>中近東/ｱﾌﾘｶ</v>
          </cell>
        </row>
        <row r="189">
          <cell r="L189">
            <v>535</v>
          </cell>
          <cell r="M189" t="str">
            <v>ANGOLA</v>
          </cell>
          <cell r="N189">
            <v>700</v>
          </cell>
          <cell r="O189" t="str">
            <v>AFRICA</v>
          </cell>
          <cell r="P189">
            <v>700</v>
          </cell>
          <cell r="Q189" t="str">
            <v>AFRICA</v>
          </cell>
          <cell r="R189" t="str">
            <v>●</v>
          </cell>
          <cell r="S189">
            <v>700</v>
          </cell>
          <cell r="T189" t="str">
            <v>AFRICA</v>
          </cell>
          <cell r="U189" t="str">
            <v>一般海外</v>
          </cell>
          <cell r="V189" t="str">
            <v>ｱﾌﾘｶ</v>
          </cell>
          <cell r="W189">
            <v>7</v>
          </cell>
          <cell r="X189" t="str">
            <v>ｱﾌﾘｶ</v>
          </cell>
          <cell r="Y189" t="str">
            <v>ｱﾌﾘｶ</v>
          </cell>
          <cell r="Z189" t="str">
            <v>一般</v>
          </cell>
          <cell r="AA189" t="str">
            <v>中近東/ｱﾌﾘｶ</v>
          </cell>
        </row>
        <row r="190">
          <cell r="L190">
            <v>536</v>
          </cell>
          <cell r="M190" t="str">
            <v>ST PRIN</v>
          </cell>
          <cell r="N190">
            <v>700</v>
          </cell>
          <cell r="O190" t="str">
            <v>AFRICA</v>
          </cell>
          <cell r="P190">
            <v>700</v>
          </cell>
          <cell r="Q190" t="str">
            <v>AFRICA</v>
          </cell>
          <cell r="R190" t="str">
            <v>●</v>
          </cell>
          <cell r="S190">
            <v>700</v>
          </cell>
          <cell r="T190" t="str">
            <v>AFRICA</v>
          </cell>
          <cell r="U190" t="str">
            <v>一般海外</v>
          </cell>
          <cell r="V190" t="str">
            <v>ｱﾌﾘｶ</v>
          </cell>
          <cell r="W190">
            <v>7</v>
          </cell>
          <cell r="X190" t="str">
            <v>ｱﾌﾘｶ</v>
          </cell>
          <cell r="Y190" t="str">
            <v>ｱﾌﾘｶ</v>
          </cell>
          <cell r="Z190" t="str">
            <v>一般</v>
          </cell>
          <cell r="AA190" t="str">
            <v>中近東/ｱﾌﾘｶ</v>
          </cell>
        </row>
        <row r="191">
          <cell r="L191">
            <v>537</v>
          </cell>
          <cell r="M191" t="str">
            <v>ST HELE</v>
          </cell>
          <cell r="N191">
            <v>700</v>
          </cell>
          <cell r="O191" t="str">
            <v>AFRICA</v>
          </cell>
          <cell r="P191">
            <v>700</v>
          </cell>
          <cell r="Q191" t="str">
            <v>AFRICA</v>
          </cell>
          <cell r="R191" t="str">
            <v>●</v>
          </cell>
          <cell r="S191">
            <v>700</v>
          </cell>
          <cell r="T191" t="str">
            <v>AFRICA</v>
          </cell>
          <cell r="U191" t="str">
            <v>一般海外</v>
          </cell>
          <cell r="V191" t="str">
            <v>ｱﾌﾘｶ</v>
          </cell>
          <cell r="W191">
            <v>7</v>
          </cell>
          <cell r="X191" t="str">
            <v>ｱﾌﾘｶ</v>
          </cell>
          <cell r="Y191" t="str">
            <v>ｱﾌﾘｶ</v>
          </cell>
          <cell r="Z191" t="str">
            <v>一般</v>
          </cell>
          <cell r="AA191" t="str">
            <v>中近東/ｱﾌﾘｶ</v>
          </cell>
        </row>
        <row r="192">
          <cell r="L192">
            <v>538</v>
          </cell>
          <cell r="M192" t="str">
            <v>ETHIOP</v>
          </cell>
          <cell r="N192">
            <v>700</v>
          </cell>
          <cell r="O192" t="str">
            <v>AFRICA</v>
          </cell>
          <cell r="P192">
            <v>700</v>
          </cell>
          <cell r="Q192" t="str">
            <v>AFRICA</v>
          </cell>
          <cell r="R192" t="str">
            <v>●</v>
          </cell>
          <cell r="S192">
            <v>700</v>
          </cell>
          <cell r="T192" t="str">
            <v>AFRICA</v>
          </cell>
          <cell r="U192" t="str">
            <v>一般海外</v>
          </cell>
          <cell r="V192" t="str">
            <v>ｱﾌﾘｶ</v>
          </cell>
          <cell r="W192">
            <v>7</v>
          </cell>
          <cell r="X192" t="str">
            <v>ｱﾌﾘｶ</v>
          </cell>
          <cell r="Y192" t="str">
            <v>ｱﾌﾘｶ</v>
          </cell>
          <cell r="Z192" t="str">
            <v>一般</v>
          </cell>
          <cell r="AA192" t="str">
            <v>中近東/ｱﾌﾘｶ</v>
          </cell>
        </row>
        <row r="193">
          <cell r="L193">
            <v>539</v>
          </cell>
          <cell r="M193" t="str">
            <v>DJIBOUT</v>
          </cell>
          <cell r="N193">
            <v>700</v>
          </cell>
          <cell r="O193" t="str">
            <v>AFRICA</v>
          </cell>
          <cell r="P193">
            <v>700</v>
          </cell>
          <cell r="Q193" t="str">
            <v>AFRICA</v>
          </cell>
          <cell r="R193" t="str">
            <v>●</v>
          </cell>
          <cell r="S193">
            <v>700</v>
          </cell>
          <cell r="T193" t="str">
            <v>AFRICA</v>
          </cell>
          <cell r="U193" t="str">
            <v>一般海外</v>
          </cell>
          <cell r="V193" t="str">
            <v>ｱﾌﾘｶ</v>
          </cell>
          <cell r="W193">
            <v>7</v>
          </cell>
          <cell r="X193" t="str">
            <v>ｱﾌﾘｶ</v>
          </cell>
          <cell r="Y193" t="str">
            <v>ｱﾌﾘｶ</v>
          </cell>
          <cell r="Z193" t="str">
            <v>一般</v>
          </cell>
          <cell r="AA193" t="str">
            <v>中近東/ｱﾌﾘｶ</v>
          </cell>
        </row>
        <row r="194">
          <cell r="L194">
            <v>540</v>
          </cell>
          <cell r="M194" t="str">
            <v>SOMALIA</v>
          </cell>
          <cell r="N194">
            <v>700</v>
          </cell>
          <cell r="O194" t="str">
            <v>AFRICA</v>
          </cell>
          <cell r="P194">
            <v>700</v>
          </cell>
          <cell r="Q194" t="str">
            <v>AFRICA</v>
          </cell>
          <cell r="R194" t="str">
            <v>●</v>
          </cell>
          <cell r="S194">
            <v>700</v>
          </cell>
          <cell r="T194" t="str">
            <v>AFRICA</v>
          </cell>
          <cell r="U194" t="str">
            <v>一般海外</v>
          </cell>
          <cell r="V194" t="str">
            <v>ｱﾌﾘｶ</v>
          </cell>
          <cell r="W194">
            <v>7</v>
          </cell>
          <cell r="X194" t="str">
            <v>ｱﾌﾘｶ</v>
          </cell>
          <cell r="Y194" t="str">
            <v>ｱﾌﾘｶ</v>
          </cell>
          <cell r="Z194" t="str">
            <v>一般</v>
          </cell>
          <cell r="AA194" t="str">
            <v>中近東/ｱﾌﾘｶ</v>
          </cell>
        </row>
        <row r="195">
          <cell r="L195">
            <v>542</v>
          </cell>
          <cell r="M195" t="str">
            <v>UGANDA</v>
          </cell>
          <cell r="N195">
            <v>700</v>
          </cell>
          <cell r="O195" t="str">
            <v>AFRICA</v>
          </cell>
          <cell r="P195">
            <v>700</v>
          </cell>
          <cell r="Q195" t="str">
            <v>AFRICA</v>
          </cell>
          <cell r="R195" t="str">
            <v>●</v>
          </cell>
          <cell r="S195">
            <v>700</v>
          </cell>
          <cell r="T195" t="str">
            <v>AFRICA</v>
          </cell>
          <cell r="U195" t="str">
            <v>一般海外</v>
          </cell>
          <cell r="V195" t="str">
            <v>ｱﾌﾘｶ</v>
          </cell>
          <cell r="W195">
            <v>7</v>
          </cell>
          <cell r="X195" t="str">
            <v>ｱﾌﾘｶ</v>
          </cell>
          <cell r="Y195" t="str">
            <v>ｱﾌﾘｶ</v>
          </cell>
          <cell r="Z195" t="str">
            <v>一般</v>
          </cell>
          <cell r="AA195" t="str">
            <v>中近東/ｱﾌﾘｶ</v>
          </cell>
        </row>
        <row r="196">
          <cell r="L196">
            <v>543</v>
          </cell>
          <cell r="M196" t="str">
            <v>TANZNIA</v>
          </cell>
          <cell r="N196">
            <v>700</v>
          </cell>
          <cell r="O196" t="str">
            <v>AFRICA</v>
          </cell>
          <cell r="P196">
            <v>700</v>
          </cell>
          <cell r="Q196" t="str">
            <v>AFRICA</v>
          </cell>
          <cell r="R196" t="str">
            <v>●</v>
          </cell>
          <cell r="S196">
            <v>700</v>
          </cell>
          <cell r="T196" t="str">
            <v>AFRICA</v>
          </cell>
          <cell r="U196" t="str">
            <v>一般海外</v>
          </cell>
          <cell r="V196" t="str">
            <v>ｱﾌﾘｶ</v>
          </cell>
          <cell r="W196">
            <v>7</v>
          </cell>
          <cell r="X196" t="str">
            <v>ｱﾌﾘｶ</v>
          </cell>
          <cell r="Y196" t="str">
            <v>ｱﾌﾘｶ</v>
          </cell>
          <cell r="Z196" t="str">
            <v>一般</v>
          </cell>
          <cell r="AA196" t="str">
            <v>中近東/ｱﾌﾘｶ</v>
          </cell>
        </row>
        <row r="197">
          <cell r="L197">
            <v>544</v>
          </cell>
          <cell r="M197" t="str">
            <v>SENYCHEL</v>
          </cell>
          <cell r="N197">
            <v>700</v>
          </cell>
          <cell r="O197" t="str">
            <v>AFRICA</v>
          </cell>
          <cell r="P197">
            <v>700</v>
          </cell>
          <cell r="Q197" t="str">
            <v>AFRICA</v>
          </cell>
          <cell r="R197" t="str">
            <v>●</v>
          </cell>
          <cell r="S197">
            <v>700</v>
          </cell>
          <cell r="T197" t="str">
            <v>AFRICA</v>
          </cell>
          <cell r="U197" t="str">
            <v>一般海外</v>
          </cell>
          <cell r="V197" t="str">
            <v>ｱﾌﾘｶ</v>
          </cell>
          <cell r="W197">
            <v>7</v>
          </cell>
          <cell r="X197" t="str">
            <v>ｱﾌﾘｶ</v>
          </cell>
          <cell r="Y197" t="str">
            <v>ｱﾌﾘｶ</v>
          </cell>
          <cell r="Z197" t="str">
            <v>一般</v>
          </cell>
          <cell r="AA197" t="str">
            <v>中近東/ｱﾌﾘｶ</v>
          </cell>
        </row>
        <row r="198">
          <cell r="L198">
            <v>545</v>
          </cell>
          <cell r="M198" t="str">
            <v>MOZAMBQ</v>
          </cell>
          <cell r="N198">
            <v>700</v>
          </cell>
          <cell r="O198" t="str">
            <v>AFRICA</v>
          </cell>
          <cell r="P198">
            <v>700</v>
          </cell>
          <cell r="Q198" t="str">
            <v>AFRICA</v>
          </cell>
          <cell r="R198" t="str">
            <v>●</v>
          </cell>
          <cell r="S198">
            <v>700</v>
          </cell>
          <cell r="T198" t="str">
            <v>AFRICA</v>
          </cell>
          <cell r="U198" t="str">
            <v>一般海外</v>
          </cell>
          <cell r="V198" t="str">
            <v>ｱﾌﾘｶ</v>
          </cell>
          <cell r="W198">
            <v>7</v>
          </cell>
          <cell r="X198" t="str">
            <v>ｱﾌﾘｶ</v>
          </cell>
          <cell r="Y198" t="str">
            <v>ｱﾌﾘｶ</v>
          </cell>
          <cell r="Z198" t="str">
            <v>一般</v>
          </cell>
          <cell r="AA198" t="str">
            <v>中近東/ｱﾌﾘｶ</v>
          </cell>
        </row>
        <row r="199">
          <cell r="L199">
            <v>546</v>
          </cell>
          <cell r="M199" t="str">
            <v>MADAGAS</v>
          </cell>
          <cell r="N199">
            <v>700</v>
          </cell>
          <cell r="O199" t="str">
            <v>AFRICA</v>
          </cell>
          <cell r="P199">
            <v>700</v>
          </cell>
          <cell r="Q199" t="str">
            <v>AFRICA</v>
          </cell>
          <cell r="R199" t="str">
            <v>●</v>
          </cell>
          <cell r="S199">
            <v>700</v>
          </cell>
          <cell r="T199" t="str">
            <v>AFRICA</v>
          </cell>
          <cell r="U199" t="str">
            <v>一般海外</v>
          </cell>
          <cell r="V199" t="str">
            <v>ｱﾌﾘｶ</v>
          </cell>
          <cell r="W199">
            <v>7</v>
          </cell>
          <cell r="X199" t="str">
            <v>ｱﾌﾘｶ</v>
          </cell>
          <cell r="Y199" t="str">
            <v>ｱﾌﾘｶ</v>
          </cell>
          <cell r="Z199" t="str">
            <v>一般</v>
          </cell>
          <cell r="AA199" t="str">
            <v>中近東/ｱﾌﾘｶ</v>
          </cell>
        </row>
        <row r="200">
          <cell r="L200">
            <v>547</v>
          </cell>
          <cell r="M200" t="str">
            <v>MAURTUS</v>
          </cell>
          <cell r="N200">
            <v>700</v>
          </cell>
          <cell r="O200" t="str">
            <v>AFRICA</v>
          </cell>
          <cell r="P200">
            <v>700</v>
          </cell>
          <cell r="Q200" t="str">
            <v>AFRICA</v>
          </cell>
          <cell r="R200" t="str">
            <v>●</v>
          </cell>
          <cell r="S200">
            <v>700</v>
          </cell>
          <cell r="T200" t="str">
            <v>AFRICA</v>
          </cell>
          <cell r="U200" t="str">
            <v>一般海外</v>
          </cell>
          <cell r="V200" t="str">
            <v>ｱﾌﾘｶ</v>
          </cell>
          <cell r="W200">
            <v>7</v>
          </cell>
          <cell r="X200" t="str">
            <v>ｱﾌﾘｶ</v>
          </cell>
          <cell r="Y200" t="str">
            <v>ｱﾌﾘｶ</v>
          </cell>
          <cell r="Z200" t="str">
            <v>一般</v>
          </cell>
          <cell r="AA200" t="str">
            <v>中近東/ｱﾌﾘｶ</v>
          </cell>
        </row>
        <row r="201">
          <cell r="L201">
            <v>548</v>
          </cell>
          <cell r="M201" t="str">
            <v>REUNION</v>
          </cell>
          <cell r="N201">
            <v>700</v>
          </cell>
          <cell r="O201" t="str">
            <v>AFRICA</v>
          </cell>
          <cell r="P201">
            <v>700</v>
          </cell>
          <cell r="Q201" t="str">
            <v>AFRICA</v>
          </cell>
          <cell r="R201" t="str">
            <v>●</v>
          </cell>
          <cell r="S201">
            <v>700</v>
          </cell>
          <cell r="T201" t="str">
            <v>AFRICA</v>
          </cell>
          <cell r="U201" t="str">
            <v>一般海外</v>
          </cell>
          <cell r="V201" t="str">
            <v>ｱﾌﾘｶ</v>
          </cell>
          <cell r="W201">
            <v>7</v>
          </cell>
          <cell r="X201" t="str">
            <v>ｱﾌﾘｶ</v>
          </cell>
          <cell r="Y201" t="str">
            <v>ｱﾌﾘｶ</v>
          </cell>
          <cell r="Z201" t="str">
            <v>一般</v>
          </cell>
          <cell r="AA201" t="str">
            <v>中近東/ｱﾌﾘｶ</v>
          </cell>
        </row>
        <row r="202">
          <cell r="L202">
            <v>549</v>
          </cell>
          <cell r="M202" t="str">
            <v>ZAIMBABW</v>
          </cell>
          <cell r="N202">
            <v>700</v>
          </cell>
          <cell r="O202" t="str">
            <v>AFRICA</v>
          </cell>
          <cell r="P202">
            <v>700</v>
          </cell>
          <cell r="Q202" t="str">
            <v>AFRICA</v>
          </cell>
          <cell r="R202" t="str">
            <v>●</v>
          </cell>
          <cell r="S202">
            <v>700</v>
          </cell>
          <cell r="T202" t="str">
            <v>AFRICA</v>
          </cell>
          <cell r="U202" t="str">
            <v>一般海外</v>
          </cell>
          <cell r="V202" t="str">
            <v>ｱﾌﾘｶ</v>
          </cell>
          <cell r="W202">
            <v>7</v>
          </cell>
          <cell r="X202" t="str">
            <v>ｱﾌﾘｶ</v>
          </cell>
          <cell r="Y202" t="str">
            <v>ｱﾌﾘｶ</v>
          </cell>
          <cell r="Z202" t="str">
            <v>一般</v>
          </cell>
          <cell r="AA202" t="str">
            <v>中近東/ｱﾌﾘｶ</v>
          </cell>
        </row>
        <row r="203">
          <cell r="L203">
            <v>550</v>
          </cell>
          <cell r="M203" t="str">
            <v>NAMIBIA</v>
          </cell>
          <cell r="N203">
            <v>700</v>
          </cell>
          <cell r="O203" t="str">
            <v>AFRICA</v>
          </cell>
          <cell r="P203">
            <v>700</v>
          </cell>
          <cell r="Q203" t="str">
            <v>AFRICA</v>
          </cell>
          <cell r="R203" t="str">
            <v>●</v>
          </cell>
          <cell r="S203">
            <v>700</v>
          </cell>
          <cell r="T203" t="str">
            <v>AFRICA</v>
          </cell>
          <cell r="U203" t="str">
            <v>一般海外</v>
          </cell>
          <cell r="V203" t="str">
            <v>ｱﾌﾘｶ</v>
          </cell>
          <cell r="W203">
            <v>7</v>
          </cell>
          <cell r="X203" t="str">
            <v>ｱﾌﾘｶ</v>
          </cell>
          <cell r="Y203" t="str">
            <v>ｱﾌﾘｶ</v>
          </cell>
          <cell r="Z203" t="str">
            <v>一般</v>
          </cell>
          <cell r="AA203" t="str">
            <v>中近東/ｱﾌﾘｶ</v>
          </cell>
        </row>
        <row r="204">
          <cell r="L204">
            <v>552</v>
          </cell>
          <cell r="M204" t="str">
            <v>LESOTHO</v>
          </cell>
          <cell r="N204">
            <v>700</v>
          </cell>
          <cell r="O204" t="str">
            <v>AFRICA</v>
          </cell>
          <cell r="P204">
            <v>700</v>
          </cell>
          <cell r="Q204" t="str">
            <v>AFRICA</v>
          </cell>
          <cell r="R204" t="str">
            <v>●</v>
          </cell>
          <cell r="S204">
            <v>700</v>
          </cell>
          <cell r="T204" t="str">
            <v>AFRICA</v>
          </cell>
          <cell r="U204" t="str">
            <v>一般海外</v>
          </cell>
          <cell r="V204" t="str">
            <v>ｱﾌﾘｶ</v>
          </cell>
          <cell r="W204">
            <v>7</v>
          </cell>
          <cell r="X204" t="str">
            <v>ｱﾌﾘｶ</v>
          </cell>
          <cell r="Y204" t="str">
            <v>ｱﾌﾘｶ</v>
          </cell>
          <cell r="Z204" t="str">
            <v>一般</v>
          </cell>
          <cell r="AA204" t="str">
            <v>中近東/ｱﾌﾘｶ</v>
          </cell>
        </row>
        <row r="205">
          <cell r="L205">
            <v>553</v>
          </cell>
          <cell r="M205" t="str">
            <v>MALAWI</v>
          </cell>
          <cell r="N205">
            <v>700</v>
          </cell>
          <cell r="O205" t="str">
            <v>AFRICA</v>
          </cell>
          <cell r="P205">
            <v>700</v>
          </cell>
          <cell r="Q205" t="str">
            <v>AFRICA</v>
          </cell>
          <cell r="R205" t="str">
            <v>●</v>
          </cell>
          <cell r="S205">
            <v>700</v>
          </cell>
          <cell r="T205" t="str">
            <v>AFRICA</v>
          </cell>
          <cell r="U205" t="str">
            <v>一般海外</v>
          </cell>
          <cell r="V205" t="str">
            <v>ｱﾌﾘｶ</v>
          </cell>
          <cell r="W205">
            <v>7</v>
          </cell>
          <cell r="X205" t="str">
            <v>ｱﾌﾘｶ</v>
          </cell>
          <cell r="Y205" t="str">
            <v>ｱﾌﾘｶ</v>
          </cell>
          <cell r="Z205" t="str">
            <v>一般</v>
          </cell>
          <cell r="AA205" t="str">
            <v>中近東/ｱﾌﾘｶ</v>
          </cell>
        </row>
        <row r="206">
          <cell r="L206">
            <v>554</v>
          </cell>
          <cell r="M206" t="str">
            <v>ZAMBIA</v>
          </cell>
          <cell r="N206">
            <v>700</v>
          </cell>
          <cell r="O206" t="str">
            <v>AFRICA</v>
          </cell>
          <cell r="P206">
            <v>700</v>
          </cell>
          <cell r="Q206" t="str">
            <v>AFRICA</v>
          </cell>
          <cell r="R206" t="str">
            <v>●</v>
          </cell>
          <cell r="S206">
            <v>700</v>
          </cell>
          <cell r="T206" t="str">
            <v>AFRICA</v>
          </cell>
          <cell r="U206" t="str">
            <v>一般海外</v>
          </cell>
          <cell r="V206" t="str">
            <v>ｱﾌﾘｶ</v>
          </cell>
          <cell r="W206">
            <v>7</v>
          </cell>
          <cell r="X206" t="str">
            <v>ｱﾌﾘｶ</v>
          </cell>
          <cell r="Y206" t="str">
            <v>ｱﾌﾘｶ</v>
          </cell>
          <cell r="Z206" t="str">
            <v>一般</v>
          </cell>
          <cell r="AA206" t="str">
            <v>中近東/ｱﾌﾘｶ</v>
          </cell>
        </row>
        <row r="207">
          <cell r="L207">
            <v>555</v>
          </cell>
          <cell r="M207" t="str">
            <v>BOTSWAN</v>
          </cell>
          <cell r="N207">
            <v>700</v>
          </cell>
          <cell r="O207" t="str">
            <v>AFRICA</v>
          </cell>
          <cell r="P207">
            <v>700</v>
          </cell>
          <cell r="Q207" t="str">
            <v>AFRICA</v>
          </cell>
          <cell r="R207" t="str">
            <v>●</v>
          </cell>
          <cell r="S207">
            <v>700</v>
          </cell>
          <cell r="T207" t="str">
            <v>AFRICA</v>
          </cell>
          <cell r="U207" t="str">
            <v>一般海外</v>
          </cell>
          <cell r="V207" t="str">
            <v>ｱﾌﾘｶ</v>
          </cell>
          <cell r="W207">
            <v>7</v>
          </cell>
          <cell r="X207" t="str">
            <v>ｱﾌﾘｶ</v>
          </cell>
          <cell r="Y207" t="str">
            <v>ｱﾌﾘｶ</v>
          </cell>
          <cell r="Z207" t="str">
            <v>一般</v>
          </cell>
          <cell r="AA207" t="str">
            <v>中近東/ｱﾌﾘｶ</v>
          </cell>
        </row>
        <row r="208">
          <cell r="L208">
            <v>556</v>
          </cell>
          <cell r="M208" t="str">
            <v>SWZILND</v>
          </cell>
          <cell r="N208">
            <v>700</v>
          </cell>
          <cell r="O208" t="str">
            <v>AFRICA</v>
          </cell>
          <cell r="P208">
            <v>700</v>
          </cell>
          <cell r="Q208" t="str">
            <v>AFRICA</v>
          </cell>
          <cell r="R208" t="str">
            <v>●</v>
          </cell>
          <cell r="S208">
            <v>700</v>
          </cell>
          <cell r="T208" t="str">
            <v>AFRICA</v>
          </cell>
          <cell r="U208" t="str">
            <v>一般海外</v>
          </cell>
          <cell r="V208" t="str">
            <v>ｱﾌﾘｶ</v>
          </cell>
          <cell r="W208">
            <v>7</v>
          </cell>
          <cell r="X208" t="str">
            <v>ｱﾌﾘｶ</v>
          </cell>
          <cell r="Y208" t="str">
            <v>ｱﾌﾘｶ</v>
          </cell>
          <cell r="Z208" t="str">
            <v>一般</v>
          </cell>
          <cell r="AA208" t="str">
            <v>中近東/ｱﾌﾘｶ</v>
          </cell>
        </row>
        <row r="209">
          <cell r="L209">
            <v>557</v>
          </cell>
          <cell r="M209" t="str">
            <v>COMORO</v>
          </cell>
          <cell r="N209">
            <v>700</v>
          </cell>
          <cell r="O209" t="str">
            <v>AFRICA</v>
          </cell>
          <cell r="P209">
            <v>700</v>
          </cell>
          <cell r="Q209" t="str">
            <v>AFRICA</v>
          </cell>
          <cell r="R209" t="str">
            <v>●</v>
          </cell>
          <cell r="S209">
            <v>700</v>
          </cell>
          <cell r="T209" t="str">
            <v>AFRICA</v>
          </cell>
          <cell r="U209" t="str">
            <v>一般海外</v>
          </cell>
          <cell r="V209" t="str">
            <v>ｱﾌﾘｶ</v>
          </cell>
          <cell r="W209">
            <v>7</v>
          </cell>
          <cell r="X209" t="str">
            <v>ｱﾌﾘｶ</v>
          </cell>
          <cell r="Y209" t="str">
            <v>ｱﾌﾘｶ</v>
          </cell>
          <cell r="Z209" t="str">
            <v>一般</v>
          </cell>
          <cell r="AA209" t="str">
            <v>中近東/ｱﾌﾘｶ</v>
          </cell>
        </row>
        <row r="210">
          <cell r="L210">
            <v>559</v>
          </cell>
          <cell r="M210" t="str">
            <v>ERITREA</v>
          </cell>
          <cell r="N210">
            <v>700</v>
          </cell>
          <cell r="O210" t="str">
            <v>AFRICA</v>
          </cell>
          <cell r="P210">
            <v>700</v>
          </cell>
          <cell r="Q210" t="str">
            <v>AFRICA</v>
          </cell>
          <cell r="R210" t="str">
            <v>●</v>
          </cell>
          <cell r="S210">
            <v>700</v>
          </cell>
          <cell r="T210" t="str">
            <v>AFRICA</v>
          </cell>
          <cell r="U210" t="str">
            <v>一般海外</v>
          </cell>
          <cell r="V210" t="str">
            <v>ｱﾌﾘｶ</v>
          </cell>
          <cell r="W210">
            <v>7</v>
          </cell>
          <cell r="X210" t="str">
            <v>ｱﾌﾘｶ</v>
          </cell>
          <cell r="Y210" t="str">
            <v>ｱﾌﾘｶ</v>
          </cell>
          <cell r="Z210" t="str">
            <v>一般</v>
          </cell>
          <cell r="AA210" t="str">
            <v>中近東/ｱﾌﾘｶ</v>
          </cell>
        </row>
        <row r="211">
          <cell r="L211">
            <v>590</v>
          </cell>
          <cell r="M211" t="str">
            <v>(AFRICA)</v>
          </cell>
          <cell r="N211">
            <v>700</v>
          </cell>
          <cell r="O211" t="str">
            <v>AFRICA</v>
          </cell>
          <cell r="P211">
            <v>700</v>
          </cell>
          <cell r="Q211" t="str">
            <v>AFRICA</v>
          </cell>
          <cell r="R211" t="str">
            <v>●</v>
          </cell>
          <cell r="S211">
            <v>700</v>
          </cell>
          <cell r="T211" t="str">
            <v>AFRICA</v>
          </cell>
          <cell r="U211" t="str">
            <v>一般海外</v>
          </cell>
          <cell r="V211" t="str">
            <v>ｱﾌﾘｶ</v>
          </cell>
          <cell r="W211">
            <v>7</v>
          </cell>
          <cell r="X211" t="str">
            <v>ｱﾌﾘｶ</v>
          </cell>
          <cell r="Y211" t="str">
            <v>ｱﾌﾘｶ</v>
          </cell>
          <cell r="Z211" t="str">
            <v>一般</v>
          </cell>
          <cell r="AA211" t="str">
            <v>中近東/ｱﾌﾘｶ</v>
          </cell>
        </row>
        <row r="212">
          <cell r="L212">
            <v>606</v>
          </cell>
          <cell r="M212" t="str">
            <v>New Zealand</v>
          </cell>
          <cell r="N212">
            <v>800</v>
          </cell>
          <cell r="O212" t="str">
            <v>OCEANA</v>
          </cell>
          <cell r="P212">
            <v>606</v>
          </cell>
          <cell r="Q212" t="str">
            <v>New Zealand</v>
          </cell>
          <cell r="R212" t="str">
            <v>◎</v>
          </cell>
          <cell r="S212">
            <v>606</v>
          </cell>
          <cell r="T212" t="str">
            <v>New Zealand</v>
          </cell>
          <cell r="U212" t="str">
            <v>一般海外</v>
          </cell>
          <cell r="V212" t="str">
            <v>ｵｾｱﾆｱ</v>
          </cell>
          <cell r="W212">
            <v>8</v>
          </cell>
          <cell r="X212" t="str">
            <v>ｵｾｱﾆｱ</v>
          </cell>
          <cell r="Y212" t="str">
            <v>ｵｾｱﾆｱ</v>
          </cell>
          <cell r="Z212" t="str">
            <v>一般</v>
          </cell>
          <cell r="AA212" t="str">
            <v>ｵｾｱﾆｱ</v>
          </cell>
        </row>
        <row r="213">
          <cell r="L213">
            <v>800</v>
          </cell>
          <cell r="M213" t="str">
            <v>OCEANA</v>
          </cell>
          <cell r="N213">
            <v>800</v>
          </cell>
          <cell r="O213" t="str">
            <v>OCEANA</v>
          </cell>
          <cell r="P213">
            <v>800</v>
          </cell>
          <cell r="Q213" t="str">
            <v>OCEANA</v>
          </cell>
          <cell r="R213" t="str">
            <v>●</v>
          </cell>
          <cell r="S213">
            <v>800</v>
          </cell>
          <cell r="T213" t="str">
            <v>OCEANA</v>
          </cell>
          <cell r="U213" t="str">
            <v>一般海外</v>
          </cell>
          <cell r="V213" t="str">
            <v>ｵｾｱﾆｱ</v>
          </cell>
          <cell r="W213">
            <v>8</v>
          </cell>
          <cell r="X213" t="str">
            <v>ｵｾｱﾆｱ</v>
          </cell>
          <cell r="Y213" t="str">
            <v>ｵｾｱﾆｱ</v>
          </cell>
          <cell r="Z213" t="str">
            <v>一般</v>
          </cell>
          <cell r="AA213" t="str">
            <v>ｵｾｱﾆｱ</v>
          </cell>
        </row>
        <row r="214">
          <cell r="L214">
            <v>612</v>
          </cell>
          <cell r="M214" t="str">
            <v>Fiji</v>
          </cell>
          <cell r="N214">
            <v>800</v>
          </cell>
          <cell r="O214" t="str">
            <v>OCEANA</v>
          </cell>
          <cell r="P214">
            <v>800</v>
          </cell>
          <cell r="Q214" t="str">
            <v>OCEANA</v>
          </cell>
          <cell r="R214" t="str">
            <v>●</v>
          </cell>
          <cell r="S214">
            <v>800</v>
          </cell>
          <cell r="T214" t="str">
            <v>OCEANA</v>
          </cell>
          <cell r="U214" t="str">
            <v>一般海外</v>
          </cell>
          <cell r="V214" t="str">
            <v>ｵｾｱﾆｱ</v>
          </cell>
          <cell r="W214">
            <v>8</v>
          </cell>
          <cell r="X214" t="str">
            <v>ｵｾｱﾆｱ</v>
          </cell>
          <cell r="Y214" t="str">
            <v>ｵｾｱﾆｱ</v>
          </cell>
          <cell r="Z214" t="str">
            <v>一般</v>
          </cell>
          <cell r="AA214" t="str">
            <v>ｵｾｱﾆｱ</v>
          </cell>
        </row>
        <row r="215">
          <cell r="L215">
            <v>602</v>
          </cell>
          <cell r="M215" t="str">
            <v>PAP NGN</v>
          </cell>
          <cell r="N215">
            <v>800</v>
          </cell>
          <cell r="O215" t="str">
            <v>OCEANA</v>
          </cell>
          <cell r="P215">
            <v>800</v>
          </cell>
          <cell r="Q215" t="str">
            <v>OCEANA</v>
          </cell>
          <cell r="R215" t="str">
            <v>●</v>
          </cell>
          <cell r="S215">
            <v>800</v>
          </cell>
          <cell r="T215" t="str">
            <v>OCEANA</v>
          </cell>
          <cell r="U215" t="str">
            <v>一般海外</v>
          </cell>
          <cell r="V215" t="str">
            <v>ｵｾｱﾆｱ</v>
          </cell>
          <cell r="W215">
            <v>8</v>
          </cell>
          <cell r="X215" t="str">
            <v>ｵｾｱﾆｱ</v>
          </cell>
          <cell r="Y215" t="str">
            <v>ｵｾｱﾆｱ</v>
          </cell>
          <cell r="Z215" t="str">
            <v>一般</v>
          </cell>
          <cell r="AA215" t="str">
            <v>ｵｾｱﾆｱ</v>
          </cell>
        </row>
        <row r="216">
          <cell r="L216">
            <v>607</v>
          </cell>
          <cell r="M216" t="str">
            <v>COOK I</v>
          </cell>
          <cell r="N216">
            <v>800</v>
          </cell>
          <cell r="O216" t="str">
            <v>OCEANA</v>
          </cell>
          <cell r="P216">
            <v>800</v>
          </cell>
          <cell r="Q216" t="str">
            <v>OCEANA</v>
          </cell>
          <cell r="R216" t="str">
            <v>●</v>
          </cell>
          <cell r="S216">
            <v>800</v>
          </cell>
          <cell r="T216" t="str">
            <v>OCEANA</v>
          </cell>
          <cell r="U216" t="str">
            <v>一般海外</v>
          </cell>
          <cell r="V216" t="str">
            <v>ｵｾｱﾆｱ</v>
          </cell>
          <cell r="W216">
            <v>8</v>
          </cell>
          <cell r="X216" t="str">
            <v>ｵｾｱﾆｱ</v>
          </cell>
          <cell r="Y216" t="str">
            <v>ｵｾｱﾆｱ</v>
          </cell>
          <cell r="Z216" t="str">
            <v>一般</v>
          </cell>
          <cell r="AA216" t="str">
            <v>ｵｾｱﾆｱ</v>
          </cell>
        </row>
        <row r="217">
          <cell r="L217">
            <v>609</v>
          </cell>
          <cell r="M217" t="str">
            <v>OTH NEZ</v>
          </cell>
          <cell r="N217">
            <v>800</v>
          </cell>
          <cell r="O217" t="str">
            <v>OCEANA</v>
          </cell>
          <cell r="P217">
            <v>800</v>
          </cell>
          <cell r="Q217" t="str">
            <v>OCEANA</v>
          </cell>
          <cell r="R217" t="str">
            <v>●</v>
          </cell>
          <cell r="S217">
            <v>800</v>
          </cell>
          <cell r="T217" t="str">
            <v>OCEANA</v>
          </cell>
          <cell r="U217" t="str">
            <v>一般海外</v>
          </cell>
          <cell r="V217" t="str">
            <v>ｵｾｱﾆｱ</v>
          </cell>
          <cell r="W217">
            <v>8</v>
          </cell>
          <cell r="X217" t="str">
            <v>ｵｾｱﾆｱ</v>
          </cell>
          <cell r="Y217" t="str">
            <v>ｵｾｱﾆｱ</v>
          </cell>
          <cell r="Z217" t="str">
            <v>一般</v>
          </cell>
          <cell r="AA217" t="str">
            <v>ｵｾｱﾆｱ</v>
          </cell>
        </row>
        <row r="218">
          <cell r="L218">
            <v>610</v>
          </cell>
          <cell r="M218" t="str">
            <v>W SAMOA</v>
          </cell>
          <cell r="N218">
            <v>800</v>
          </cell>
          <cell r="O218" t="str">
            <v>OCEANA</v>
          </cell>
          <cell r="P218">
            <v>800</v>
          </cell>
          <cell r="Q218" t="str">
            <v>OCEANA</v>
          </cell>
          <cell r="R218" t="str">
            <v>●</v>
          </cell>
          <cell r="S218">
            <v>800</v>
          </cell>
          <cell r="T218" t="str">
            <v>OCEANA</v>
          </cell>
          <cell r="U218" t="str">
            <v>一般海外</v>
          </cell>
          <cell r="V218" t="str">
            <v>ｵｾｱﾆｱ</v>
          </cell>
          <cell r="W218">
            <v>8</v>
          </cell>
          <cell r="X218" t="str">
            <v>ｵｾｱﾆｱ</v>
          </cell>
          <cell r="Y218" t="str">
            <v>ｵｾｱﾆｱ</v>
          </cell>
          <cell r="Z218" t="str">
            <v>一般</v>
          </cell>
          <cell r="AA218" t="str">
            <v>ｵｾｱﾆｱ</v>
          </cell>
        </row>
        <row r="219">
          <cell r="L219">
            <v>611</v>
          </cell>
          <cell r="M219" t="str">
            <v>VANUATS</v>
          </cell>
          <cell r="N219">
            <v>800</v>
          </cell>
          <cell r="O219" t="str">
            <v>OCEANA</v>
          </cell>
          <cell r="P219">
            <v>800</v>
          </cell>
          <cell r="Q219" t="str">
            <v>OCEANA</v>
          </cell>
          <cell r="R219" t="str">
            <v>●</v>
          </cell>
          <cell r="S219">
            <v>800</v>
          </cell>
          <cell r="T219" t="str">
            <v>OCEANA</v>
          </cell>
          <cell r="U219" t="str">
            <v>一般海外</v>
          </cell>
          <cell r="V219" t="str">
            <v>ｵｾｱﾆｱ</v>
          </cell>
          <cell r="W219">
            <v>8</v>
          </cell>
          <cell r="X219" t="str">
            <v>ｵｾｱﾆｱ</v>
          </cell>
          <cell r="Y219" t="str">
            <v>ｵｾｱﾆｱ</v>
          </cell>
          <cell r="Z219" t="str">
            <v>一般</v>
          </cell>
          <cell r="AA219" t="str">
            <v>ｵｾｱﾆｱ</v>
          </cell>
        </row>
        <row r="220">
          <cell r="L220">
            <v>613</v>
          </cell>
          <cell r="M220" t="str">
            <v>SOLOMON</v>
          </cell>
          <cell r="N220">
            <v>800</v>
          </cell>
          <cell r="O220" t="str">
            <v>OCEANA</v>
          </cell>
          <cell r="P220">
            <v>800</v>
          </cell>
          <cell r="Q220" t="str">
            <v>OCEANA</v>
          </cell>
          <cell r="R220" t="str">
            <v>●</v>
          </cell>
          <cell r="S220">
            <v>800</v>
          </cell>
          <cell r="T220" t="str">
            <v>OCEANA</v>
          </cell>
          <cell r="U220" t="str">
            <v>一般海外</v>
          </cell>
          <cell r="V220" t="str">
            <v>ｵｾｱﾆｱ</v>
          </cell>
          <cell r="W220">
            <v>8</v>
          </cell>
          <cell r="X220" t="str">
            <v>ｵｾｱﾆｱ</v>
          </cell>
          <cell r="Y220" t="str">
            <v>ｵｾｱﾆｱ</v>
          </cell>
          <cell r="Z220" t="str">
            <v>一般</v>
          </cell>
          <cell r="AA220" t="str">
            <v>ｵｾｱﾆｱ</v>
          </cell>
        </row>
        <row r="221">
          <cell r="L221">
            <v>614</v>
          </cell>
          <cell r="M221" t="str">
            <v>TONGA</v>
          </cell>
          <cell r="N221">
            <v>800</v>
          </cell>
          <cell r="O221" t="str">
            <v>OCEANA</v>
          </cell>
          <cell r="P221">
            <v>800</v>
          </cell>
          <cell r="Q221" t="str">
            <v>OCEANA</v>
          </cell>
          <cell r="R221" t="str">
            <v>●</v>
          </cell>
          <cell r="S221">
            <v>800</v>
          </cell>
          <cell r="T221" t="str">
            <v>OCEANA</v>
          </cell>
          <cell r="U221" t="str">
            <v>一般海外</v>
          </cell>
          <cell r="V221" t="str">
            <v>ｵｾｱﾆｱ</v>
          </cell>
          <cell r="W221">
            <v>8</v>
          </cell>
          <cell r="X221" t="str">
            <v>ｵｾｱﾆｱ</v>
          </cell>
          <cell r="Y221" t="str">
            <v>ｵｾｱﾆｱ</v>
          </cell>
          <cell r="Z221" t="str">
            <v>一般</v>
          </cell>
          <cell r="AA221" t="str">
            <v>ｵｾｱﾆｱ</v>
          </cell>
        </row>
        <row r="222">
          <cell r="L222">
            <v>615</v>
          </cell>
          <cell r="M222" t="str">
            <v>KIRIBATI</v>
          </cell>
          <cell r="N222">
            <v>800</v>
          </cell>
          <cell r="O222" t="str">
            <v>OCEANA</v>
          </cell>
          <cell r="P222">
            <v>800</v>
          </cell>
          <cell r="Q222" t="str">
            <v>OCEANA</v>
          </cell>
          <cell r="R222" t="str">
            <v>●</v>
          </cell>
          <cell r="S222">
            <v>800</v>
          </cell>
          <cell r="T222" t="str">
            <v>OCEANA</v>
          </cell>
          <cell r="U222" t="str">
            <v>一般海外</v>
          </cell>
          <cell r="V222" t="str">
            <v>ｵｾｱﾆｱ</v>
          </cell>
          <cell r="W222">
            <v>8</v>
          </cell>
          <cell r="X222" t="str">
            <v>ｵｾｱﾆｱ</v>
          </cell>
          <cell r="Y222" t="str">
            <v>ｵｾｱﾆｱ</v>
          </cell>
          <cell r="Z222" t="str">
            <v>一般</v>
          </cell>
          <cell r="AA222" t="str">
            <v>ｵｾｱﾆｱ</v>
          </cell>
        </row>
        <row r="223">
          <cell r="L223">
            <v>617</v>
          </cell>
          <cell r="M223" t="str">
            <v>R NAURU</v>
          </cell>
          <cell r="N223">
            <v>800</v>
          </cell>
          <cell r="O223" t="str">
            <v>OCEANA</v>
          </cell>
          <cell r="P223">
            <v>800</v>
          </cell>
          <cell r="Q223" t="str">
            <v>OCEANA</v>
          </cell>
          <cell r="R223" t="str">
            <v>●</v>
          </cell>
          <cell r="S223">
            <v>800</v>
          </cell>
          <cell r="T223" t="str">
            <v>OCEANA</v>
          </cell>
          <cell r="U223" t="str">
            <v>一般海外</v>
          </cell>
          <cell r="V223" t="str">
            <v>ｵｾｱﾆｱ</v>
          </cell>
          <cell r="W223">
            <v>8</v>
          </cell>
          <cell r="X223" t="str">
            <v>ｵｾｱﾆｱ</v>
          </cell>
          <cell r="Y223" t="str">
            <v>ｵｾｱﾆｱ</v>
          </cell>
          <cell r="Z223" t="str">
            <v>一般</v>
          </cell>
          <cell r="AA223" t="str">
            <v>ｵｾｱﾆｱ</v>
          </cell>
        </row>
        <row r="224">
          <cell r="L224">
            <v>618</v>
          </cell>
          <cell r="M224" t="str">
            <v>NEWCALD</v>
          </cell>
          <cell r="N224">
            <v>800</v>
          </cell>
          <cell r="O224" t="str">
            <v>OCEANA</v>
          </cell>
          <cell r="P224">
            <v>800</v>
          </cell>
          <cell r="Q224" t="str">
            <v>OCEANA</v>
          </cell>
          <cell r="R224" t="str">
            <v>●</v>
          </cell>
          <cell r="S224">
            <v>800</v>
          </cell>
          <cell r="T224" t="str">
            <v>OCEANA</v>
          </cell>
          <cell r="U224" t="str">
            <v>一般海外</v>
          </cell>
          <cell r="V224" t="str">
            <v>ｵｾｱﾆｱ</v>
          </cell>
          <cell r="W224">
            <v>8</v>
          </cell>
          <cell r="X224" t="str">
            <v>ｵｾｱﾆｱ</v>
          </cell>
          <cell r="Y224" t="str">
            <v>ｵｾｱﾆｱ</v>
          </cell>
          <cell r="Z224" t="str">
            <v>一般</v>
          </cell>
          <cell r="AA224" t="str">
            <v>ｵｾｱﾆｱ</v>
          </cell>
        </row>
        <row r="225">
          <cell r="L225">
            <v>619</v>
          </cell>
          <cell r="M225" t="str">
            <v>WALLIS F</v>
          </cell>
          <cell r="N225">
            <v>800</v>
          </cell>
          <cell r="O225" t="str">
            <v>OCEANA</v>
          </cell>
          <cell r="P225">
            <v>800</v>
          </cell>
          <cell r="Q225" t="str">
            <v>OCEANA</v>
          </cell>
          <cell r="R225" t="str">
            <v>●</v>
          </cell>
          <cell r="S225">
            <v>800</v>
          </cell>
          <cell r="T225" t="str">
            <v>OCEANA</v>
          </cell>
          <cell r="U225" t="str">
            <v>一般海外</v>
          </cell>
          <cell r="V225" t="str">
            <v>ｵｾｱﾆｱ</v>
          </cell>
          <cell r="W225">
            <v>8</v>
          </cell>
          <cell r="X225" t="str">
            <v>ｵｾｱﾆｱ</v>
          </cell>
          <cell r="Y225" t="str">
            <v>ｵｾｱﾆｱ</v>
          </cell>
          <cell r="Z225" t="str">
            <v>一般</v>
          </cell>
          <cell r="AA225" t="str">
            <v>ｵｾｱﾆｱ</v>
          </cell>
        </row>
        <row r="226">
          <cell r="L226">
            <v>620</v>
          </cell>
          <cell r="M226" t="str">
            <v>GUAM</v>
          </cell>
          <cell r="N226">
            <v>800</v>
          </cell>
          <cell r="O226" t="str">
            <v>OCEANA</v>
          </cell>
          <cell r="P226">
            <v>800</v>
          </cell>
          <cell r="Q226" t="str">
            <v>OCEANA</v>
          </cell>
          <cell r="R226" t="str">
            <v>●</v>
          </cell>
          <cell r="S226">
            <v>800</v>
          </cell>
          <cell r="T226" t="str">
            <v>OCEANA</v>
          </cell>
          <cell r="U226" t="str">
            <v>一般海外</v>
          </cell>
          <cell r="V226" t="str">
            <v>ｵｾｱﾆｱ</v>
          </cell>
          <cell r="W226">
            <v>8</v>
          </cell>
          <cell r="X226" t="str">
            <v>ｵｾｱﾆｱ</v>
          </cell>
          <cell r="Y226" t="str">
            <v>ｵｾｱﾆｱ</v>
          </cell>
          <cell r="Z226" t="str">
            <v>一般</v>
          </cell>
          <cell r="AA226" t="str">
            <v>ｵｾｱﾆｱ</v>
          </cell>
        </row>
        <row r="227">
          <cell r="L227">
            <v>621</v>
          </cell>
          <cell r="M227" t="str">
            <v>A SAMOA</v>
          </cell>
          <cell r="N227">
            <v>800</v>
          </cell>
          <cell r="O227" t="str">
            <v>OCEANA</v>
          </cell>
          <cell r="P227">
            <v>800</v>
          </cell>
          <cell r="Q227" t="str">
            <v>OCEANA</v>
          </cell>
          <cell r="R227" t="str">
            <v>●</v>
          </cell>
          <cell r="S227">
            <v>800</v>
          </cell>
          <cell r="T227" t="str">
            <v>OCEANA</v>
          </cell>
          <cell r="U227" t="str">
            <v>一般海外</v>
          </cell>
          <cell r="V227" t="str">
            <v>ｵｾｱﾆｱ</v>
          </cell>
          <cell r="W227">
            <v>8</v>
          </cell>
          <cell r="X227" t="str">
            <v>ｵｾｱﾆｱ</v>
          </cell>
          <cell r="Y227" t="str">
            <v>ｵｾｱﾆｱ</v>
          </cell>
          <cell r="Z227" t="str">
            <v>一般</v>
          </cell>
          <cell r="AA227" t="str">
            <v>ｵｾｱﾆｱ</v>
          </cell>
        </row>
        <row r="228">
          <cell r="L228">
            <v>622</v>
          </cell>
          <cell r="M228" t="str">
            <v>A OCEANI</v>
          </cell>
          <cell r="N228">
            <v>800</v>
          </cell>
          <cell r="O228" t="str">
            <v>OCEANA</v>
          </cell>
          <cell r="P228">
            <v>800</v>
          </cell>
          <cell r="Q228" t="str">
            <v>OCEANA</v>
          </cell>
          <cell r="R228" t="str">
            <v>●</v>
          </cell>
          <cell r="S228">
            <v>800</v>
          </cell>
          <cell r="T228" t="str">
            <v>OCEANA</v>
          </cell>
          <cell r="U228" t="str">
            <v>一般海外</v>
          </cell>
          <cell r="V228" t="str">
            <v>ｵｾｱﾆｱ</v>
          </cell>
          <cell r="W228">
            <v>8</v>
          </cell>
          <cell r="X228" t="str">
            <v>ｵｾｱﾆｱ</v>
          </cell>
          <cell r="Y228" t="str">
            <v>ｵｾｱﾆｱ</v>
          </cell>
          <cell r="Z228" t="str">
            <v>一般</v>
          </cell>
          <cell r="AA228" t="str">
            <v>ｵｾｱﾆｱ</v>
          </cell>
        </row>
        <row r="229">
          <cell r="L229">
            <v>624</v>
          </cell>
          <cell r="M229" t="str">
            <v>NORFOLK</v>
          </cell>
          <cell r="N229">
            <v>800</v>
          </cell>
          <cell r="O229" t="str">
            <v>OCEANA</v>
          </cell>
          <cell r="P229">
            <v>800</v>
          </cell>
          <cell r="Q229" t="str">
            <v>OCEANA</v>
          </cell>
          <cell r="R229" t="str">
            <v>●</v>
          </cell>
          <cell r="S229">
            <v>800</v>
          </cell>
          <cell r="T229" t="str">
            <v>OCEANA</v>
          </cell>
          <cell r="U229" t="str">
            <v>一般海外</v>
          </cell>
          <cell r="V229" t="str">
            <v>ｵｾｱﾆｱ</v>
          </cell>
          <cell r="W229">
            <v>8</v>
          </cell>
          <cell r="X229" t="str">
            <v>ｵｾｱﾆｱ</v>
          </cell>
          <cell r="Y229" t="str">
            <v>ｵｾｱﾆｱ</v>
          </cell>
          <cell r="Z229" t="str">
            <v>一般</v>
          </cell>
          <cell r="AA229" t="str">
            <v>ｵｾｱﾆｱ</v>
          </cell>
        </row>
        <row r="230">
          <cell r="L230">
            <v>630</v>
          </cell>
          <cell r="M230" t="str">
            <v>TAHITI</v>
          </cell>
          <cell r="N230">
            <v>800</v>
          </cell>
          <cell r="O230" t="str">
            <v>OCEANA</v>
          </cell>
          <cell r="P230">
            <v>800</v>
          </cell>
          <cell r="Q230" t="str">
            <v>OCEANA</v>
          </cell>
          <cell r="R230" t="str">
            <v>●</v>
          </cell>
          <cell r="S230">
            <v>800</v>
          </cell>
          <cell r="T230" t="str">
            <v>OCEANA</v>
          </cell>
          <cell r="U230" t="str">
            <v>一般海外</v>
          </cell>
          <cell r="V230" t="str">
            <v>ｵｾｱﾆｱ</v>
          </cell>
          <cell r="W230">
            <v>8</v>
          </cell>
          <cell r="X230" t="str">
            <v>ｵｾｱﾆｱ</v>
          </cell>
          <cell r="Y230" t="str">
            <v>ｵｾｱﾆｱ</v>
          </cell>
          <cell r="Z230" t="str">
            <v>一般</v>
          </cell>
          <cell r="AA230" t="str">
            <v>ｵｾｱﾆｱ</v>
          </cell>
        </row>
        <row r="231">
          <cell r="L231">
            <v>635</v>
          </cell>
          <cell r="M231" t="str">
            <v>F OCEANI</v>
          </cell>
          <cell r="N231">
            <v>800</v>
          </cell>
          <cell r="O231" t="str">
            <v>OCEANA</v>
          </cell>
          <cell r="P231">
            <v>800</v>
          </cell>
          <cell r="Q231" t="str">
            <v>OCEANA</v>
          </cell>
          <cell r="R231" t="str">
            <v>●</v>
          </cell>
          <cell r="S231">
            <v>800</v>
          </cell>
          <cell r="T231" t="str">
            <v>OCEANA</v>
          </cell>
          <cell r="U231" t="str">
            <v>一般海外</v>
          </cell>
          <cell r="V231" t="str">
            <v>ｵｾｱﾆｱ</v>
          </cell>
          <cell r="W231">
            <v>8</v>
          </cell>
          <cell r="X231" t="str">
            <v>ｵｾｱﾆｱ</v>
          </cell>
          <cell r="Y231" t="str">
            <v>ｵｾｱﾆｱ</v>
          </cell>
          <cell r="Z231" t="str">
            <v>一般</v>
          </cell>
          <cell r="AA231" t="str">
            <v>ｵｾｱﾆｱ</v>
          </cell>
        </row>
        <row r="232">
          <cell r="L232">
            <v>640</v>
          </cell>
          <cell r="M232" t="str">
            <v>SAIPAN</v>
          </cell>
          <cell r="N232">
            <v>800</v>
          </cell>
          <cell r="O232" t="str">
            <v>OCEANA</v>
          </cell>
          <cell r="P232">
            <v>800</v>
          </cell>
          <cell r="Q232" t="str">
            <v>OCEANA</v>
          </cell>
          <cell r="R232" t="str">
            <v>●</v>
          </cell>
          <cell r="S232">
            <v>800</v>
          </cell>
          <cell r="T232" t="str">
            <v>OCEANA</v>
          </cell>
          <cell r="U232" t="str">
            <v>一般海外</v>
          </cell>
          <cell r="V232" t="str">
            <v>ｵｾｱﾆｱ</v>
          </cell>
          <cell r="W232">
            <v>8</v>
          </cell>
          <cell r="X232" t="str">
            <v>ｵｾｱﾆｱ</v>
          </cell>
          <cell r="Y232" t="str">
            <v>ｵｾｱﾆｱ</v>
          </cell>
          <cell r="Z232" t="str">
            <v>一般</v>
          </cell>
          <cell r="AA232" t="str">
            <v>ｵｾｱﾆｱ</v>
          </cell>
        </row>
        <row r="233">
          <cell r="L233">
            <v>645</v>
          </cell>
          <cell r="M233" t="str">
            <v>M M CAR</v>
          </cell>
          <cell r="N233">
            <v>800</v>
          </cell>
          <cell r="O233" t="str">
            <v>OCEANA</v>
          </cell>
          <cell r="P233">
            <v>800</v>
          </cell>
          <cell r="Q233" t="str">
            <v>OCEANA</v>
          </cell>
          <cell r="R233" t="str">
            <v>●</v>
          </cell>
          <cell r="S233">
            <v>800</v>
          </cell>
          <cell r="T233" t="str">
            <v>OCEANA</v>
          </cell>
          <cell r="U233" t="str">
            <v>一般海外</v>
          </cell>
          <cell r="V233" t="str">
            <v>ｵｾｱﾆｱ</v>
          </cell>
          <cell r="W233">
            <v>8</v>
          </cell>
          <cell r="X233" t="str">
            <v>ｵｾｱﾆｱ</v>
          </cell>
          <cell r="Y233" t="str">
            <v>ｵｾｱﾆｱ</v>
          </cell>
          <cell r="Z233" t="str">
            <v>一般</v>
          </cell>
          <cell r="AA233" t="str">
            <v>ｵｾｱﾆｱ</v>
          </cell>
        </row>
        <row r="234">
          <cell r="L234">
            <v>900</v>
          </cell>
          <cell r="M234" t="str">
            <v>Other</v>
          </cell>
          <cell r="N234">
            <v>900</v>
          </cell>
          <cell r="O234" t="str">
            <v>Other</v>
          </cell>
          <cell r="P234">
            <v>900</v>
          </cell>
          <cell r="Q234" t="str">
            <v>Other</v>
          </cell>
          <cell r="R234" t="str">
            <v>●</v>
          </cell>
          <cell r="S234">
            <v>900</v>
          </cell>
          <cell r="T234" t="str">
            <v>Other</v>
          </cell>
          <cell r="U234" t="str">
            <v>一般海外</v>
          </cell>
          <cell r="V234" t="str">
            <v>一般</v>
          </cell>
          <cell r="W234">
            <v>9</v>
          </cell>
          <cell r="X234" t="str">
            <v>一般</v>
          </cell>
          <cell r="Y234" t="str">
            <v>一般</v>
          </cell>
          <cell r="Z234" t="str">
            <v>一般</v>
          </cell>
          <cell r="AA234" t="str">
            <v>ｵｾｱﾆｱ</v>
          </cell>
        </row>
        <row r="235">
          <cell r="L235">
            <v>701</v>
          </cell>
          <cell r="M235" t="str">
            <v>U.N</v>
          </cell>
          <cell r="N235">
            <v>900</v>
          </cell>
          <cell r="O235" t="str">
            <v>Other</v>
          </cell>
          <cell r="P235">
            <v>900</v>
          </cell>
          <cell r="Q235" t="str">
            <v>Other</v>
          </cell>
          <cell r="R235" t="str">
            <v>●</v>
          </cell>
          <cell r="S235">
            <v>900</v>
          </cell>
          <cell r="T235" t="str">
            <v>Other</v>
          </cell>
          <cell r="U235" t="str">
            <v>一般海外</v>
          </cell>
          <cell r="V235" t="str">
            <v>一般</v>
          </cell>
          <cell r="W235">
            <v>9</v>
          </cell>
          <cell r="X235" t="str">
            <v>一般</v>
          </cell>
          <cell r="Y235" t="str">
            <v>一般</v>
          </cell>
          <cell r="Z235" t="str">
            <v>一般</v>
          </cell>
          <cell r="AA235" t="str">
            <v>ｵｾｱﾆｱ</v>
          </cell>
        </row>
        <row r="236">
          <cell r="L236">
            <v>0</v>
          </cell>
          <cell r="O236">
            <v>0</v>
          </cell>
          <cell r="P236">
            <v>900</v>
          </cell>
          <cell r="Q236" t="str">
            <v>Other</v>
          </cell>
          <cell r="R236" t="str">
            <v>●</v>
          </cell>
          <cell r="T236">
            <v>0</v>
          </cell>
          <cell r="U236" t="str">
            <v>一般海外</v>
          </cell>
          <cell r="V236" t="str">
            <v>一般</v>
          </cell>
          <cell r="W236">
            <v>9</v>
          </cell>
          <cell r="X236" t="str">
            <v>一般</v>
          </cell>
          <cell r="Y236" t="str">
            <v>一般</v>
          </cell>
          <cell r="Z236" t="str">
            <v>一般</v>
          </cell>
          <cell r="AA236" t="str">
            <v>ｵｾｱﾆｱ</v>
          </cell>
        </row>
        <row r="237">
          <cell r="T237">
            <v>0</v>
          </cell>
        </row>
        <row r="238">
          <cell r="T238">
            <v>0</v>
          </cell>
        </row>
        <row r="239">
          <cell r="T239">
            <v>0</v>
          </cell>
        </row>
        <row r="240">
          <cell r="T240">
            <v>0</v>
          </cell>
        </row>
        <row r="241">
          <cell r="T24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03 Y"/>
      <sheetName val="MY04Z B"/>
      <sheetName val="MY04Z D"/>
      <sheetName val="MY03Z"/>
      <sheetName val="選酋表"/>
      <sheetName val="MY03_Y"/>
      <sheetName val="MY04Z_B"/>
      <sheetName val="MY04Z_D"/>
      <sheetName val="NCAB"/>
      <sheetName val="Table Master"/>
      <sheetName val="ISO_250"/>
      <sheetName val="ﾕｰｻﾞｰ設定"/>
      <sheetName val="ﾏﾙC改造投資詳細"/>
      <sheetName val="Annual Production"/>
      <sheetName val="Euro4 部品管理表"/>
      <sheetName val="COST"/>
      <sheetName val="A010"/>
      <sheetName val="結果"/>
      <sheetName val="MY03_Y1"/>
      <sheetName val="MY04Z_B1"/>
      <sheetName val="MY04Z_D1"/>
      <sheetName val="Table_Master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C3_N DC改造投資"/>
      <sheetName val="_B007"/>
      <sheetName val="Km"/>
      <sheetName val="ポンプ作動耐久回数検討"/>
      <sheetName val="Report for CCD-Dec.05"/>
      <sheetName val="REVENUE"/>
      <sheetName val=" IB-PL-YTD"/>
      <sheetName val="計算結果"/>
      <sheetName val="liste"/>
      <sheetName val="list"/>
      <sheetName val="県別ﾏﾙﾁ"/>
      <sheetName val="Invoice"/>
      <sheetName val="Delivery Schedule"/>
      <sheetName val="Received"/>
      <sheetName val="NEW003"/>
      <sheetName val="名簿データ"/>
      <sheetName val="00年9月"/>
      <sheetName val="DATA"/>
      <sheetName val="総合B"/>
      <sheetName val="ﾌﾟﾛﾄ_P772分解5号機"/>
      <sheetName val="A"/>
      <sheetName val="COST O.K."/>
      <sheetName val="COST_O_K_"/>
      <sheetName val="FC"/>
      <sheetName val="ENG油洩れ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MOTO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Sheet1"/>
      <sheetName val="1-C,D"/>
      <sheetName val="Honda trading"/>
      <sheetName val="ＴＦ関連Ｐｒｊ日程表"/>
      <sheetName val="COVER"/>
      <sheetName val="NK仕様21"/>
      <sheetName val="Submission Address"/>
      <sheetName val="DatadiskEE0304FULLDATAVERSION"/>
      <sheetName val="Customize Your Purchase Order"/>
      <sheetName val="16,7"/>
      <sheetName val="SMALL"/>
      <sheetName val="Sheet7 NEW"/>
      <sheetName val="Pro_type_Master"/>
      <sheetName val="疲労限B"/>
      <sheetName val="133NPR55 69 EC"/>
      <sheetName val="日程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___"/>
      <sheetName val="96期(川崎)"/>
      <sheetName val="#ofclose"/>
      <sheetName val="リース台帳"/>
      <sheetName val="QR20-1101"/>
      <sheetName val="Assumptions"/>
      <sheetName val="MY03_Y2"/>
      <sheetName val="MY04Z_B2"/>
      <sheetName val="MY04Z_D2"/>
      <sheetName val="Table_Master1"/>
      <sheetName val="Annual_Production1"/>
      <sheetName val="Euro4_部品管理表1"/>
      <sheetName val="Fiel_List"/>
      <sheetName val="New_DYNA"/>
      <sheetName val="C3_N_DC改造投資"/>
      <sheetName val="Report_for_CCD-Dec_05"/>
      <sheetName val="_IB-PL-YTD"/>
      <sheetName val="Customize_Your_Purchase_Order"/>
      <sheetName val="COST_O_K_1"/>
      <sheetName val="Unit_Price"/>
      <sheetName val="Delivery_Schedule"/>
      <sheetName val="Honda_trading"/>
      <sheetName val="Submission_Address"/>
      <sheetName val="Sheet7_NEW"/>
      <sheetName val="133NPR55_69_EC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サーバイメージ図"/>
      <sheetName val="A2 990"/>
      <sheetName val="Detail"/>
      <sheetName val="99年度営担別拡販 (3)"/>
      <sheetName val="平板Ｃ"/>
      <sheetName val="124NKR55(ISUZU)"/>
      <sheetName val="在庫表"/>
      <sheetName val="着座衝撃力(IN)"/>
      <sheetName val="DB"/>
      <sheetName val="s-code"/>
      <sheetName val="国ｺｰﾄﾞ"/>
      <sheetName val="分類"/>
      <sheetName val="金額"/>
      <sheetName val="Sheet2"/>
      <sheetName val="DATA01"/>
      <sheetName val=" CV ALL"/>
      <sheetName val="V6D"/>
      <sheetName val="181"/>
      <sheetName val="1_A_B"/>
      <sheetName val="??????"/>
      <sheetName val="2005"/>
      <sheetName val="96・(・・)"/>
      <sheetName val="346Proj日程991124"/>
      <sheetName val="SPEC LIST"/>
      <sheetName val="H””ärQ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A-K研車型"/>
      <sheetName val="190BODY EMATRIX"/>
      <sheetName val=" Sale Order -N"/>
      <sheetName val="Gross Prifit-N"/>
      <sheetName val="ST外率"/>
      <sheetName val="CFS3"/>
      <sheetName val="A2_990"/>
      <sheetName val="_Sale_Order_-N"/>
      <sheetName val="Gross_Prifit-N"/>
      <sheetName val="99年度営担別拡販_(3)"/>
      <sheetName val="_CV_ALL"/>
      <sheetName val="(原単位)"/>
      <sheetName val="OD"/>
      <sheetName val="P10"/>
      <sheetName val="P2"/>
      <sheetName val="P3"/>
      <sheetName val="P6"/>
      <sheetName val="P9"/>
      <sheetName val="GLOBAL SALES  MARCH 2002"/>
      <sheetName val="①Input一覧シート"/>
      <sheetName val="BS"/>
      <sheetName val="表紙"/>
      <sheetName val="6SWRF_W"/>
      <sheetName val="ACT Cashflow"/>
      <sheetName val="LVMAY"/>
      <sheetName val="DefectDetails"/>
      <sheetName val="HYO"/>
      <sheetName val="______"/>
      <sheetName val="G Van - Price Build up"/>
      <sheetName val="เงินกู้ธนชาติ"/>
      <sheetName val="เงินกู้ MGC"/>
      <sheetName val="DataIn"/>
      <sheetName val="MY03_Y3"/>
      <sheetName val="MY04Z_B3"/>
      <sheetName val="MY04Z_D3"/>
      <sheetName val="Table_Master2"/>
      <sheetName val="Annual_Production2"/>
      <sheetName val="Euro4_部品管理表2"/>
      <sheetName val="Fiel_List1"/>
      <sheetName val="New_DYNA1"/>
      <sheetName val="C3_N_DC改造投資1"/>
      <sheetName val="Report_for_CCD-Dec_051"/>
      <sheetName val="_IB-PL-YTD1"/>
      <sheetName val="COST_O_K_2"/>
      <sheetName val="Unit_Price1"/>
      <sheetName val="Delivery_Schedule1"/>
      <sheetName val="Honda_trading1"/>
      <sheetName val="Submission_Address1"/>
      <sheetName val="Customize_Your_Purchase_Order1"/>
      <sheetName val="Sheet7_NEW1"/>
      <sheetName val="133NPR55_69_EC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A2_9901"/>
      <sheetName val="99年度営担別拡販_(3)1"/>
      <sheetName val="_CV_ALL1"/>
      <sheetName val="SPEC_LIST"/>
      <sheetName val="GLOBAL_SALES__MARCH_2002"/>
      <sheetName val="190BODY_EMATRIX"/>
      <sheetName val="_Sale_Order_-N1"/>
      <sheetName val="Gross_Prifit-N1"/>
      <sheetName val="ACT_Cashflow"/>
      <sheetName val="MY03_Y4"/>
      <sheetName val="MY04Z_B4"/>
      <sheetName val="MY04Z_D4"/>
      <sheetName val="Table_Master3"/>
      <sheetName val="Annual_Production3"/>
      <sheetName val="Euro4_部品管理表3"/>
      <sheetName val="Fiel_List2"/>
      <sheetName val="New_DYNA2"/>
      <sheetName val="C3_N_DC改造投資2"/>
      <sheetName val="Report_for_CCD-Dec_052"/>
      <sheetName val="_IB-PL-YTD2"/>
      <sheetName val="Delivery_Schedule2"/>
      <sheetName val="COST_O_K_3"/>
      <sheetName val="Unit_Price2"/>
      <sheetName val="Honda_trading2"/>
      <sheetName val="Submission_Address2"/>
      <sheetName val="Customize_Your_Purchase_Order2"/>
      <sheetName val="Sheet7_NEW2"/>
      <sheetName val="133NPR55_69_EC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A2_9902"/>
      <sheetName val="99年度営担別拡販_(3)2"/>
      <sheetName val="_CV_ALL2"/>
      <sheetName val="SPEC_LIST1"/>
      <sheetName val="190BODY_EMATRIX1"/>
      <sheetName val="_Sale_Order_-N2"/>
      <sheetName val="Gross_Prifit-N2"/>
      <sheetName val="GLOBAL_SALES__MARCH_20021"/>
      <sheetName val="ACT_Cashflow1"/>
      <sheetName val="SHARP"/>
      <sheetName val="Eng-NonEng"/>
      <sheetName val="ValueList"/>
      <sheetName val="F混流"/>
      <sheetName val="DW9911301"/>
      <sheetName val="3-加"/>
      <sheetName val="8-加"/>
      <sheetName val="CRITERIA1"/>
      <sheetName val="Purchase Order"/>
      <sheetName val="ListDeatails"/>
      <sheetName val="DeliverySchedule"/>
      <sheetName val="CoilspringDetails"/>
      <sheetName val="LeafspringReceived"/>
      <sheetName val="Customize Your Invoice"/>
      <sheetName val="Format"/>
      <sheetName val="General"/>
      <sheetName val="MY03_Y5"/>
      <sheetName val="MY04Z_B5"/>
      <sheetName val="MY04Z_D5"/>
      <sheetName val="Table_Master4"/>
      <sheetName val="Annual_Production4"/>
      <sheetName val="Euro4_部品管理表4"/>
      <sheetName val="Fiel_List3"/>
      <sheetName val="New_DYNA3"/>
      <sheetName val="C3_N_DC改造投資3"/>
      <sheetName val="Report_for_CCD-Dec_053"/>
      <sheetName val="_IB-PL-YTD3"/>
      <sheetName val="COST_O_K_4"/>
      <sheetName val="Unit_Price3"/>
      <sheetName val="Delivery_Schedule3"/>
      <sheetName val="Honda_trading3"/>
      <sheetName val="Submission_Address3"/>
      <sheetName val="Customize_Your_Purchase_Order3"/>
      <sheetName val="Sheet7_NEW3"/>
      <sheetName val="133NPR55_69_EC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A2_9903"/>
      <sheetName val="99年度営担別拡販_(3)3"/>
      <sheetName val="_CV_ALL3"/>
      <sheetName val="SPEC_LIST2"/>
      <sheetName val="190BODY_EMATRIX2"/>
      <sheetName val="_Sale_Order_-N3"/>
      <sheetName val="Gross_Prifit-N3"/>
      <sheetName val="GLOBAL_SALES__MARCH_20022"/>
      <sheetName val="ACT_Cashflow2"/>
      <sheetName val="G_Van_-_Price_Build_up"/>
      <sheetName val="เงินกู้_MGC"/>
      <sheetName val="LeafspringDetails"/>
      <sheetName val="Time_Measurement"/>
      <sheetName val="Vehicle Number"/>
      <sheetName val="PROFILE"/>
      <sheetName val="ﾃﾞ-ﾀ"/>
      <sheetName val=""/>
      <sheetName val="C-MC"/>
      <sheetName val="DEC 98"/>
      <sheetName val="summary GL"/>
      <sheetName val="ออกรวม"/>
      <sheetName val="FMTH03 (3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O.K."/>
      <sheetName val="NCAB"/>
      <sheetName val="Table Master"/>
      <sheetName val="COST"/>
      <sheetName val="original2"/>
      <sheetName val="Monthly1"/>
      <sheetName val="Monthly2"/>
      <sheetName val="original1"/>
      <sheetName val="COST_O_K_"/>
      <sheetName val="Table_Master"/>
      <sheetName val="選酋表"/>
      <sheetName val="LSP09 Indv"/>
      <sheetName val="HYO"/>
      <sheetName val="MOTO"/>
      <sheetName val="SUM14ZC1"/>
      <sheetName val="2TAPRREV"/>
      <sheetName val="SHARP"/>
      <sheetName val="計算結果"/>
    </sheetNames>
    <sheetDataSet>
      <sheetData sheetId="0" refreshError="1">
        <row r="35">
          <cell r="B35">
            <v>147913.97607266344</v>
          </cell>
          <cell r="C35">
            <v>170016.06360560749</v>
          </cell>
          <cell r="D35">
            <v>245613.07134208293</v>
          </cell>
          <cell r="E35">
            <v>195552.46617184579</v>
          </cell>
          <cell r="F35">
            <v>219655.04110385524</v>
          </cell>
          <cell r="G35">
            <v>330751.86208028952</v>
          </cell>
          <cell r="H35">
            <v>50492.057104322477</v>
          </cell>
          <cell r="I35">
            <v>102776.45646887156</v>
          </cell>
          <cell r="J35">
            <v>29554.248945210245</v>
          </cell>
          <cell r="K35">
            <v>39039.50783971959</v>
          </cell>
          <cell r="L35">
            <v>48635.750564719609</v>
          </cell>
          <cell r="M35">
            <v>71300.077964719618</v>
          </cell>
          <cell r="N35">
            <v>71925.263742289681</v>
          </cell>
          <cell r="O35">
            <v>46990.998064135492</v>
          </cell>
          <cell r="P35">
            <v>53467.267626635497</v>
          </cell>
          <cell r="Q35">
            <v>56526.574851635494</v>
          </cell>
          <cell r="R35">
            <v>46916.911551051424</v>
          </cell>
          <cell r="S35">
            <v>55357.557938551472</v>
          </cell>
          <cell r="T35">
            <v>57951.183388551406</v>
          </cell>
          <cell r="U35">
            <v>51528.242067523359</v>
          </cell>
          <cell r="V35">
            <v>61012.685367523343</v>
          </cell>
          <cell r="W35">
            <v>68520.528567523346</v>
          </cell>
          <cell r="X35">
            <v>122510.42810397199</v>
          </cell>
          <cell r="Y35">
            <v>137957.9370804904</v>
          </cell>
        </row>
        <row r="37">
          <cell r="B37">
            <v>21272.73006546875</v>
          </cell>
          <cell r="C37">
            <v>23024.626867916668</v>
          </cell>
          <cell r="D37">
            <v>20679.898473409325</v>
          </cell>
          <cell r="E37">
            <v>30447.772915026042</v>
          </cell>
          <cell r="F37">
            <v>30991.561188098953</v>
          </cell>
          <cell r="G37">
            <v>27540.752961487364</v>
          </cell>
          <cell r="H37">
            <v>15369.812001328124</v>
          </cell>
          <cell r="I37">
            <v>13713.419392939719</v>
          </cell>
          <cell r="J37">
            <v>15025.154388463543</v>
          </cell>
          <cell r="K37">
            <v>10362.590320729167</v>
          </cell>
          <cell r="L37">
            <v>10062.61475828125</v>
          </cell>
          <cell r="M37">
            <v>9354.4639220312492</v>
          </cell>
          <cell r="N37">
            <v>9724.7467791145846</v>
          </cell>
          <cell r="O37">
            <v>6652.3739657031256</v>
          </cell>
          <cell r="P37">
            <v>6450.4352882291669</v>
          </cell>
          <cell r="Q37">
            <v>6355.777830989583</v>
          </cell>
          <cell r="R37">
            <v>7042.4345775781258</v>
          </cell>
          <cell r="S37">
            <v>6778.5572645312486</v>
          </cell>
          <cell r="T37">
            <v>6698.6233479687498</v>
          </cell>
          <cell r="U37">
            <v>7676.1014074479172</v>
          </cell>
          <cell r="V37">
            <v>7379.9162484895833</v>
          </cell>
          <cell r="W37">
            <v>7146.8481751562476</v>
          </cell>
          <cell r="X37">
            <v>13380.423343489583</v>
          </cell>
          <cell r="Y37">
            <v>59259.015409973959</v>
          </cell>
        </row>
        <row r="42">
          <cell r="B42">
            <v>1262800</v>
          </cell>
          <cell r="C42">
            <v>1354700</v>
          </cell>
          <cell r="D42">
            <v>1354700</v>
          </cell>
          <cell r="E42">
            <v>1689000</v>
          </cell>
          <cell r="F42">
            <v>1870700</v>
          </cell>
          <cell r="G42">
            <v>1870700</v>
          </cell>
          <cell r="H42">
            <v>916200</v>
          </cell>
          <cell r="I42">
            <v>916200</v>
          </cell>
          <cell r="J42">
            <v>828000</v>
          </cell>
          <cell r="K42">
            <v>613500</v>
          </cell>
          <cell r="L42">
            <v>613500</v>
          </cell>
          <cell r="M42">
            <v>613500</v>
          </cell>
          <cell r="N42">
            <v>648800</v>
          </cell>
          <cell r="O42">
            <v>413900</v>
          </cell>
          <cell r="P42">
            <v>413900</v>
          </cell>
          <cell r="Q42">
            <v>413900</v>
          </cell>
          <cell r="R42">
            <v>449700</v>
          </cell>
          <cell r="S42">
            <v>449700</v>
          </cell>
          <cell r="T42">
            <v>449700</v>
          </cell>
          <cell r="U42">
            <v>496800</v>
          </cell>
          <cell r="V42">
            <v>496800</v>
          </cell>
          <cell r="W42">
            <v>496800</v>
          </cell>
          <cell r="X42">
            <v>875200</v>
          </cell>
          <cell r="Y42">
            <v>2790600</v>
          </cell>
        </row>
        <row r="44">
          <cell r="B44">
            <v>262680.33121285052</v>
          </cell>
          <cell r="C44">
            <v>293100.17575514014</v>
          </cell>
          <cell r="D44">
            <v>368697.18349161558</v>
          </cell>
          <cell r="E44">
            <v>335739.38205969636</v>
          </cell>
          <cell r="F44">
            <v>425916.72334684595</v>
          </cell>
          <cell r="G44">
            <v>537013.54432328022</v>
          </cell>
          <cell r="H44">
            <v>177781.77673049073</v>
          </cell>
          <cell r="I44">
            <v>230066.17609503982</v>
          </cell>
          <cell r="J44">
            <v>119273.87511343451</v>
          </cell>
          <cell r="K44">
            <v>124553.52653130837</v>
          </cell>
          <cell r="L44">
            <v>134149.76925630838</v>
          </cell>
          <cell r="M44">
            <v>156814.09665630839</v>
          </cell>
          <cell r="N44">
            <v>162392.55346191581</v>
          </cell>
          <cell r="O44">
            <v>79607.820494042069</v>
          </cell>
          <cell r="P44">
            <v>86084.090056542074</v>
          </cell>
          <cell r="Q44">
            <v>89143.397281542071</v>
          </cell>
          <cell r="R44">
            <v>96636.537719275686</v>
          </cell>
          <cell r="S44">
            <v>105077.18410677573</v>
          </cell>
          <cell r="T44">
            <v>107670.80955677567</v>
          </cell>
          <cell r="U44">
            <v>106481.51309556077</v>
          </cell>
          <cell r="V44">
            <v>115965.95639556076</v>
          </cell>
          <cell r="W44">
            <v>123473.79959556076</v>
          </cell>
          <cell r="X44">
            <v>251669.3066086449</v>
          </cell>
          <cell r="Y44">
            <v>556458.63801507</v>
          </cell>
        </row>
        <row r="45">
          <cell r="B45">
            <v>162347.73006546876</v>
          </cell>
          <cell r="C45">
            <v>185581.71020125001</v>
          </cell>
          <cell r="D45">
            <v>183236.98180674267</v>
          </cell>
          <cell r="E45">
            <v>220899.02291502606</v>
          </cell>
          <cell r="F45">
            <v>265429.06118809897</v>
          </cell>
          <cell r="G45">
            <v>261978.25296148736</v>
          </cell>
          <cell r="H45">
            <v>126194.81200132813</v>
          </cell>
          <cell r="I45">
            <v>124538.41939293972</v>
          </cell>
          <cell r="J45">
            <v>98900.154388463547</v>
          </cell>
          <cell r="K45">
            <v>84776.048264654455</v>
          </cell>
          <cell r="L45">
            <v>84476.072702206526</v>
          </cell>
          <cell r="M45">
            <v>83767.921865956538</v>
          </cell>
          <cell r="N45">
            <v>88414.840237058525</v>
          </cell>
          <cell r="O45">
            <v>37725.060881590973</v>
          </cell>
          <cell r="P45">
            <v>37523.122204117019</v>
          </cell>
          <cell r="Q45">
            <v>37428.464746877435</v>
          </cell>
          <cell r="R45">
            <v>49740.296727110857</v>
          </cell>
          <cell r="S45">
            <v>49476.419414063974</v>
          </cell>
          <cell r="T45">
            <v>49396.485497501475</v>
          </cell>
          <cell r="U45">
            <v>58857.970566326432</v>
          </cell>
          <cell r="V45">
            <v>58561.785407368094</v>
          </cell>
          <cell r="W45">
            <v>58328.717334034765</v>
          </cell>
          <cell r="X45">
            <v>118095.84001015629</v>
          </cell>
          <cell r="Y45">
            <v>393154.84874330717</v>
          </cell>
        </row>
        <row r="69">
          <cell r="B69">
            <v>167335.23006546876</v>
          </cell>
          <cell r="C69">
            <v>190932.33520125001</v>
          </cell>
          <cell r="D69">
            <v>188587.60680674267</v>
          </cell>
          <cell r="E69">
            <v>226990.89791502606</v>
          </cell>
          <cell r="F69">
            <v>282616.56118809897</v>
          </cell>
          <cell r="G69">
            <v>279165.75296148739</v>
          </cell>
          <cell r="H69">
            <v>156907.31200132813</v>
          </cell>
          <cell r="I69">
            <v>155250.91939293972</v>
          </cell>
          <cell r="J69">
            <v>118115.15438846355</v>
          </cell>
          <cell r="K69">
            <v>105408.05761044878</v>
          </cell>
          <cell r="L69">
            <v>105108.08204800086</v>
          </cell>
          <cell r="M69">
            <v>104399.93121175087</v>
          </cell>
          <cell r="N69">
            <v>110232.59724640433</v>
          </cell>
          <cell r="O69">
            <v>42742.973654176611</v>
          </cell>
          <cell r="P69">
            <v>42541.034976702656</v>
          </cell>
          <cell r="Q69">
            <v>42446.377519463073</v>
          </cell>
          <cell r="R69">
            <v>60393.918222437955</v>
          </cell>
          <cell r="S69">
            <v>60130.040909391071</v>
          </cell>
          <cell r="T69">
            <v>60050.106992828572</v>
          </cell>
          <cell r="U69">
            <v>70626.662155111466</v>
          </cell>
          <cell r="V69">
            <v>70330.476996153127</v>
          </cell>
          <cell r="W69">
            <v>70097.408922819799</v>
          </cell>
          <cell r="X69">
            <v>149264.79834348953</v>
          </cell>
          <cell r="Y69">
            <v>492540.26540997415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DB"/>
      <sheetName val="#REF"/>
      <sheetName val="97-11"/>
      <sheetName val="200P SHEET"/>
      <sheetName val="JOB_FO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346Proj日程991124"/>
      <sheetName val="Annual Production"/>
      <sheetName val="Data"/>
      <sheetName val="ENG油洩れ"/>
      <sheetName val="#REF"/>
      <sheetName val="項目別投資工数-P1"/>
      <sheetName val="NCAB"/>
      <sheetName val="【資料】730改造投資"/>
      <sheetName val="Vehicle Number"/>
      <sheetName val="名簿データ"/>
      <sheetName val="NEW003"/>
      <sheetName val="DatadiskEE0304FULLDATAVERSION"/>
      <sheetName val="COST O.K."/>
      <sheetName val="Amortization Table"/>
      <sheetName val="EI부품표 및 RQ TABLE"/>
      <sheetName val="LeafspringDetails"/>
      <sheetName val="RR DOOR MODIFY"/>
      <sheetName val="3_ENG_Pre_P_no_match_Matrix_ven"/>
      <sheetName val="Annual_Production"/>
      <sheetName val="Vehicle_Number"/>
      <sheetName val="EI부품표_및_RQ_TABLE"/>
      <sheetName val="Amortization_Table"/>
      <sheetName val="COST_O_K_"/>
      <sheetName val="選酋表"/>
      <sheetName val="COCont_LINK"/>
      <sheetName val="COCont 2005.02"/>
      <sheetName val="Capacity"/>
      <sheetName val="Km"/>
      <sheetName val="Table Master"/>
      <sheetName val="COST"/>
      <sheetName val="Fiel List"/>
      <sheetName val="PT技検0085-347P1"/>
      <sheetName val="投資ﾘｽﾄ"/>
      <sheetName val="作業要素"/>
      <sheetName val="ELF"/>
      <sheetName val="New DYNA"/>
      <sheetName val="C3_N DC改造投資"/>
      <sheetName val="ﾏﾙC改造投資詳細"/>
      <sheetName val="G Van - Price Build up"/>
      <sheetName val="calculate"/>
      <sheetName val="ISO_250"/>
      <sheetName val="結果"/>
      <sheetName val="_B007"/>
      <sheetName val="3月"/>
      <sheetName val="2月"/>
      <sheetName val="4月"/>
      <sheetName val="99"/>
      <sheetName val="10"/>
      <sheetName val="90-2"/>
      <sheetName val="101"/>
      <sheetName val="19"/>
      <sheetName val="F混流"/>
      <sheetName val="16,7"/>
      <sheetName val="57"/>
      <sheetName val="(旧)LIST"/>
      <sheetName val="MH"/>
      <sheetName val="Wvð"/>
      <sheetName val="HärQ"/>
      <sheetName val="NCeA"/>
      <sheetName val="COST DATABASE"/>
      <sheetName val="???"/>
      <sheetName val="Report for CCD-Dec.05"/>
      <sheetName val="#20号車排ガス"/>
      <sheetName val="wire"/>
      <sheetName val="assyfee"/>
      <sheetName val="Master"/>
      <sheetName val="部品毎VOL"/>
      <sheetName val="190BODY EMATRIX"/>
      <sheetName val="342重量表"/>
      <sheetName val="MMC"/>
      <sheetName val="134車型&amp;仕様"/>
      <sheetName val="96_97研究費_全体"/>
      <sheetName val="96・(・・)"/>
      <sheetName val="ＴＦ関連Ｐｒｊ日程表"/>
      <sheetName val="___"/>
      <sheetName val="00年9月"/>
      <sheetName val="計算結果"/>
      <sheetName val="入力シート"/>
      <sheetName val="ProductionData Jan ' 10  (Truck"/>
      <sheetName val="HYO"/>
      <sheetName val="MOTO"/>
      <sheetName val="ＳＤ以下６～７月業務"/>
      <sheetName val="TYPE OF ASSET(CANCEL)"/>
      <sheetName val="集計条件"/>
      <sheetName val="Production Database 399"/>
      <sheetName val="５期事業計画　常務説明資料本体(030515)"/>
      <sheetName val="BU Dur Plans"/>
      <sheetName val="00-1"/>
      <sheetName val="DatadiskEE0304FULLDATAV_x0005_RSION"/>
      <sheetName val="ProductionData Jan ' 10_x0000_ (Truck"/>
      <sheetName val="96期(川崎)"/>
      <sheetName val="MC3(main)"/>
      <sheetName val="MC1"/>
      <sheetName val="第1期"/>
      <sheetName val="02MY"/>
      <sheetName val="150K-1"/>
      <sheetName val="150K-2"/>
      <sheetName val="180K投資"/>
      <sheetName val="(読み込み専用) ＣＡＤ関係各部依頼進捗管理 の ﾜｰｸｼｰﾄ"/>
      <sheetName val="2TUP"/>
      <sheetName val="Code"/>
      <sheetName val="liste"/>
      <sheetName val="資料_700部品点数設定"/>
      <sheetName val="Sheet2"/>
      <sheetName val="V6D"/>
      <sheetName val="2004"/>
      <sheetName val="9003"/>
      <sheetName val="DatadiskEE0304FULLDATAV_x005f_x0005_R"/>
      <sheetName val="ProductionData Jan ' 10_x005f_x0000_ "/>
      <sheetName val="ProductionData Jan ' 10"/>
      <sheetName val="メーカー検索"/>
      <sheetName val="Table"/>
      <sheetName val="ProductionData Jan ' 10? (Truck"/>
      <sheetName val="1-C,D"/>
      <sheetName val="Annual_Production1"/>
      <sheetName val="Vehicle_Number1"/>
      <sheetName val="Amortization_Table1"/>
      <sheetName val="COST_O_K_1"/>
      <sheetName val="EI부품표_및_RQ_TABLE1"/>
      <sheetName val="COCont_2005_02"/>
      <sheetName val="Table_Master"/>
      <sheetName val="Fiel_List"/>
      <sheetName val="New_DYNA"/>
      <sheetName val="C3_N_DC改造投資"/>
      <sheetName val="G_Van_-_Price_Build_up"/>
      <sheetName val="RR_DOOR_MODIFY"/>
      <sheetName val="Report_for_CCD-Dec_05"/>
      <sheetName val="COST_DATABASE"/>
      <sheetName val="190BODY_EMATRIX"/>
      <sheetName val="TYPE_OF_ASSET(CANCEL)"/>
      <sheetName val="BU_Dur_Plans"/>
      <sheetName val="Production_Database_399"/>
      <sheetName val="ProductionData_Jan_'_10__(Truck"/>
      <sheetName val="(読み込み専用)_ＣＡＤ関係各部依頼進捗管理_の_ﾜｰｸｼｰﾄ"/>
      <sheetName val="Lookup Table"/>
      <sheetName val="駆動系1"/>
      <sheetName val="DATA01"/>
      <sheetName val="TFR2002MODEL'01actual"/>
      <sheetName val="SBM2"/>
      <sheetName val="PPS00 ALTER29"/>
      <sheetName val="ProductionData Jan ' 10_ (Truck"/>
      <sheetName val="Sheet1"/>
      <sheetName val="DB"/>
      <sheetName val="Supp.List"/>
      <sheetName val="金額"/>
      <sheetName val="Annual Sales"/>
      <sheetName val="H””ärQ"/>
      <sheetName val="DatadiskEE0304FULLDATAVRSION"/>
      <sheetName val="ProductionData_Jan_'_10_(Truck"/>
      <sheetName val="DatadiskEE0304FULLDATAV_x0005_R"/>
      <sheetName val="ProductionData Jan ' 10_x0000_ "/>
      <sheetName val="EPW 0630"/>
      <sheetName val="TKBN_TKBNA"/>
      <sheetName val="sheet17"/>
      <sheetName val="時刻指定"/>
      <sheetName val="Rate"/>
      <sheetName val="CPK"/>
      <sheetName val="Annual_Production2"/>
      <sheetName val="Vehicle_Number2"/>
      <sheetName val="COST_O_K_2"/>
      <sheetName val="EI부품표_및_RQ_TABLE2"/>
      <sheetName val="Amortization_Table2"/>
      <sheetName val="COCont_2005_021"/>
      <sheetName val="RR_DOOR_MODIFY1"/>
      <sheetName val="Table_Master1"/>
      <sheetName val="Fiel_List1"/>
      <sheetName val="New_DYNA1"/>
      <sheetName val="C3_N_DC改造投資1"/>
      <sheetName val="G_Van_-_Price_Build_up1"/>
      <sheetName val="COST_DATABASE1"/>
      <sheetName val="Report_for_CCD-Dec_051"/>
      <sheetName val="190BODY_EMATRIX1"/>
      <sheetName val="TYPE_OF_ASSET(CANCEL)1"/>
      <sheetName val="Production_Database_3991"/>
      <sheetName val="ProductionData_Jan_'_10__(Truc1"/>
      <sheetName val="BU_Dur_Plans1"/>
      <sheetName val="(読み込み専用)_ＣＡＤ関係各部依頼進捗管理_の_ﾜｰｸｼｰ1"/>
      <sheetName val="ProductionData_Jan_'_10_x005f_x0000__"/>
      <sheetName val="ProductionData_Jan_'_10"/>
      <sheetName val="ProductionData_Jan_'_10?_(Truck"/>
      <sheetName val="Lookup_Table"/>
      <sheetName val="PPS00_ALTER29"/>
      <sheetName val="Annual_Production3"/>
      <sheetName val="Vehicle_Number3"/>
      <sheetName val="COST_O_K_3"/>
      <sheetName val="EI부품표_및_RQ_TABLE3"/>
      <sheetName val="Amortization_Table3"/>
      <sheetName val="COCont_2005_022"/>
      <sheetName val="RR_DOOR_MODIFY2"/>
      <sheetName val="Table_Master2"/>
      <sheetName val="Fiel_List2"/>
      <sheetName val="New_DYNA2"/>
      <sheetName val="C3_N_DC改造投資2"/>
      <sheetName val="G_Van_-_Price_Build_up2"/>
      <sheetName val="COST_DATABASE2"/>
      <sheetName val="Report_for_CCD-Dec_052"/>
      <sheetName val="190BODY_EMATRIX2"/>
      <sheetName val="TYPE_OF_ASSET(CANCEL)2"/>
      <sheetName val="Production_Database_3992"/>
      <sheetName val="ProductionData_Jan_'_10__(Truc2"/>
      <sheetName val="BU_Dur_Plans2"/>
      <sheetName val="(読み込み専用)_ＣＡＤ関係各部依頼進捗管理_の_ﾜｰｸｼｰ2"/>
      <sheetName val="ProductionData_Jan_'_10_x005f_x0000_1"/>
      <sheetName val="ProductionData_Jan_'_101"/>
      <sheetName val="ProductionData_Jan_'_10?_(Truc1"/>
      <sheetName val="Lookup_Table1"/>
      <sheetName val="PPS00_ALTER291"/>
      <sheetName val="ProductionData_Jan_'_10__(Truc3"/>
      <sheetName val="PROD-TF"/>
      <sheetName val="ProductionData Jan ' 10? "/>
      <sheetName val="CASHFLOW"/>
      <sheetName val="BLineLossTimeDetails 07"/>
      <sheetName val="BLineMCProblemDetails 05"/>
      <sheetName val="ALineLossTimeDetails 07"/>
      <sheetName val="指数比較"/>
      <sheetName val="Status Base"/>
      <sheetName val="Annual_Production4"/>
      <sheetName val="Vehicle_Number4"/>
      <sheetName val="COST_O_K_4"/>
      <sheetName val="EI부품표_및_RQ_TABLE4"/>
      <sheetName val="Amortization_Table4"/>
      <sheetName val="COCont_2005_023"/>
      <sheetName val="RR_DOOR_MODIFY3"/>
      <sheetName val="Table_Master3"/>
      <sheetName val="Fiel_List3"/>
      <sheetName val="New_DYNA3"/>
      <sheetName val="C3_N_DC改造投資3"/>
      <sheetName val="G_Van_-_Price_Build_up3"/>
      <sheetName val="COST_DATABASE3"/>
      <sheetName val="Report_for_CCD-Dec_053"/>
      <sheetName val="190BODY_EMATRIX3"/>
      <sheetName val="TYPE_OF_ASSET(CANCEL)3"/>
      <sheetName val="Production_Database_3993"/>
      <sheetName val="ProductionData_Jan_'_10__(Truc4"/>
      <sheetName val="BU_Dur_Plans3"/>
      <sheetName val="(読み込み専用)_ＣＡＤ関係各部依頼進捗管理_の_ﾜｰｸｼｰ3"/>
      <sheetName val="ProductionData_Jan_'_10_x005f_x0000_2"/>
      <sheetName val="ProductionData_Jan_'_102"/>
      <sheetName val="ProductionData_Jan_'_10?_(Truc2"/>
      <sheetName val="Lookup_Table2"/>
      <sheetName val="PPS00_ALTER292"/>
      <sheetName val="Supp_List"/>
      <sheetName val="ProductionData_Jan_'_10__(Truc5"/>
      <sheetName val="Annual_Sales"/>
      <sheetName val="DatadiskEE0304FULLDATAVR"/>
      <sheetName val="ProductionData_Jan_'_10_"/>
      <sheetName val="EPW_0630"/>
      <sheetName val="ProductionData_Jan_'_10?_"/>
      <sheetName val="Annual_Production5"/>
      <sheetName val="Vehicle_Number5"/>
      <sheetName val="COST_O_K_5"/>
      <sheetName val="EI부품표_및_RQ_TABLE5"/>
      <sheetName val="Amortization_Table5"/>
      <sheetName val="COCont_2005_024"/>
      <sheetName val="RR_DOOR_MODIFY4"/>
      <sheetName val="Table_Master4"/>
      <sheetName val="Fiel_List4"/>
      <sheetName val="New_DYNA4"/>
      <sheetName val="C3_N_DC改造投資4"/>
      <sheetName val="G_Van_-_Price_Build_up4"/>
      <sheetName val="COST_DATABASE4"/>
      <sheetName val="Report_for_CCD-Dec_054"/>
      <sheetName val="190BODY_EMATRIX4"/>
      <sheetName val="TYPE_OF_ASSET(CANCEL)4"/>
      <sheetName val="Production_Database_3994"/>
      <sheetName val="ProductionData_Jan_'_10__(Truc6"/>
      <sheetName val="BU_Dur_Plans4"/>
      <sheetName val="(読み込み専用)_ＣＡＤ関係各部依頼進捗管理_の_ﾜｰｸｼｰ4"/>
      <sheetName val="ProductionData_Jan_'_10_x005f_x0000_3"/>
      <sheetName val="ProductionData_Jan_'_103"/>
      <sheetName val="ProductionData_Jan_'_10?_(Truc3"/>
      <sheetName val="Lookup_Table3"/>
      <sheetName val="PPS00_ALTER293"/>
      <sheetName val="Supp_List1"/>
      <sheetName val="ProductionData_Jan_'_10__(Truc7"/>
      <sheetName val="Annual_Sales1"/>
      <sheetName val="EPW_06301"/>
      <sheetName val="ProductionData_Jan_'_10?_1"/>
      <sheetName val="Annual_Production6"/>
      <sheetName val="Vehicle_Number6"/>
      <sheetName val="COST_O_K_6"/>
      <sheetName val="EI부품표_및_RQ_TABLE6"/>
      <sheetName val="Amortization_Table6"/>
      <sheetName val="COCont_2005_025"/>
      <sheetName val="RR_DOOR_MODIFY5"/>
      <sheetName val="Table_Master5"/>
      <sheetName val="Fiel_List5"/>
      <sheetName val="New_DYNA5"/>
      <sheetName val="C3_N_DC改造投資5"/>
      <sheetName val="G_Van_-_Price_Build_up5"/>
      <sheetName val="COST_DATABASE5"/>
      <sheetName val="Report_for_CCD-Dec_055"/>
      <sheetName val="190BODY_EMATRIX5"/>
      <sheetName val="TYPE_OF_ASSET(CANCEL)5"/>
      <sheetName val="Production_Database_3995"/>
      <sheetName val="ProductionData_Jan_'_10__(Truc8"/>
      <sheetName val="BU_Dur_Plans5"/>
      <sheetName val="(読み込み専用)_ＣＡＤ関係各部依頼進捗管理_の_ﾜｰｸｼｰ5"/>
      <sheetName val="ProductionData_Jan_'_10_x005f_x0000_4"/>
      <sheetName val="ProductionData_Jan_'_104"/>
      <sheetName val="ProductionData_Jan_'_10?_(Truc4"/>
      <sheetName val="Lookup_Table4"/>
      <sheetName val="PPS00_ALTER294"/>
      <sheetName val="Supp_List2"/>
      <sheetName val="ProductionData_Jan_'_10__(Truc9"/>
      <sheetName val="Annual_Sales2"/>
      <sheetName val="EPW_06302"/>
      <sheetName val="ProductionData_Jan_'_10?_2"/>
      <sheetName val="Annual_Production12"/>
      <sheetName val="Vehicle_Number12"/>
      <sheetName val="COST_O_K_12"/>
      <sheetName val="EI부품표_및_RQ_TABLE12"/>
      <sheetName val="Amortization_Table12"/>
      <sheetName val="COCont_2005_0211"/>
      <sheetName val="RR_DOOR_MODIFY11"/>
      <sheetName val="Table_Master11"/>
      <sheetName val="Fiel_List11"/>
      <sheetName val="New_DYNA11"/>
      <sheetName val="C3_N_DC改造投資11"/>
      <sheetName val="G_Van_-_Price_Build_up11"/>
      <sheetName val="COST_DATABASE11"/>
      <sheetName val="Report_for_CCD-Dec_0511"/>
      <sheetName val="190BODY_EMATRIX11"/>
      <sheetName val="TYPE_OF_ASSET(CANCEL)11"/>
      <sheetName val="Production_Database_39911"/>
      <sheetName val="ProductionData_Jan_'_10__(Tru20"/>
      <sheetName val="BU_Dur_Plans11"/>
      <sheetName val="(読み込み専用)_ＣＡＤ関係各部依頼進捗管理_の_ﾜｰｸｼ11"/>
      <sheetName val="ProductionData_Jan_'_10_x000010"/>
      <sheetName val="ProductionData_Jan_'_1010"/>
      <sheetName val="ProductionData_Jan_'_10?_(Tru10"/>
      <sheetName val="Lookup_Table10"/>
      <sheetName val="PPS00_ALTER2910"/>
      <sheetName val="Supp_List8"/>
      <sheetName val="ProductionData_Jan_'_10__(Tru21"/>
      <sheetName val="Annual_Sales8"/>
      <sheetName val="EPW_06308"/>
      <sheetName val="ProductionData_Jan_'_10?_8"/>
      <sheetName val="Annual_Production11"/>
      <sheetName val="Vehicle_Number11"/>
      <sheetName val="COST_O_K_11"/>
      <sheetName val="EI부품표_및_RQ_TABLE11"/>
      <sheetName val="Amortization_Table11"/>
      <sheetName val="COCont_2005_0210"/>
      <sheetName val="RR_DOOR_MODIFY10"/>
      <sheetName val="Table_Master10"/>
      <sheetName val="Fiel_List10"/>
      <sheetName val="New_DYNA10"/>
      <sheetName val="C3_N_DC改造投資10"/>
      <sheetName val="G_Van_-_Price_Build_up10"/>
      <sheetName val="COST_DATABASE10"/>
      <sheetName val="Report_for_CCD-Dec_0510"/>
      <sheetName val="190BODY_EMATRIX10"/>
      <sheetName val="TYPE_OF_ASSET(CANCEL)10"/>
      <sheetName val="Production_Database_39910"/>
      <sheetName val="ProductionData_Jan_'_10__(Tru18"/>
      <sheetName val="BU_Dur_Plans10"/>
      <sheetName val="(読み込み専用)_ＣＡＤ関係各部依頼進捗管理_の_ﾜｰｸｼ10"/>
      <sheetName val="ProductionData_Jan_'_10_x005f_x0000_9"/>
      <sheetName val="ProductionData_Jan_'_109"/>
      <sheetName val="ProductionData_Jan_'_10?_(Truc9"/>
      <sheetName val="Lookup_Table9"/>
      <sheetName val="PPS00_ALTER299"/>
      <sheetName val="Supp_List7"/>
      <sheetName val="ProductionData_Jan_'_10__(Tru19"/>
      <sheetName val="Annual_Sales7"/>
      <sheetName val="EPW_06307"/>
      <sheetName val="ProductionData_Jan_'_10?_7"/>
      <sheetName val="Annual_Production9"/>
      <sheetName val="Vehicle_Number9"/>
      <sheetName val="COST_O_K_9"/>
      <sheetName val="EI부품표_및_RQ_TABLE9"/>
      <sheetName val="Amortization_Table9"/>
      <sheetName val="COCont_2005_028"/>
      <sheetName val="RR_DOOR_MODIFY8"/>
      <sheetName val="Table_Master8"/>
      <sheetName val="Fiel_List8"/>
      <sheetName val="New_DYNA8"/>
      <sheetName val="C3_N_DC改造投資8"/>
      <sheetName val="G_Van_-_Price_Build_up8"/>
      <sheetName val="COST_DATABASE8"/>
      <sheetName val="Report_for_CCD-Dec_058"/>
      <sheetName val="190BODY_EMATRIX8"/>
      <sheetName val="TYPE_OF_ASSET(CANCEL)8"/>
      <sheetName val="Production_Database_3998"/>
      <sheetName val="ProductionData_Jan_'_10__(Tru14"/>
      <sheetName val="BU_Dur_Plans8"/>
      <sheetName val="(読み込み専用)_ＣＡＤ関係各部依頼進捗管理_の_ﾜｰｸｼｰ8"/>
      <sheetName val="ProductionData_Jan_'_10_x005f_x0000_7"/>
      <sheetName val="ProductionData_Jan_'_107"/>
      <sheetName val="ProductionData_Jan_'_10?_(Truc7"/>
      <sheetName val="Lookup_Table7"/>
      <sheetName val="PPS00_ALTER297"/>
      <sheetName val="Supp_List5"/>
      <sheetName val="ProductionData_Jan_'_10__(Tru15"/>
      <sheetName val="Annual_Sales5"/>
      <sheetName val="EPW_06305"/>
      <sheetName val="ProductionData_Jan_'_10?_5"/>
      <sheetName val="Annual_Production7"/>
      <sheetName val="Vehicle_Number7"/>
      <sheetName val="COST_O_K_7"/>
      <sheetName val="EI부품표_및_RQ_TABLE7"/>
      <sheetName val="Amortization_Table7"/>
      <sheetName val="COCont_2005_026"/>
      <sheetName val="RR_DOOR_MODIFY6"/>
      <sheetName val="Table_Master6"/>
      <sheetName val="Fiel_List6"/>
      <sheetName val="New_DYNA6"/>
      <sheetName val="C3_N_DC改造投資6"/>
      <sheetName val="G_Van_-_Price_Build_up6"/>
      <sheetName val="COST_DATABASE6"/>
      <sheetName val="Report_for_CCD-Dec_056"/>
      <sheetName val="190BODY_EMATRIX6"/>
      <sheetName val="TYPE_OF_ASSET(CANCEL)6"/>
      <sheetName val="Production_Database_3996"/>
      <sheetName val="ProductionData_Jan_'_10__(Tru10"/>
      <sheetName val="BU_Dur_Plans6"/>
      <sheetName val="(読み込み専用)_ＣＡＤ関係各部依頼進捗管理_の_ﾜｰｸｼｰ6"/>
      <sheetName val="ProductionData_Jan_'_10_x005f_x0000_5"/>
      <sheetName val="ProductionData_Jan_'_105"/>
      <sheetName val="ProductionData_Jan_'_10?_(Truc5"/>
      <sheetName val="Lookup_Table5"/>
      <sheetName val="PPS00_ALTER295"/>
      <sheetName val="Supp_List3"/>
      <sheetName val="ProductionData_Jan_'_10__(Tru11"/>
      <sheetName val="Annual_Sales3"/>
      <sheetName val="EPW_06303"/>
      <sheetName val="ProductionData_Jan_'_10?_3"/>
      <sheetName val="Annual_Production8"/>
      <sheetName val="Vehicle_Number8"/>
      <sheetName val="COST_O_K_8"/>
      <sheetName val="EI부품표_및_RQ_TABLE8"/>
      <sheetName val="Amortization_Table8"/>
      <sheetName val="COCont_2005_027"/>
      <sheetName val="RR_DOOR_MODIFY7"/>
      <sheetName val="Table_Master7"/>
      <sheetName val="Fiel_List7"/>
      <sheetName val="New_DYNA7"/>
      <sheetName val="C3_N_DC改造投資7"/>
      <sheetName val="G_Van_-_Price_Build_up7"/>
      <sheetName val="COST_DATABASE7"/>
      <sheetName val="Report_for_CCD-Dec_057"/>
      <sheetName val="190BODY_EMATRIX7"/>
      <sheetName val="TYPE_OF_ASSET(CANCEL)7"/>
      <sheetName val="Production_Database_3997"/>
      <sheetName val="ProductionData_Jan_'_10__(Tru12"/>
      <sheetName val="BU_Dur_Plans7"/>
      <sheetName val="(読み込み専用)_ＣＡＤ関係各部依頼進捗管理_の_ﾜｰｸｼｰ7"/>
      <sheetName val="ProductionData_Jan_'_10_x005f_x0000_6"/>
      <sheetName val="ProductionData_Jan_'_106"/>
      <sheetName val="ProductionData_Jan_'_10?_(Truc6"/>
      <sheetName val="Lookup_Table6"/>
      <sheetName val="PPS00_ALTER296"/>
      <sheetName val="Supp_List4"/>
      <sheetName val="ProductionData_Jan_'_10__(Tru13"/>
      <sheetName val="Annual_Sales4"/>
      <sheetName val="EPW_06304"/>
      <sheetName val="ProductionData_Jan_'_10?_4"/>
      <sheetName val="Annual_Production10"/>
      <sheetName val="Vehicle_Number10"/>
      <sheetName val="COST_O_K_10"/>
      <sheetName val="EI부품표_및_RQ_TABLE10"/>
      <sheetName val="Amortization_Table10"/>
      <sheetName val="COCont_2005_029"/>
      <sheetName val="RR_DOOR_MODIFY9"/>
      <sheetName val="Table_Master9"/>
      <sheetName val="Fiel_List9"/>
      <sheetName val="New_DYNA9"/>
      <sheetName val="C3_N_DC改造投資9"/>
      <sheetName val="G_Van_-_Price_Build_up9"/>
      <sheetName val="COST_DATABASE9"/>
      <sheetName val="Report_for_CCD-Dec_059"/>
      <sheetName val="190BODY_EMATRIX9"/>
      <sheetName val="TYPE_OF_ASSET(CANCEL)9"/>
      <sheetName val="Production_Database_3999"/>
      <sheetName val="ProductionData_Jan_'_10__(Tru16"/>
      <sheetName val="BU_Dur_Plans9"/>
      <sheetName val="(読み込み専用)_ＣＡＤ関係各部依頼進捗管理_の_ﾜｰｸｼｰ9"/>
      <sheetName val="ProductionData_Jan_'_10_x005f_x0000_8"/>
      <sheetName val="ProductionData_Jan_'_108"/>
      <sheetName val="ProductionData_Jan_'_10?_(Truc8"/>
      <sheetName val="Lookup_Table8"/>
      <sheetName val="PPS00_ALTER298"/>
      <sheetName val="Supp_List6"/>
      <sheetName val="ProductionData_Jan_'_10__(Tru17"/>
      <sheetName val="Annual_Sales6"/>
      <sheetName val="EPW_06306"/>
      <sheetName val="ProductionData_Jan_'_10?_6"/>
      <sheetName val="Annual_Production13"/>
      <sheetName val="Vehicle_Number13"/>
      <sheetName val="COST_O_K_13"/>
      <sheetName val="EI부품표_및_RQ_TABLE13"/>
      <sheetName val="Amortization_Table13"/>
      <sheetName val="COCont_2005_0212"/>
      <sheetName val="RR_DOOR_MODIFY12"/>
      <sheetName val="Table_Master12"/>
      <sheetName val="Fiel_List12"/>
      <sheetName val="New_DYNA12"/>
      <sheetName val="C3_N_DC改造投資12"/>
      <sheetName val="G_Van_-_Price_Build_up12"/>
      <sheetName val="COST_DATABASE12"/>
      <sheetName val="Report_for_CCD-Dec_0512"/>
      <sheetName val="190BODY_EMATRIX12"/>
      <sheetName val="TYPE_OF_ASSET(CANCEL)12"/>
      <sheetName val="Production_Database_39912"/>
      <sheetName val="ProductionData_Jan_'_10__(Tru22"/>
      <sheetName val="BU_Dur_Plans12"/>
      <sheetName val="(読み込み専用)_ＣＡＤ関係各部依頼進捗管理_の_ﾜｰｸｼ12"/>
      <sheetName val="ProductionData_Jan_'_10_x000011"/>
      <sheetName val="ProductionData_Jan_'_1011"/>
      <sheetName val="ProductionData_Jan_'_10?_(Tru11"/>
      <sheetName val="Lookup_Table11"/>
      <sheetName val="PPS00_ALTER2911"/>
      <sheetName val="Supp_List9"/>
      <sheetName val="ProductionData_Jan_'_10__(Tru23"/>
      <sheetName val="Annual_Sales9"/>
      <sheetName val="EPW_06309"/>
      <sheetName val="ProductionData_Jan_'_10?_9"/>
      <sheetName val="BLineLossTimeDetails_07"/>
      <sheetName val="BLineMCProblemDetails_05"/>
      <sheetName val="ALineLossTimeDetails_07"/>
      <sheetName val="Status_Base"/>
      <sheetName val="Annual_Production14"/>
      <sheetName val="Vehicle_Number14"/>
      <sheetName val="COST_O_K_14"/>
      <sheetName val="EI부품표_및_RQ_TABLE14"/>
      <sheetName val="Amortization_Table14"/>
      <sheetName val="COCont_2005_0213"/>
      <sheetName val="RR_DOOR_MODIFY13"/>
      <sheetName val="Table_Master13"/>
      <sheetName val="Fiel_List13"/>
      <sheetName val="New_DYNA13"/>
      <sheetName val="C3_N_DC改造投資13"/>
      <sheetName val="G_Van_-_Price_Build_up13"/>
      <sheetName val="COST_DATABASE13"/>
      <sheetName val="Report_for_CCD-Dec_0513"/>
      <sheetName val="190BODY_EMATRIX13"/>
      <sheetName val="TYPE_OF_ASSET(CANCEL)13"/>
      <sheetName val="Production_Database_39913"/>
      <sheetName val="ProductionData_Jan_'_10__(Tru24"/>
      <sheetName val="BU_Dur_Plans13"/>
      <sheetName val="(読み込み専用)_ＣＡＤ関係各部依頼進捗管理_の_ﾜｰｸｼ13"/>
      <sheetName val="ProductionData_Jan_'_10_x000012"/>
      <sheetName val="ProductionData_Jan_'_1012"/>
      <sheetName val="ProductionData_Jan_'_10?_(Tru12"/>
      <sheetName val="Lookup_Table12"/>
      <sheetName val="PPS00_ALTER2912"/>
      <sheetName val="Supp_List10"/>
      <sheetName val="ProductionData_Jan_'_10__(Tru25"/>
      <sheetName val="Annual_Sales10"/>
      <sheetName val="EPW_063010"/>
      <sheetName val="ProductionData_Jan_'_10?_10"/>
      <sheetName val="BLineLossTimeDetails_071"/>
      <sheetName val="BLineMCProblemDetails_051"/>
      <sheetName val="ALineLossTimeDetails_071"/>
      <sheetName val="Status_Base1"/>
      <sheetName val="total"/>
      <sheetName val="ITOCHU COP20080201"/>
      <sheetName val="Annual_Production15"/>
      <sheetName val="Vehicle_Number15"/>
      <sheetName val="COST_O_K_15"/>
      <sheetName val="EI부품표_및_RQ_TABLE15"/>
      <sheetName val="Amortization_Table15"/>
      <sheetName val="COCont_2005_0214"/>
      <sheetName val="RR_DOOR_MODIFY14"/>
      <sheetName val="Table_Master14"/>
      <sheetName val="Fiel_List14"/>
      <sheetName val="New_DYNA14"/>
      <sheetName val="C3_N_DC改造投資14"/>
      <sheetName val="G_Van_-_Price_Build_up14"/>
      <sheetName val="COST_DATABASE14"/>
      <sheetName val="Report_for_CCD-Dec_0514"/>
      <sheetName val="190BODY_EMATRIX14"/>
      <sheetName val="TYPE_OF_ASSET(CANCEL)14"/>
      <sheetName val="Production_Database_39914"/>
      <sheetName val="ProductionData_Jan_'_10__(Tru26"/>
      <sheetName val="BU_Dur_Plans14"/>
      <sheetName val="(読み込み専用)_ＣＡＤ関係各部依頼進捗管理_の_ﾜｰｸｼ14"/>
      <sheetName val="ProductionData_Jan_'_10_x000013"/>
      <sheetName val="ProductionData_Jan_'_1013"/>
      <sheetName val="ProductionData_Jan_'_10?_(Tru13"/>
      <sheetName val="Lookup_Table13"/>
      <sheetName val="PPS00_ALTER2913"/>
      <sheetName val="Supp_List11"/>
      <sheetName val="ProductionData_Jan_'_10__(Tru27"/>
      <sheetName val="Annual_Sales11"/>
      <sheetName val="EPW_063011"/>
      <sheetName val="ProductionData_Jan_'_10?_11"/>
      <sheetName val="BLineLossTimeDetails_072"/>
      <sheetName val="BLineMCProblemDetails_052"/>
      <sheetName val="ALineLossTimeDetails_072"/>
      <sheetName val="Status_Base2"/>
      <sheetName val="002(4)"/>
      <sheetName val="MZX EPH暫定対策"/>
      <sheetName val="MZX現状（中央値）"/>
      <sheetName val="MZX新規SPRING ALT1"/>
      <sheetName val="MZX新規SPRING ALT2"/>
      <sheetName val="ASMｼﾌﾄ後"/>
      <sheetName val="評価シート"/>
      <sheetName val="LVMAY"/>
      <sheetName val="CTdongia"/>
      <sheetName val="arifar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Annual Production"/>
      <sheetName val="I190 Requirement _ CGO"/>
      <sheetName val="I190 Requirement _ NGR"/>
      <sheetName val="PJN"/>
      <sheetName val="fs0708"/>
      <sheetName val="FS0408"/>
      <sheetName val="FS0508"/>
      <sheetName val="FS0608"/>
      <sheetName val="項目別投資工数-P1"/>
      <sheetName val="98 Price Nego(Dec Price)"/>
      <sheetName val="Data"/>
      <sheetName val="工数比較２"/>
      <sheetName val="SPEC LIST"/>
      <sheetName val="C3_N DC改造投資"/>
      <sheetName val="Unit Price"/>
      <sheetName val="生産台数内訳"/>
      <sheetName val="クライテリア"/>
      <sheetName val="346Proj日程991124"/>
      <sheetName val="NEW003"/>
      <sheetName val="HärQ"/>
      <sheetName val="Annual_Production"/>
      <sheetName val="I190_Requirement___CGO"/>
      <sheetName val="I190_Requirement___NGR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選酋表"/>
      <sheetName val="(旧)LIST"/>
      <sheetName val="00-1"/>
      <sheetName val="ENG油洩れ"/>
      <sheetName val="ISO_250"/>
      <sheetName val="check Deftax Monthly"/>
      <sheetName val="check deftax Yearly"/>
      <sheetName val="W&amp;WL2005"/>
      <sheetName val="【資料】730改造投資"/>
      <sheetName val="A"/>
      <sheetName val="NCeA"/>
      <sheetName val="Wv?"/>
      <sheetName val="OEM"/>
      <sheetName val="LeafspringDetails"/>
      <sheetName val="Database "/>
      <sheetName val="COST O.K."/>
      <sheetName val="HYO"/>
      <sheetName val="MOTO"/>
      <sheetName val="計算結果"/>
      <sheetName val="MMC"/>
      <sheetName val="Submission Address"/>
      <sheetName val="Wv_"/>
      <sheetName val="名簿データ"/>
      <sheetName val="Annual_Production1"/>
      <sheetName val="I190_Requirement___CGO1"/>
      <sheetName val="I190_Requirement___NGR1"/>
      <sheetName val="98_Price_Nego(Dec_Price)"/>
      <sheetName val="SPEC_LIST"/>
      <sheetName val="C3_N_DC改造投資"/>
      <sheetName val="Unit_Price"/>
      <sheetName val="Report_for_CCD-Dec_05"/>
      <sheetName val="check_Deftax_Monthly"/>
      <sheetName val="check_deftax_Yearly"/>
      <sheetName val="Database_"/>
      <sheetName val="COST_O_K_"/>
      <sheetName val="Submission_Address"/>
      <sheetName val="Annual_Production2"/>
      <sheetName val="I190_Requirement___CGO2"/>
      <sheetName val="I190_Requirement___NGR2"/>
      <sheetName val="98_Price_Nego(Dec_Price)1"/>
      <sheetName val="SPEC_LIST1"/>
      <sheetName val="C3_N_DC改造投資1"/>
      <sheetName val="Unit_Price1"/>
      <sheetName val="Report_for_CCD-Dec_051"/>
      <sheetName val="check_Deftax_Monthly1"/>
      <sheetName val="check_deftax_Yearly1"/>
      <sheetName val="Database_1"/>
      <sheetName val="COST_O_K_1"/>
      <sheetName val="Submission_Address1"/>
      <sheetName val="TFR2002MODEL'01actual"/>
      <sheetName val="9003"/>
      <sheetName val="ProductionData Jan ' 10  (Truck"/>
      <sheetName val="PART LIST"/>
      <sheetName val="OrderUpdate"/>
      <sheetName val="Sheet1"/>
      <sheetName val="currenc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>
        <row r="1">
          <cell r="B1" t="str">
            <v>(All)</v>
          </cell>
        </row>
      </sheetData>
      <sheetData sheetId="84">
        <row r="1">
          <cell r="B1" t="str">
            <v>(All)</v>
          </cell>
        </row>
      </sheetData>
      <sheetData sheetId="85">
        <row r="1">
          <cell r="B1" t="str">
            <v>(All)</v>
          </cell>
        </row>
      </sheetData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計算結果"/>
      <sheetName val="2TUP"/>
      <sheetName val="PJN"/>
      <sheetName val="名簿データ"/>
      <sheetName val="ＳＤ以下６～７月業務"/>
      <sheetName val="項目別投資工数-P1"/>
      <sheetName val="Data"/>
      <sheetName val="FCVCjune2010"/>
      <sheetName val="UNIDADESHS02MY"/>
      <sheetName val="346Proj日程991124"/>
      <sheetName val="I190 Requirement _ CGO"/>
      <sheetName val="I190 Requirement _ NGR"/>
      <sheetName val="Bearing Cap"/>
      <sheetName val="F混流"/>
      <sheetName val="16,7"/>
      <sheetName val=" IBPL0001"/>
      <sheetName val="I190_Requirement___CGO"/>
      <sheetName val="I190_Requirement___NGR"/>
      <sheetName val="Bearing_Cap"/>
      <sheetName val="_IBPL0001"/>
      <sheetName val="EI부품표 및 RQ TABLE"/>
      <sheetName val="???"/>
      <sheetName val="選酋表"/>
      <sheetName val="ﾌﾟﾛﾄ_P772分解5号機"/>
      <sheetName val="137#04-UB挿入"/>
      <sheetName val="ENG油洩れ"/>
      <sheetName val="SMALL"/>
      <sheetName val="PT技検0085-347P1"/>
      <sheetName val="Annual Production"/>
      <sheetName val="เติม"/>
      <sheetName val="NEW003"/>
      <sheetName val="___"/>
      <sheetName val="137#04-UB??"/>
      <sheetName val="137#04-UB__"/>
      <sheetName val="F2"/>
      <sheetName val="1) Try out plan with over night"/>
      <sheetName val="00年9月"/>
      <sheetName val="fs0708"/>
      <sheetName val="#REF"/>
      <sheetName val="Table"/>
      <sheetName val="#REF!"/>
      <sheetName val="EPW 0630"/>
      <sheetName val="99年度原単位"/>
      <sheetName val="EPW_0630"/>
      <sheetName val="駆動系1"/>
      <sheetName val="IGI"/>
      <sheetName val="SHARP"/>
      <sheetName val="金額"/>
      <sheetName val="DB"/>
      <sheetName val="MOTO"/>
      <sheetName val="Karyawan"/>
      <sheetName val="Snp"/>
      <sheetName val="RANK"/>
      <sheetName val="Base de données"/>
      <sheetName val="入力シート"/>
      <sheetName val="残業計画"/>
      <sheetName val="COST O.K."/>
      <sheetName val="DatadiskEE0304FULLDATAVERSION"/>
      <sheetName val="LINK1"/>
      <sheetName val="PROGRAMM"/>
      <sheetName val="Reformed Fuel"/>
      <sheetName val="Reactor"/>
      <sheetName val="Combustion"/>
      <sheetName val="Mixture Formation"/>
      <sheetName val="Exhaust Pipe"/>
      <sheetName val="Three way Catalyst"/>
      <sheetName val="00-1"/>
      <sheetName val="SUMMERY"/>
      <sheetName val="08TF FC Sum data"/>
      <sheetName val="Temp"/>
      <sheetName val="FC Sum data"/>
      <sheetName val="K"/>
      <sheetName val="TYPE OF ASSET(CANCEL)"/>
      <sheetName val="CCM&amp;Target"/>
      <sheetName val="6B8MOD15"/>
      <sheetName val="C-PL5"/>
      <sheetName val="I190_Requirement___CGO1"/>
      <sheetName val="I190_Requirement___NGR1"/>
      <sheetName val="Bearing_Cap1"/>
      <sheetName val="_IBPL00011"/>
      <sheetName val="EI부품표_및_RQ_TABLE"/>
      <sheetName val="Annual_Production"/>
      <sheetName val="1)_Try_out_plan_with_over_night"/>
      <sheetName val="EPW_06301"/>
      <sheetName val="Base_de_données"/>
      <sheetName val="COST_O_K_"/>
      <sheetName val="Reformed_Fuel"/>
      <sheetName val="Mixture_Formation"/>
      <sheetName val="Exhaust_Pipe"/>
      <sheetName val="Three_way_Catalyst"/>
      <sheetName val="Annual_Production1"/>
      <sheetName val="wire"/>
      <sheetName val="assyfee"/>
      <sheetName val="Marginal'05-'08(Jul-Dec)"/>
      <sheetName val="calculate"/>
      <sheetName val="FG tracking"/>
      <sheetName val="Order update"/>
      <sheetName val="Order update (2)"/>
      <sheetName val="Order update (13.12"/>
      <sheetName val="Order update (14.12 (2)"/>
      <sheetName val="Order update 25"/>
      <sheetName val="Order update 27.12.19)"/>
      <sheetName val="Order update 10.01.20 "/>
      <sheetName val="Order update 17.01.20"/>
      <sheetName val="Dairy update 2 Dec"/>
      <sheetName val="Order update 24.01.20 (2)"/>
      <sheetName val="Order update 31.01.20 "/>
      <sheetName val="Order update 06.02.20 "/>
      <sheetName val="型式"/>
      <sheetName val="CAS_2007"/>
      <sheetName val="_B007"/>
      <sheetName val="Vehicle Number"/>
      <sheetName val="ETRS"/>
      <sheetName val="2 NOP"/>
      <sheetName val="1 NOP"/>
      <sheetName val="4 NOP"/>
      <sheetName val="Amortization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3">
          <cell r="A3">
            <v>8974647920</v>
          </cell>
        </row>
      </sheetData>
      <sheetData sheetId="80">
        <row r="3">
          <cell r="A3">
            <v>8974647920</v>
          </cell>
        </row>
      </sheetData>
      <sheetData sheetId="81">
        <row r="3">
          <cell r="A3">
            <v>8974647920</v>
          </cell>
        </row>
      </sheetData>
      <sheetData sheetId="82">
        <row r="3">
          <cell r="A3">
            <v>8974647920</v>
          </cell>
        </row>
      </sheetData>
      <sheetData sheetId="83">
        <row r="3">
          <cell r="A3">
            <v>8974647920</v>
          </cell>
        </row>
      </sheetData>
      <sheetData sheetId="84">
        <row r="3">
          <cell r="A3">
            <v>8974647920</v>
          </cell>
        </row>
      </sheetData>
      <sheetData sheetId="85">
        <row r="3">
          <cell r="A3">
            <v>8974647920</v>
          </cell>
        </row>
      </sheetData>
      <sheetData sheetId="86">
        <row r="3">
          <cell r="A3">
            <v>8974647920</v>
          </cell>
        </row>
      </sheetData>
      <sheetData sheetId="87">
        <row r="3">
          <cell r="A3">
            <v>8974647920</v>
          </cell>
        </row>
      </sheetData>
      <sheetData sheetId="88">
        <row r="3">
          <cell r="A3">
            <v>8974647920</v>
          </cell>
        </row>
      </sheetData>
      <sheetData sheetId="89">
        <row r="3">
          <cell r="A3">
            <v>8974647920</v>
          </cell>
        </row>
      </sheetData>
      <sheetData sheetId="90">
        <row r="3">
          <cell r="A3">
            <v>8974647920</v>
          </cell>
        </row>
      </sheetData>
      <sheetData sheetId="91" refreshError="1"/>
      <sheetData sheetId="92" refreshError="1"/>
      <sheetData sheetId="93" refreshError="1"/>
      <sheetData sheetId="94">
        <row r="3">
          <cell r="A3">
            <v>8974647920</v>
          </cell>
        </row>
      </sheetData>
      <sheetData sheetId="95"/>
      <sheetData sheetId="96" refreshError="1"/>
      <sheetData sheetId="97" refreshError="1"/>
      <sheetData sheetId="98">
        <row r="3">
          <cell r="A3">
            <v>8974647920</v>
          </cell>
        </row>
      </sheetData>
      <sheetData sheetId="99">
        <row r="3">
          <cell r="A3">
            <v>8974647920</v>
          </cell>
        </row>
      </sheetData>
      <sheetData sheetId="100">
        <row r="3">
          <cell r="A3">
            <v>8974647920</v>
          </cell>
        </row>
      </sheetData>
      <sheetData sheetId="101">
        <row r="3">
          <cell r="A3">
            <v>8974647920</v>
          </cell>
        </row>
      </sheetData>
      <sheetData sheetId="102">
        <row r="3">
          <cell r="A3">
            <v>8974647920</v>
          </cell>
        </row>
      </sheetData>
      <sheetData sheetId="103">
        <row r="3">
          <cell r="A3">
            <v>8974647920</v>
          </cell>
        </row>
      </sheetData>
      <sheetData sheetId="104">
        <row r="3">
          <cell r="A3">
            <v>8974647920</v>
          </cell>
        </row>
      </sheetData>
      <sheetData sheetId="105">
        <row r="3">
          <cell r="A3">
            <v>8974647920</v>
          </cell>
        </row>
      </sheetData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的"/>
      <sheetName val="概要"/>
      <sheetName val="DATA"/>
      <sheetName val="LOOKUP"/>
      <sheetName val="190BODY EMATRIX"/>
      <sheetName val="2TUP"/>
      <sheetName val="I190 Requirement _ CGO"/>
      <sheetName val="I190 Requirement _ NGR"/>
      <sheetName val="目的,概要"/>
      <sheetName val="TIRE読み替え表"/>
      <sheetName val="ENG油洩れ"/>
      <sheetName val="COST O.K."/>
      <sheetName val="計算結果"/>
      <sheetName val="Annual Production"/>
      <sheetName val="F2"/>
      <sheetName val="190BODY_EMATRIX"/>
      <sheetName val="346Proj日程991124"/>
      <sheetName val="項目別投資工数-P1"/>
      <sheetName val="Table"/>
      <sheetName val="TAC_DFMEA"/>
      <sheetName val="UPDATE FORECAST"/>
      <sheetName val="Forecast"/>
      <sheetName val="Sheet2"/>
      <sheetName val="Marginal'05-'08(Jul-Dec)"/>
      <sheetName val="DatadiskEE0304FULLDATAVERSION"/>
      <sheetName val="Comparision"/>
      <sheetName val=" IBPL0001"/>
      <sheetName val="添付１"/>
      <sheetName val="เติม"/>
      <sheetName val="Frontal"/>
      <sheetName val="Side &amp; Pole"/>
      <sheetName val="Calculations"/>
      <sheetName val="Whiplash"/>
      <sheetName val="LeafspringDetails"/>
      <sheetName val="Received"/>
      <sheetName val="Bearing Cap"/>
      <sheetName val="sheet1"/>
      <sheetName val="FCST"/>
      <sheetName val="Price 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合体"/>
      <sheetName val="Sheet5"/>
      <sheetName val="通期Vol9月SPI"/>
      <sheetName val="通期VOL期計画"/>
      <sheetName val="Table"/>
      <sheetName val="Table Master"/>
      <sheetName val="103期計画Vol"/>
      <sheetName val="Sheet4"/>
      <sheetName val="EPW 0630"/>
      <sheetName val="fs php june2010"/>
      <sheetName val="fs jpy june2010"/>
      <sheetName val="JUNE - ADJUSTED"/>
      <sheetName val="Karyawan"/>
      <sheetName val="Snp"/>
      <sheetName val="DATA"/>
      <sheetName val="Monthly1"/>
      <sheetName val="Monthly2"/>
      <sheetName val="original2"/>
      <sheetName val="original1"/>
      <sheetName val="I190 Requirement _ CGO"/>
      <sheetName val="I190 Requirement _ NGR"/>
      <sheetName val="2TUP"/>
      <sheetName val="RANK"/>
      <sheetName val="項目別投資工数-P1"/>
      <sheetName val="ELF"/>
      <sheetName val="Ref"/>
      <sheetName val="COST O.K."/>
      <sheetName val="6W"/>
      <sheetName val="6S"/>
      <sheetName val="P"/>
      <sheetName val="4H"/>
      <sheetName val="Table_Master"/>
      <sheetName val="EPW_0630"/>
      <sheetName val="fs_php_june2010"/>
      <sheetName val="fs_jpy_june2010"/>
      <sheetName val="JUNE_-_ADJUSTED"/>
      <sheetName val="00年9月"/>
      <sheetName val="入力シート"/>
      <sheetName val="GPE(ALL ITEM)"/>
      <sheetName val="TIRE読み替え表"/>
      <sheetName val="F2"/>
      <sheetName val="V0309SPI"/>
      <sheetName val="Sep"/>
      <sheetName val="LeafspringDetails"/>
      <sheetName val="Annual Production"/>
      <sheetName val="DatadiskEE0304FULLDATAVERSION"/>
      <sheetName val="99擭搙尨扨埵"/>
      <sheetName val="OD"/>
      <sheetName val="CASHFLOW"/>
      <sheetName val="K"/>
      <sheetName val="jpy source"/>
      <sheetName val="plastic"/>
      <sheetName val="_CONFIG-2"/>
      <sheetName val="駆動系1"/>
      <sheetName val="DATA01"/>
      <sheetName val="Schedule(detail)"/>
      <sheetName val="★VN12_フレーム重心TL_COPY"/>
      <sheetName val="SCH"/>
      <sheetName val="99年度原単位"/>
      <sheetName val="座面面圧計算表の使用方法"/>
      <sheetName val="IGI"/>
      <sheetName val="目標MAP_K3_MAP_TRG_MAX"/>
      <sheetName val="選酋表"/>
      <sheetName val="段ﾎﾞｰﾙ箱図番･荷姿ｺｰﾄﾞ"/>
      <sheetName val="条件表"/>
      <sheetName val="DATA FT"/>
      <sheetName val="DATA RAD"/>
      <sheetName val="RADIATOR"/>
      <sheetName val="C-PL5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NEW003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Table"/>
      <sheetName val="#REF!"/>
      <sheetName val="EPW 0630"/>
      <sheetName val="99年度原単位"/>
      <sheetName val="PJN"/>
      <sheetName val="EPW_0630"/>
      <sheetName val="ＳＤ以下６～７月業務"/>
      <sheetName val="駆動系1"/>
      <sheetName val="IGI"/>
      <sheetName val="2TUP"/>
      <sheetName val="SHARP"/>
      <sheetName val="金額"/>
      <sheetName val="DB"/>
      <sheetName val="MOTO"/>
      <sheetName val="Karyawan"/>
      <sheetName val="項目別投資工数-P1"/>
      <sheetName val="Snp"/>
      <sheetName val="DATA"/>
      <sheetName val="計算結果"/>
      <sheetName val="RANK"/>
      <sheetName val="Base de données"/>
      <sheetName val="入力シート"/>
      <sheetName val="残業計画"/>
      <sheetName val="ENG油洩れ"/>
      <sheetName val="COST O.K."/>
      <sheetName val="K"/>
      <sheetName val="190BODY EMATRIX"/>
      <sheetName val="PT"/>
      <sheetName val="Schedule(detail)"/>
      <sheetName val="選酋表"/>
      <sheetName val="KR282ﾚｼﾞﾝ"/>
      <sheetName val="振動の基礎(4)"/>
      <sheetName val="133NPR55 69 EC"/>
      <sheetName val="I190 Requirement _ CGO"/>
      <sheetName val="I190 Requirement _ NGR"/>
      <sheetName val="Annual Production"/>
      <sheetName val="99擭搙尨扨埵"/>
      <sheetName val="Menu"/>
      <sheetName val="LeafspringDetails"/>
      <sheetName val="_CONFIG-2"/>
      <sheetName val="在庫表"/>
      <sheetName val="COPY"/>
      <sheetName val="座面面圧計算表の使用方法"/>
      <sheetName val="TIRE読み替え表"/>
      <sheetName val="ADM0298"/>
      <sheetName val="IGINT10"/>
      <sheetName val="ELF"/>
      <sheetName val="list"/>
      <sheetName val="Table Master"/>
      <sheetName val="EPW_06301"/>
      <sheetName val="Base_de_données"/>
      <sheetName val="COST_O_K_"/>
      <sheetName val="190BODY_EMATRIX"/>
      <sheetName val="I190_Requirement___CGO"/>
      <sheetName val="I190_Requirement___NGR"/>
      <sheetName val="Annual_Production"/>
      <sheetName val="2"/>
      <sheetName val="QA"/>
      <sheetName val="main"/>
      <sheetName val="346Proj日程991124"/>
      <sheetName val="TBM"/>
      <sheetName val="DATA01"/>
      <sheetName val="1-A､B"/>
      <sheetName val="350CXZCO"/>
      <sheetName val="00年9月"/>
      <sheetName val="F2"/>
      <sheetName val="99Ⅰ機種別損益"/>
      <sheetName val="(読み込み専用) ＣＡＤ関係各部依頼進捗管理 の ﾜｰｸｼｰﾄ"/>
      <sheetName val="EPW_06302"/>
      <sheetName val="Base_de_données1"/>
      <sheetName val="COST_O_K_1"/>
      <sheetName val="190BODY_EMATRIX1"/>
      <sheetName val="I190_Requirement___CGO1"/>
      <sheetName val="I190_Requirement___NGR1"/>
      <sheetName val="Annual_Production1"/>
      <sheetName val="133NPR55_69_EC"/>
      <sheetName val="Table_Master"/>
      <sheetName val="EPW_06303"/>
      <sheetName val="Base_de_données2"/>
      <sheetName val="COST_O_K_2"/>
      <sheetName val="190BODY_EMATRIX2"/>
      <sheetName val="I190_Requirement___CGO2"/>
      <sheetName val="I190_Requirement___NGR2"/>
      <sheetName val="Annual_Production2"/>
      <sheetName val="133NPR55_69_EC1"/>
      <sheetName val="Table_Master1"/>
      <sheetName val="Annual Sales"/>
      <sheetName val="ＴＦ関連Ｐｒｊ日程表"/>
      <sheetName val="plastic"/>
      <sheetName val="第1期"/>
      <sheetName val="02MY"/>
      <sheetName val="150K-1"/>
      <sheetName val="150K-2"/>
      <sheetName val="180K投資"/>
      <sheetName val="①表紙"/>
      <sheetName val="品名"/>
      <sheetName val="STMspry"/>
      <sheetName val="PsychroData"/>
      <sheetName val="RMB86"/>
      <sheetName val="DatadiskEE0304FULLDATAVERS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NEW003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K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</sheetNames>
    <definedNames>
      <definedName name="Macro12"/>
      <definedName name="Macro13"/>
      <definedName name="Macro19"/>
      <definedName name="Macro21"/>
      <definedName name="Macro2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開発日程P.30"/>
      <sheetName val="名簿データ"/>
      <sheetName val="Sheet2"/>
      <sheetName val="stock monitoring"/>
      <sheetName val="開発日程控え"/>
      <sheetName val="Stabilizer_P"/>
      <sheetName val="Stabilizer_S"/>
      <sheetName val="#REF"/>
      <sheetName val="MC3(main)"/>
      <sheetName val="MC1"/>
      <sheetName val="EPW 0630"/>
      <sheetName val="資料_700部品点数設定"/>
      <sheetName val="開発日程P_30"/>
      <sheetName val="stock_monitoring"/>
      <sheetName val="EPW_0630"/>
      <sheetName val="開発日程控え.xls"/>
      <sheetName val="Table"/>
      <sheetName val="クライテリア"/>
      <sheetName val="ITEM"/>
      <sheetName val="MOTO"/>
      <sheetName val="Data"/>
      <sheetName val="OD"/>
      <sheetName val="05TA"/>
      <sheetName val="LIST"/>
      <sheetName val="Side &amp; Pole"/>
      <sheetName val="G Van - Price Build up"/>
      <sheetName val="Snp"/>
      <sheetName val="Sheet1 (2)"/>
      <sheetName val="CustomerVol"/>
      <sheetName val="CRP"/>
    </sheetNames>
    <definedNames>
      <definedName name="Macro24"/>
      <definedName name="Macro25"/>
      <definedName name="Macro26"/>
      <definedName name="Macro27"/>
      <definedName name="Macro28"/>
      <definedName name="Macro2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-1015 台数予測"/>
      <sheetName val="Table Master"/>
      <sheetName val="NEW003"/>
      <sheetName val="UPDATED UC"/>
      <sheetName val="EPW 0630"/>
      <sheetName val="2010-1015_台数予測"/>
      <sheetName val="Table_Master"/>
      <sheetName val="UPDATED_UC"/>
      <sheetName val="EPW_0630"/>
      <sheetName val="091211全需予測 IMCT殿提出用（2010－2015）"/>
      <sheetName val="名簿データ"/>
      <sheetName val="MOTO"/>
      <sheetName val="Table"/>
      <sheetName val="05TA"/>
      <sheetName val="RACK (CB)new"/>
      <sheetName val="New Order"/>
      <sheetName val="CM-SP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  <sheetName val="損益予算Mu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損益予算Muster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日程"/>
      <sheetName val="法規対応"/>
      <sheetName val="排ガス規制値"/>
      <sheetName val="ENG展開"/>
      <sheetName val="6H排ｶﾞｽ対応仕様一覧"/>
      <sheetName val="装置展開"/>
      <sheetName val="重要管理項目"/>
      <sheetName val="6H詳細日程"/>
      <sheetName val="4H詳細日程"/>
      <sheetName val="6H 主要装置変更概要"/>
      <sheetName val="4H 主要装置変更概要"/>
      <sheetName val="検討項目"/>
      <sheetName val="ﾄﾙｸ_出力_Pme"/>
      <sheetName val="Ff比較"/>
      <sheetName val="騒音"/>
      <sheetName val="Ｔ_MISSION展開"/>
      <sheetName val="燃費比較"/>
      <sheetName val="ECU関連"/>
      <sheetName val="I.0変更概要"/>
      <sheetName val="エレキ部品"/>
      <sheetName val="車両組付部品"/>
      <sheetName val="部品詳細"/>
      <sheetName val="車両へ要求"/>
      <sheetName val="性能実験要望"/>
      <sheetName val="法規制対応"/>
      <sheetName val="031124メモ"/>
      <sheetName val="ENG油洩れ"/>
      <sheetName val="Sheet1"/>
      <sheetName val="6H_主要装置変更概要"/>
      <sheetName val="4H_主要装置変更概要"/>
      <sheetName val="I_0変更概要"/>
      <sheetName val="700P 6HK1TC規制対応仕様まとめ(031124)"/>
      <sheetName val="24204"/>
      <sheetName val="#REF"/>
      <sheetName val="#REF!"/>
      <sheetName val="ＦＴＲ連結採算"/>
      <sheetName val="96期(川崎)"/>
      <sheetName val="ITEM"/>
      <sheetName val="見本２"/>
      <sheetName val="コード表"/>
      <sheetName val="Unit Price"/>
      <sheetName val="生産台数内訳"/>
      <sheetName val="クライテリア"/>
      <sheetName val="(原単位)"/>
      <sheetName val="第1期投資実績"/>
      <sheetName val="02MY投資実績"/>
      <sheetName val="150K-1投資"/>
      <sheetName val="150K-2投資"/>
      <sheetName val="ＴＦ関連Ｐｒｊ日程表"/>
      <sheetName val="日程表 3X"/>
      <sheetName val="6H_主要装置変更概要1"/>
      <sheetName val="4H_主要装置変更概要1"/>
      <sheetName val="I_0変更概要1"/>
      <sheetName val="700P_6HK1TC規制対応仕様まとめ(031124)"/>
      <sheetName val="Unit_Price"/>
      <sheetName val="Defects"/>
      <sheetName val="Production Database 399"/>
      <sheetName val="第1期"/>
      <sheetName val="Supplier Addresses"/>
      <sheetName val="SPEC LIST"/>
      <sheetName val="Main Model"/>
      <sheetName val="total change&amp;add"/>
      <sheetName val="資料_700部品点数設定"/>
      <sheetName val="G Van - Price Build up"/>
      <sheetName val="calculate"/>
      <sheetName val="Fiel List"/>
      <sheetName val="名簿データ"/>
      <sheetName val="Table"/>
      <sheetName val="EPW 0630"/>
      <sheetName val="Annual Production"/>
      <sheetName val="DATA"/>
      <sheetName val="NEW003"/>
      <sheetName val="COST O.K."/>
      <sheetName val="Km"/>
      <sheetName val="NCAB"/>
      <sheetName val="Table Master"/>
      <sheetName val="COST"/>
      <sheetName val="投資ﾘｽﾄ"/>
      <sheetName val="本船スケジュール"/>
      <sheetName val="作業要素"/>
      <sheetName val="ELF"/>
      <sheetName val="New DYNA"/>
      <sheetName val="C3_N DC改造投資"/>
      <sheetName val="ﾏﾙC改造投資詳細"/>
      <sheetName val="ISO_250"/>
      <sheetName val="結果"/>
      <sheetName val="_B007"/>
      <sheetName val="集計条件"/>
      <sheetName val="104-Ⅰ計画"/>
      <sheetName val="工数比較２"/>
      <sheetName val="原単位"/>
      <sheetName val="Ref"/>
      <sheetName val="Control fml"/>
      <sheetName val="output"/>
      <sheetName val="02MY"/>
      <sheetName val="150K-1"/>
      <sheetName val="150K-2"/>
      <sheetName val="180K投資"/>
      <sheetName val="Jan'14"/>
      <sheetName val="洩れ"/>
      <sheetName val="190BODY EMATRIX"/>
      <sheetName val="HärQ"/>
      <sheetName val="#ofclose"/>
      <sheetName val="KDKEN-3819 (THB)"/>
      <sheetName val="__ PLASTIC UP_TPIA "/>
      <sheetName val="LeafspringDetails"/>
      <sheetName val="ﾊﾟｲﾌﾟ"/>
      <sheetName val="冷延鋼板"/>
      <sheetName val="原価表"/>
      <sheetName val="基礎ﾃﾞｰﾀ"/>
      <sheetName val="Orig Study for PPAP"/>
      <sheetName val="他材料費"/>
      <sheetName val="熱延鋼板"/>
      <sheetName val="IMV640A DT"/>
      <sheetName val="駆動力（入力シート）"/>
      <sheetName val="日程"/>
      <sheetName val="進め方"/>
      <sheetName val="計算結果"/>
      <sheetName val="ｴｱﾃﾞｨｽｸ"/>
      <sheetName val="AS-68"/>
      <sheetName val="ピッチ表"/>
      <sheetName val="社内検査データ"/>
      <sheetName val="マスター"/>
      <sheetName val="0409"/>
      <sheetName val="150K_1"/>
      <sheetName val="150K_2"/>
      <sheetName val="MOD"/>
      <sheetName val="ADM"/>
      <sheetName val="課題一覧"/>
      <sheetName val="驗証來源"/>
      <sheetName val="可動時間"/>
      <sheetName val="可動時間2"/>
      <sheetName val="稼働日"/>
      <sheetName val="各部寸検結果"/>
      <sheetName val="UPG表"/>
      <sheetName val="量産準備実施依頼書"/>
      <sheetName val="仕入先"/>
      <sheetName val="99･00"/>
      <sheetName val="分類"/>
      <sheetName val="国ｺｰﾄﾞ"/>
      <sheetName val="選酋表"/>
      <sheetName val="1-A､B"/>
      <sheetName val="A2 990"/>
      <sheetName val="00-1"/>
      <sheetName val="Local-Aug"/>
      <sheetName val="10"/>
      <sheetName val="基本情報"/>
      <sheetName val="ｼｽﾃﾑ使用料ｼﾐｭﾚｰｼｮﾝ (2)"/>
      <sheetName val="金額"/>
      <sheetName val="３発デ－タ"/>
      <sheetName val="6H_主要装置変更概要2"/>
      <sheetName val="4H_主要装置変更概要2"/>
      <sheetName val="I_0変更概要2"/>
      <sheetName val="700P_6HK1TC規制対応仕様まとめ(031124)1"/>
      <sheetName val="Unit_Price1"/>
      <sheetName val="日程表_3X"/>
      <sheetName val="Production_Database_399"/>
      <sheetName val="Supplier_Addresses"/>
      <sheetName val="SPEC_LIST"/>
      <sheetName val="Main_Model"/>
      <sheetName val="total_change&amp;add"/>
      <sheetName val="G_Van_-_Price_Build_up"/>
      <sheetName val="Fiel_List"/>
      <sheetName val="EPW_0630"/>
      <sheetName val="Annual_Production"/>
      <sheetName val="COST_O_K_"/>
      <sheetName val="Table_Master"/>
      <sheetName val="New_DYNA"/>
      <sheetName val="C3_N_DC改造投資"/>
      <sheetName val="Control_fml"/>
      <sheetName val="190BODY_EMATRIX"/>
      <sheetName val="KDKEN-3819_(THB)"/>
      <sheetName val="___PLASTIC_UP_TPIA_"/>
      <sheetName val="Orig_Study_for_PPAP"/>
      <sheetName val="設定一覧"/>
      <sheetName val="見積書"/>
      <sheetName val="部門課題"/>
      <sheetName val="出荷計画"/>
      <sheetName val="為替前提"/>
      <sheetName val="台帳集計"/>
      <sheetName val="職種別原価"/>
      <sheetName val="資本ｺｽﾄ"/>
      <sheetName val="PT-1"/>
      <sheetName val="仕上１"/>
      <sheetName val="品名"/>
      <sheetName val="02年4月の場合"/>
      <sheetName val="メニュー"/>
      <sheetName val="Rate"/>
      <sheetName val="H””ärQ"/>
      <sheetName val="持分率"/>
      <sheetName val="MC3(main)"/>
      <sheetName val="MC1"/>
      <sheetName val="CHRTACCT"/>
      <sheetName val="設計通知"/>
      <sheetName val="Sheet2 (3)"/>
      <sheetName val="ABS_SUMMARY"/>
      <sheetName val="MPL 技連"/>
      <sheetName val="342E BLOCK"/>
      <sheetName val="基準日および期間"/>
      <sheetName val="350CXZCO"/>
      <sheetName val="耐久進捗data"/>
      <sheetName val="4JB1-T1"/>
      <sheetName val="NE比較"/>
      <sheetName val="噴射系"/>
      <sheetName val="2005"/>
      <sheetName val="133NPR55 69 EC"/>
      <sheetName val="030718"/>
      <sheetName val="6H HSG原価"/>
      <sheetName val="栃木HSG原価"/>
      <sheetName val="対策集計結果"/>
      <sheetName val="6H_主要装置変更概要3"/>
      <sheetName val="4H_主要装置変更概要3"/>
      <sheetName val="I_0変更概要3"/>
      <sheetName val="700P_6HK1TC規制対応仕様まとめ(031124)2"/>
      <sheetName val="Unit_Price2"/>
      <sheetName val="日程表_3X1"/>
      <sheetName val="Supplier_Addresses1"/>
      <sheetName val="SPEC_LIST1"/>
      <sheetName val="Main_Model1"/>
      <sheetName val="total_change&amp;add1"/>
      <sheetName val="Production_Database_3991"/>
      <sheetName val="G_Van_-_Price_Build_up1"/>
      <sheetName val="Fiel_List1"/>
      <sheetName val="EPW_06301"/>
      <sheetName val="Annual_Production1"/>
      <sheetName val="COST_O_K_1"/>
      <sheetName val="Table_Master1"/>
      <sheetName val="New_DYNA1"/>
      <sheetName val="C3_N_DC改造投資1"/>
      <sheetName val="Control_fml1"/>
      <sheetName val="190BODY_EMATRIX1"/>
      <sheetName val="KDKEN-3819_(THB)1"/>
      <sheetName val="___PLASTIC_UP_TPIA_1"/>
      <sheetName val="Orig_Study_for_PPAP1"/>
      <sheetName val="IMV640A_DT"/>
      <sheetName val="A2_990"/>
      <sheetName val="ｼｽﾃﾑ使用料ｼﾐｭﾚｰｼｮﾝ_(2)"/>
      <sheetName val="ｺｰﾄﾞ変換"/>
      <sheetName val="PRE_BUDGET REPORT_2012"/>
      <sheetName val="内製樹脂"/>
      <sheetName val="#ofclose .xl"/>
      <sheetName val="T4-C_CAB"/>
      <sheetName val="CalDepre"/>
      <sheetName val=" % PLASTIC UP_TPIA "/>
      <sheetName val="WYVAL Output - Current Val "/>
      <sheetName val="軽戦略YOSHIMA"/>
      <sheetName val="BELT検討"/>
      <sheetName val="TB3川崎"/>
      <sheetName val="Supp.List"/>
      <sheetName val="加工費"/>
      <sheetName val="先頭画面"/>
      <sheetName val="原反"/>
      <sheetName val="塗料接着剤"/>
      <sheetName val="樹脂材料"/>
      <sheetName val="要具費"/>
      <sheetName val="購入部品費"/>
      <sheetName val="購買先"/>
      <sheetName val="stabilizer_S"/>
      <sheetName val="SGM 1-005"/>
      <sheetName val="RACK (CB)new"/>
      <sheetName val="Sale-TCL"/>
      <sheetName val="Detail-Sep"/>
      <sheetName val="名簿ﾃﾞｰﾀ"/>
      <sheetName val="ワークシート"/>
      <sheetName val="R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第1期"/>
      <sheetName val="02MY"/>
      <sheetName val="150K-1"/>
      <sheetName val="150K-2"/>
      <sheetName val="180K投資"/>
      <sheetName val="96期(川崎)"/>
      <sheetName val="集計条件"/>
      <sheetName val="第1期投資実績"/>
      <sheetName val="02MY投資実績"/>
      <sheetName val="150K-1投資"/>
      <sheetName val="150K-2投資"/>
      <sheetName val="96_97研究費_全体"/>
      <sheetName val="LR・LTｸﾚｰﾑ分析"/>
      <sheetName val="ＴＦ関連Ｐｒｊ日程表"/>
      <sheetName val="ITEM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00年9月"/>
      <sheetName val="資本ｺｽﾄ"/>
      <sheetName val="Defects"/>
      <sheetName val="SPEC LIST"/>
      <sheetName val="24204"/>
      <sheetName val="Unit Price"/>
      <sheetName val="生産台数内訳"/>
      <sheetName val="クライテリア"/>
      <sheetName val="資料_700部品点数設定"/>
      <sheetName val="ISO_250"/>
      <sheetName val="NC-3 dAY"/>
      <sheetName val="原単位"/>
      <sheetName val="成形場所"/>
      <sheetName val="Production Database 399"/>
      <sheetName val="Ref"/>
      <sheetName val="ｴｱﾃﾞｨｽｸ"/>
      <sheetName val="BELT検討"/>
      <sheetName val="推移用データ"/>
      <sheetName val="対策集計結果"/>
      <sheetName val="シャープアイ実績"/>
      <sheetName val="マスター"/>
      <sheetName val="社暦"/>
      <sheetName val="total change&amp;add"/>
      <sheetName val="calculate"/>
      <sheetName val="HärQ"/>
      <sheetName val="工数比較２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選酋表"/>
      <sheetName val="PnL_BUD06"/>
      <sheetName val="PnL_2006 LE"/>
      <sheetName val="FixedAsset05&amp;06"/>
      <sheetName val="Cover"/>
      <sheetName val="Master Route"/>
      <sheetName val="DATA"/>
      <sheetName val="Sheet1"/>
      <sheetName val="Sheet2"/>
      <sheetName val="Sheet3"/>
      <sheetName val="各部寸検結果"/>
      <sheetName val="A"/>
      <sheetName val="00-1"/>
      <sheetName val="Sheet1 (2)"/>
      <sheetName val="FUKUMI"/>
      <sheetName val="(原単位)"/>
      <sheetName val="[LR・LTｸﾚｰﾑ分析.xls塅䕃⹌塅Et1 (2)"/>
      <sheetName val="日付"/>
      <sheetName val="基本情報ｄｂ"/>
      <sheetName val="財務諸表"/>
      <sheetName val="Sheet1_(2)"/>
      <sheetName val="Unit_Price"/>
      <sheetName val="名簿データ"/>
      <sheetName val="Table"/>
      <sheetName val="日程表 3X"/>
      <sheetName val="複合-日計算"/>
      <sheetName val="SW評価項目"/>
      <sheetName val="計算結果"/>
      <sheetName val="DATA計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社内検査データ"/>
      <sheetName val="量産準備実施依頼書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車両寸法"/>
      <sheetName val="灯火器寸法"/>
      <sheetName val="133NPR55 69 EC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FB sepa S2"/>
      <sheetName val="R&amp;D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駆動系1"/>
      <sheetName val="_B007"/>
      <sheetName val="346Proj日程991124"/>
      <sheetName val="part list ext crew"/>
      <sheetName val="Years_Input"/>
      <sheetName val="制動力線計算入力"/>
      <sheetName val="A2 990"/>
      <sheetName val="A-K研車型"/>
      <sheetName val="ﾏﾙC改造投資詳細"/>
      <sheetName val="金額"/>
      <sheetName val="DB"/>
      <sheetName val="SMALL"/>
      <sheetName val="A010"/>
      <sheetName val="#20号車排ガス"/>
      <sheetName val="DOM-競合車SPEC"/>
      <sheetName val="SUM"/>
      <sheetName val="G Van - Price Build up"/>
      <sheetName val="Injection Foam (4)"/>
      <sheetName val="MENU"/>
      <sheetName val="PL"/>
      <sheetName val="EPW 0630"/>
      <sheetName val="input"/>
      <sheetName val="ﾃﾞｰﾀ"/>
      <sheetName val="WJ素材費"/>
      <sheetName val="190BODY EMATRIX"/>
      <sheetName val="分類"/>
      <sheetName val="駆動力（入力シート）"/>
      <sheetName val="700vol"/>
      <sheetName val="Annual Production"/>
      <sheetName val="市販品"/>
      <sheetName val="特注品"/>
      <sheetName val="030718"/>
      <sheetName val="出荷車型"/>
      <sheetName val="TIRE読み替え表"/>
      <sheetName val="MPL_技連1"/>
      <sheetName val="342E_BLOCK1"/>
      <sheetName val="SPEC_LIST"/>
      <sheetName val="Unit_Price2"/>
      <sheetName val="NC-3_dAY"/>
      <sheetName val="Production_Database_3991"/>
      <sheetName val="total_change&amp;add"/>
      <sheetName val="BP_volume_(2)"/>
      <sheetName val="BP_volume"/>
      <sheetName val="20kb_CR"/>
      <sheetName val="summary_(BP_ISZJ_Mar'12)"/>
      <sheetName val="PnL_2006_LE"/>
      <sheetName val="Master_Route"/>
      <sheetName val="Sheet1_(2)2"/>
      <sheetName val="[LR・LTｸﾚｰﾑ分析_xls塅䕃⹌塅Et1_(2)1"/>
      <sheetName val="日程表_3X"/>
      <sheetName val="Page_3_(Samrong_UA)"/>
      <sheetName val="Page_4_(Gateway-TF)"/>
      <sheetName val="P_1"/>
      <sheetName val="200P_SHEET"/>
      <sheetName val="Table_Master"/>
      <sheetName val="_LR・LTｸﾚｰﾑ分析_xls塅䕃⹌塅Et1_(2)1"/>
      <sheetName val="342A_Block"/>
      <sheetName val="133NPR55_69_EC"/>
      <sheetName val="Distance_Master"/>
      <sheetName val="Driver_Master"/>
      <sheetName val="Truck_Master"/>
      <sheetName val="Allowance_Master"/>
      <sheetName val="Car_Input"/>
      <sheetName val="〈参考〉_P_7_シフトINディテント力"/>
      <sheetName val="FB_sepa_S2"/>
      <sheetName val="TT_(13)"/>
      <sheetName val="Ass'y-A_(Day)"/>
      <sheetName val="part_list_ext_crew"/>
      <sheetName val="A2_990"/>
      <sheetName val="G_Van_-_Price_Build_up"/>
      <sheetName val="Injection_Foam_(4)"/>
      <sheetName val="EPW_0630"/>
      <sheetName val="価格一覧"/>
      <sheetName val="ﾍﾞﾝﾁ"/>
      <sheetName val="洩れ"/>
      <sheetName val="グループDB"/>
      <sheetName val="WG_00"/>
      <sheetName val="2000_ALL"/>
      <sheetName val="SUS_00"/>
      <sheetName val="Pick up"/>
      <sheetName val="Result"/>
      <sheetName val="2005"/>
      <sheetName val="プロジェクトステータス　4J(ELF)"/>
      <sheetName val="T"/>
      <sheetName val="MOTO"/>
      <sheetName val="Annual Sales"/>
      <sheetName val="実車評価ＥＤ"/>
      <sheetName val="②-6菅原B第2解析パレート図"/>
      <sheetName val="車会集約"/>
      <sheetName val="クエリ2"/>
      <sheetName val="星取り"/>
      <sheetName val="変更項目・評価内容"/>
      <sheetName val="耐久進捗data"/>
      <sheetName val="全社"/>
      <sheetName val="_CONFIG-2"/>
      <sheetName val="PROD-TF"/>
      <sheetName val="Input-B2006wk"/>
      <sheetName val="Index"/>
      <sheetName val="1. Prod. (BG  TG   AC) 2016"/>
      <sheetName val="Compare Budget &amp; Actual Order"/>
      <sheetName val="The Rule"/>
      <sheetName val="ﾟ発表No 1"/>
      <sheetName val="市場品質状況レポート"/>
      <sheetName val="HX121-T"/>
      <sheetName val="新コード"/>
      <sheetName val="ｺｰﾄﾞ表"/>
      <sheetName val="R GRILLE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座面面圧計算表の使用方法"/>
      <sheetName val="Control fml"/>
      <sheetName val="CRITERIA1"/>
      <sheetName val="PPA -  โรงงาน JIG"/>
      <sheetName val="ヘム型タイプ標準計画金額表"/>
      <sheetName val="取引先格付"/>
      <sheetName val="案"/>
      <sheetName val="10"/>
      <sheetName val="114W2次設変部品確認（組立） (3)"/>
      <sheetName val="เดือน ธ.ค.61    (2)"/>
      <sheetName val="運用CT_クエリ_クエリ"/>
      <sheetName val="DATA NILAI TEST BATCH 1"/>
      <sheetName val="RWP 33"/>
      <sheetName val="G&amp;A"/>
      <sheetName val="U00"/>
      <sheetName val="COMMON 2"/>
      <sheetName val="選択肢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台帳_クエリ"/>
      <sheetName val="ﾘｽﾄ"/>
      <sheetName val="重量表コピー"/>
      <sheetName val="GRAFIK CYB 270"/>
      <sheetName val="H””ärQ"/>
      <sheetName val="見積依頼書(日文)"/>
      <sheetName val="MPL_技連2"/>
      <sheetName val="342E_BLOCK2"/>
      <sheetName val="SPEC_LIST1"/>
      <sheetName val="Unit_Price3"/>
      <sheetName val="NC-3_dAY1"/>
      <sheetName val="Production_Database_3992"/>
      <sheetName val="total_change&amp;add1"/>
      <sheetName val="BP_volume_(2)1"/>
      <sheetName val="BP_volume1"/>
      <sheetName val="20kb_CR1"/>
      <sheetName val="summary_(BP_ISZJ_Mar'12)1"/>
      <sheetName val="PnL_2006_LE1"/>
      <sheetName val="Master_Route1"/>
      <sheetName val="Sheet1_(2)3"/>
      <sheetName val="[LR・LTｸﾚｰﾑ分析_xls塅䕃⹌塅Et1_(2)2"/>
      <sheetName val="日程表_3X1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133NPR55_69_EC1"/>
      <sheetName val="Distance_Master1"/>
      <sheetName val="Driver_Master1"/>
      <sheetName val="Truck_Master1"/>
      <sheetName val="Allowance_Master1"/>
      <sheetName val="Car_Input1"/>
      <sheetName val="〈参考〉_P_7_シフトINディテント力1"/>
      <sheetName val="FB_sepa_S21"/>
      <sheetName val="TT_(13)1"/>
      <sheetName val="Ass'y-A_(Day)1"/>
      <sheetName val="part_list_ext_crew1"/>
      <sheetName val="A2_9901"/>
      <sheetName val="G_Van_-_Price_Build_up1"/>
      <sheetName val="Injection_Foam_(4)1"/>
      <sheetName val="EPW_06301"/>
      <sheetName val="190BODY_EMATRIX"/>
      <sheetName val="Annual_Production"/>
      <sheetName val="Pick_up1"/>
      <sheetName val="Annual_Sales"/>
      <sheetName val="PPA_-__โรงงาน_JIG"/>
      <sheetName val="1__Prod__(BG__TG___AC)_20161"/>
      <sheetName val="Compare_Budget_&amp;_Actual_Order1"/>
      <sheetName val="The_Rule"/>
      <sheetName val="ﾟ発表No_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Side_&amp;_Pole"/>
      <sheetName val="27_進捗管理"/>
      <sheetName val="Control_fml"/>
      <sheetName val="RWP_33"/>
      <sheetName val="DATA_NILAI_TEST_BATCH_1"/>
      <sheetName val="114W2次設変部品確認（組立）_(3)"/>
      <sheetName val="COMMON_2"/>
      <sheetName val="Draft_Vehicle_Format"/>
      <sheetName val="Type_I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Data Validation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ｺｰﾄﾞ"/>
      <sheetName val="償却率"/>
      <sheetName val="ﾄﾞﾛｯﾌﾟﾀﾞｳﾝLIST"/>
      <sheetName val=""/>
      <sheetName val="TABLE(LINE CODE)"/>
      <sheetName val="n_EngineShift"/>
      <sheetName val="1771"/>
      <sheetName val="1771.2"/>
      <sheetName val="生涯利益計画ｼｰﾄ"/>
      <sheetName val="H””äŠr‚Q"/>
      <sheetName val="MAKER LIST &amp; Rate Change"/>
      <sheetName val="メーカー検索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ﾟ発表No_11"/>
      <sheetName val="R_GRILLE1"/>
      <sheetName val="データシート(定地)_(2)1"/>
      <sheetName val="2-A､B_3-A1"/>
      <sheetName val="C3_N_DC改造投資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Data_Validation"/>
      <sheetName val="Main_Model"/>
      <sheetName val="HOLE-UNIT_TEMP"/>
      <sheetName val="TABLE(LINE_CODE)"/>
      <sheetName val="1771_2"/>
      <sheetName val="MAKER_LIST_&amp;_Rate_Change"/>
      <sheetName val="Summary Plant"/>
      <sheetName val="工程表"/>
      <sheetName val="受入新仕入先"/>
      <sheetName val="03年全部"/>
      <sheetName val="#REF!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TO2-B43#FCPA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0409"/>
      <sheetName val="Bracket 0M011,13"/>
      <sheetName val="購買担当"/>
      <sheetName val="投資ﾘｽﾄ"/>
      <sheetName val="LeafspringDetails"/>
      <sheetName val="output"/>
      <sheetName val="発行表"/>
      <sheetName val="__ PLASTIC UP_TPIA "/>
      <sheetName val="PRE_BUDGET REPORT_2012"/>
      <sheetName val="項目定義"/>
      <sheetName val="MPL_技連4"/>
      <sheetName val="342E_BLOCK4"/>
      <sheetName val="SPEC_LIST3"/>
      <sheetName val="Unit_Price5"/>
      <sheetName val="NC-3_dAY3"/>
      <sheetName val="Production_Database_3994"/>
      <sheetName val="total_change&amp;add3"/>
      <sheetName val="BP_volume_(2)3"/>
      <sheetName val="BP_volume3"/>
      <sheetName val="20kb_CR3"/>
      <sheetName val="summary_(BP_ISZJ_Mar'12)3"/>
      <sheetName val="PnL_2006_LE3"/>
      <sheetName val="Master_Route3"/>
      <sheetName val="Sheet1_(2)5"/>
      <sheetName val="[LR・LTｸﾚｰﾑ分析_xls塅䕃⹌塅Et1_(2)4"/>
      <sheetName val="日程表_3X3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133NPR55_69_EC3"/>
      <sheetName val="Distance_Master3"/>
      <sheetName val="Driver_Master3"/>
      <sheetName val="Truck_Master3"/>
      <sheetName val="Allowance_Master3"/>
      <sheetName val="Car_Input3"/>
      <sheetName val="〈参考〉_P_7_シフトINディテント力3"/>
      <sheetName val="FB_sepa_S23"/>
      <sheetName val="TT_(13)3"/>
      <sheetName val="Ass'y-A_(Day)3"/>
      <sheetName val="part_list_ext_crew3"/>
      <sheetName val="A2_9903"/>
      <sheetName val="G_Van_-_Price_Build_up3"/>
      <sheetName val="Injection_Foam_(4)3"/>
      <sheetName val="EPW_06303"/>
      <sheetName val="190BODY_EMATRIX2"/>
      <sheetName val="Annual_Production2"/>
      <sheetName val="Pick_up3"/>
      <sheetName val="Annual_Sales2"/>
      <sheetName val="1__Prod__(BG__TG___AC)_20163"/>
      <sheetName val="Compare_Budget_&amp;_Actual_Order3"/>
      <sheetName val="The_Rule2"/>
      <sheetName val="ﾟ発表No_12"/>
      <sheetName val="R_GRILLE2"/>
      <sheetName val="データシート(定地)_(2)2"/>
      <sheetName val="2-A､B_3-A2"/>
      <sheetName val="C3_N_DC改造投資2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Side_&amp;_Pole2"/>
      <sheetName val="27_進捗管理2"/>
      <sheetName val="Control_fml2"/>
      <sheetName val="PPA_-__โรงงาน_JIG2"/>
      <sheetName val="114W2次設変部品確認（組立）_(3)2"/>
      <sheetName val="เดือน_ธ_ค_61____(2)"/>
      <sheetName val="DATA_NILAI_TEST_BATCH_12"/>
      <sheetName val="RWP_332"/>
      <sheetName val="COMMON_22"/>
      <sheetName val="Draft_Vehicle_Format2"/>
      <sheetName val="Type_I2"/>
      <sheetName val="GRAFIK_CYB_270"/>
      <sheetName val="ocean_voyage1"/>
      <sheetName val="11_CPU単価1"/>
      <sheetName val="08_P772報告書0305301"/>
      <sheetName val="_CV_ALL1"/>
      <sheetName val="TF_;_C-191"/>
      <sheetName val="Time_study1"/>
      <sheetName val="FUEL_FILLER2"/>
      <sheetName val="Data_Validation1"/>
      <sheetName val="Main_Model1"/>
      <sheetName val="HOLE-UNIT_TEMP1"/>
      <sheetName val="TABLE(LINE_CODE)1"/>
      <sheetName val="1771_21"/>
      <sheetName val="MAKER_LIST_&amp;_Rate_Change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Summary_Plant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XREF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Вхідна"/>
      <sheetName val="Реалізація"/>
      <sheetName val="マクロバランス表"/>
      <sheetName val="定義"/>
      <sheetName val="WCAP Phasing"/>
      <sheetName val="Fiel List"/>
      <sheetName val="Test Data"/>
      <sheetName val="ABS_SUMMARY"/>
      <sheetName val="Sub Acc"/>
      <sheetName val="___PLASTIC_UP_TPIA_"/>
      <sheetName val="PRE_BUDGET_REPORT_2012"/>
      <sheetName val="Sub_Acc"/>
      <sheetName val="IMV640A DT"/>
      <sheetName val="他データ"/>
      <sheetName val="設定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 refreshError="1"/>
      <sheetData sheetId="8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持ち資料-2"/>
      <sheetName val="ENG油洩れ"/>
      <sheetName val="目次"/>
      <sheetName val="まとめ"/>
      <sheetName val="不具合写真"/>
      <sheetName val="ｴｷﾏﾆ歪"/>
      <sheetName val="全負荷"/>
      <sheetName val="ギャップ"/>
      <sheetName val="初期LOC"/>
      <sheetName val="オイル補給"/>
      <sheetName val="まずはここから"/>
      <sheetName val="3600"/>
      <sheetName val="Graph3600"/>
      <sheetName val="1600"/>
      <sheetName val="Graph1600"/>
      <sheetName val="Graph1"/>
      <sheetName val="BUT-030"/>
      <sheetName val="ＴＦ関連Ｐｒｊ日程表"/>
      <sheetName val="00-1"/>
      <sheetName val="#REF"/>
      <sheetName val="結果"/>
      <sheetName val="Defects"/>
      <sheetName val="(原単位)"/>
      <sheetName val="第1期"/>
      <sheetName val="02MY"/>
      <sheetName val="150K-1"/>
      <sheetName val="150K-2"/>
      <sheetName val="180K投資"/>
      <sheetName val="#REF!"/>
      <sheetName val="96期(川崎)"/>
      <sheetName val="Production Database 399"/>
      <sheetName val="集計条件"/>
      <sheetName val="NC-3 dAY"/>
      <sheetName val="成形場所"/>
      <sheetName val="010126 TIS MTG（手持ち）"/>
      <sheetName val="1-C,D"/>
      <sheetName val="着座衝撃力(IN)"/>
      <sheetName val="main"/>
      <sheetName val="#ofclose"/>
      <sheetName val="#ofclose .xl"/>
      <sheetName val="Sheet2"/>
      <sheetName val="入力シート"/>
      <sheetName val="Ref"/>
      <sheetName val="初期値"/>
      <sheetName val="Annual Production"/>
      <sheetName val="List"/>
      <sheetName val="CalDepre"/>
      <sheetName val="他データ"/>
      <sheetName val="Table Master"/>
      <sheetName val="Sheet1"/>
      <sheetName val="スコアカード (2)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>
    <tabColor rgb="FF00B050"/>
    <pageSetUpPr fitToPage="1"/>
  </sheetPr>
  <dimension ref="A1:V142"/>
  <sheetViews>
    <sheetView showGridLines="0" zoomScale="70" zoomScaleNormal="70" zoomScaleSheetLayoutView="70" workbookViewId="0">
      <pane ySplit="3" topLeftCell="A4" activePane="bottomLeft" state="frozen"/>
      <selection pane="bottomLeft" activeCell="F37" sqref="F37"/>
    </sheetView>
  </sheetViews>
  <sheetFormatPr defaultColWidth="8.88671875" defaultRowHeight="15"/>
  <cols>
    <col min="1" max="1" width="3.21875" style="1" customWidth="1"/>
    <col min="2" max="5" width="8.6640625" style="1" customWidth="1"/>
    <col min="6" max="18" width="9.77734375" style="1" customWidth="1"/>
    <col min="19" max="16384" width="8.88671875" style="1"/>
  </cols>
  <sheetData>
    <row r="1" spans="1:22" ht="31.5" customHeight="1">
      <c r="A1" s="28" t="s">
        <v>621</v>
      </c>
      <c r="B1" s="72" t="s">
        <v>778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22" ht="29.25" customHeight="1">
      <c r="A2" s="28">
        <v>20</v>
      </c>
    </row>
    <row r="3" spans="1:22" ht="102.75" customHeight="1">
      <c r="B3" s="73" t="s">
        <v>620</v>
      </c>
      <c r="C3" s="73"/>
      <c r="D3" s="73"/>
      <c r="E3" s="73"/>
      <c r="F3" s="35" t="s">
        <v>713</v>
      </c>
      <c r="G3" s="35" t="s">
        <v>725</v>
      </c>
      <c r="H3" s="35" t="s">
        <v>722</v>
      </c>
      <c r="I3" s="48" t="s">
        <v>776</v>
      </c>
      <c r="J3" s="35" t="s">
        <v>714</v>
      </c>
      <c r="K3" s="48" t="s">
        <v>779</v>
      </c>
      <c r="L3" s="35" t="s">
        <v>721</v>
      </c>
      <c r="M3" s="35" t="s">
        <v>571</v>
      </c>
      <c r="N3" s="35" t="s">
        <v>570</v>
      </c>
      <c r="O3" s="35" t="s">
        <v>569</v>
      </c>
      <c r="P3" s="35" t="s">
        <v>723</v>
      </c>
      <c r="Q3" s="35" t="s">
        <v>724</v>
      </c>
      <c r="R3" s="35" t="s">
        <v>572</v>
      </c>
    </row>
    <row r="4" spans="1:22">
      <c r="B4" s="14" t="s">
        <v>573</v>
      </c>
      <c r="C4" s="15"/>
      <c r="D4" s="15"/>
      <c r="E4" s="16"/>
      <c r="F4" s="17">
        <v>23</v>
      </c>
      <c r="G4" s="17">
        <v>23</v>
      </c>
      <c r="H4" s="17">
        <v>23</v>
      </c>
      <c r="I4" s="17">
        <v>23</v>
      </c>
      <c r="J4" s="17">
        <v>23</v>
      </c>
      <c r="K4" s="17">
        <v>23</v>
      </c>
      <c r="L4" s="17">
        <v>23</v>
      </c>
      <c r="M4" s="17">
        <v>23</v>
      </c>
      <c r="N4" s="17">
        <v>23</v>
      </c>
      <c r="O4" s="17">
        <v>23</v>
      </c>
      <c r="P4" s="17">
        <v>23</v>
      </c>
      <c r="Q4" s="17">
        <v>23</v>
      </c>
      <c r="R4" s="17">
        <v>23</v>
      </c>
    </row>
    <row r="5" spans="1:22">
      <c r="B5" s="14" t="s">
        <v>574</v>
      </c>
      <c r="C5" s="15"/>
      <c r="D5" s="15"/>
      <c r="E5" s="16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22">
      <c r="B6" s="14" t="s">
        <v>575</v>
      </c>
      <c r="C6" s="15"/>
      <c r="D6" s="15"/>
      <c r="E6" s="16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22">
      <c r="B7" s="14" t="s">
        <v>576</v>
      </c>
      <c r="C7" s="15"/>
      <c r="D7" s="15"/>
      <c r="E7" s="16"/>
      <c r="F7" s="17">
        <v>7</v>
      </c>
      <c r="G7" s="17">
        <v>7</v>
      </c>
      <c r="H7" s="17">
        <v>7</v>
      </c>
      <c r="I7" s="17">
        <v>7</v>
      </c>
      <c r="J7" s="17">
        <v>7</v>
      </c>
      <c r="K7" s="17">
        <v>7</v>
      </c>
      <c r="L7" s="17">
        <v>7</v>
      </c>
      <c r="M7" s="17">
        <v>7</v>
      </c>
      <c r="N7" s="17">
        <v>7</v>
      </c>
      <c r="O7" s="17">
        <v>7</v>
      </c>
      <c r="P7" s="17">
        <v>7</v>
      </c>
      <c r="Q7" s="17">
        <v>7</v>
      </c>
      <c r="R7" s="17">
        <v>7</v>
      </c>
    </row>
    <row r="8" spans="1:22">
      <c r="B8" s="14" t="s">
        <v>577</v>
      </c>
      <c r="C8" s="15"/>
      <c r="D8" s="15"/>
      <c r="E8" s="16"/>
      <c r="F8" s="17">
        <v>3</v>
      </c>
      <c r="G8" s="17">
        <v>2</v>
      </c>
      <c r="H8" s="17">
        <v>3</v>
      </c>
      <c r="I8" s="17">
        <v>3</v>
      </c>
      <c r="J8" s="17">
        <v>3</v>
      </c>
      <c r="K8" s="17">
        <v>3</v>
      </c>
      <c r="L8" s="17">
        <v>3</v>
      </c>
      <c r="M8" s="17">
        <v>3</v>
      </c>
      <c r="N8" s="17">
        <v>3</v>
      </c>
      <c r="O8" s="17">
        <v>3</v>
      </c>
      <c r="P8" s="17">
        <v>3</v>
      </c>
      <c r="Q8" s="17">
        <v>3</v>
      </c>
      <c r="R8" s="17">
        <v>3</v>
      </c>
    </row>
    <row r="9" spans="1:22">
      <c r="B9" s="14" t="s">
        <v>578</v>
      </c>
      <c r="C9" s="15"/>
      <c r="D9" s="15"/>
      <c r="E9" s="16"/>
      <c r="F9" s="19">
        <v>8</v>
      </c>
      <c r="G9" s="19">
        <v>2</v>
      </c>
      <c r="H9" s="19">
        <v>15</v>
      </c>
      <c r="I9" s="19">
        <v>5</v>
      </c>
      <c r="J9" s="19">
        <v>17</v>
      </c>
      <c r="K9" s="19">
        <v>6</v>
      </c>
      <c r="L9" s="19">
        <v>5</v>
      </c>
      <c r="M9" s="19">
        <v>3</v>
      </c>
      <c r="N9" s="19">
        <v>13</v>
      </c>
      <c r="O9" s="19">
        <v>4</v>
      </c>
      <c r="P9" s="19">
        <v>2</v>
      </c>
      <c r="Q9" s="19">
        <v>2</v>
      </c>
      <c r="R9" s="19">
        <v>1</v>
      </c>
    </row>
    <row r="10" spans="1:22">
      <c r="B10" s="14" t="s">
        <v>579</v>
      </c>
      <c r="C10" s="15"/>
      <c r="D10" s="15"/>
      <c r="E10" s="16"/>
      <c r="F10" s="11">
        <v>8</v>
      </c>
      <c r="G10" s="11">
        <v>2</v>
      </c>
      <c r="H10" s="11">
        <v>12</v>
      </c>
      <c r="I10" s="11">
        <v>5</v>
      </c>
      <c r="J10" s="11">
        <v>15</v>
      </c>
      <c r="K10" s="11">
        <v>6</v>
      </c>
      <c r="L10" s="11">
        <v>5</v>
      </c>
      <c r="M10" s="11">
        <v>3</v>
      </c>
      <c r="N10" s="11">
        <v>13</v>
      </c>
      <c r="O10" s="11">
        <v>4</v>
      </c>
      <c r="P10" s="11">
        <v>2</v>
      </c>
      <c r="Q10" s="11">
        <v>2</v>
      </c>
      <c r="R10" s="11">
        <v>1</v>
      </c>
    </row>
    <row r="11" spans="1:22" hidden="1">
      <c r="B11" s="14" t="s">
        <v>619</v>
      </c>
      <c r="C11" s="15"/>
      <c r="D11" s="15"/>
      <c r="E11" s="16"/>
      <c r="F11" s="40" t="e">
        <f>F38</f>
        <v>#REF!</v>
      </c>
      <c r="G11" s="40"/>
      <c r="H11" s="40" t="e">
        <f>F38</f>
        <v>#REF!</v>
      </c>
      <c r="I11" s="40">
        <f>G38</f>
        <v>0</v>
      </c>
      <c r="J11" s="40">
        <f>G38</f>
        <v>0</v>
      </c>
      <c r="K11" s="40">
        <f>I38</f>
        <v>0</v>
      </c>
      <c r="L11" s="40">
        <f>L38</f>
        <v>0</v>
      </c>
      <c r="M11" s="40" t="e">
        <f>#REF!</f>
        <v>#REF!</v>
      </c>
      <c r="N11" s="40">
        <f>O38</f>
        <v>0</v>
      </c>
      <c r="O11" s="40" t="e">
        <f>#REF!</f>
        <v>#REF!</v>
      </c>
      <c r="P11" s="40">
        <f>O38</f>
        <v>0</v>
      </c>
      <c r="Q11" s="40">
        <f>P38</f>
        <v>0</v>
      </c>
      <c r="R11" s="40">
        <f>Q38</f>
        <v>0</v>
      </c>
    </row>
    <row r="12" spans="1:22">
      <c r="B12" s="14" t="s">
        <v>580</v>
      </c>
      <c r="C12" s="15"/>
      <c r="D12" s="15"/>
      <c r="E12" s="16"/>
      <c r="F12" s="41">
        <f>(((F4+F5+F6)*F7)*F8)*F10</f>
        <v>3864</v>
      </c>
      <c r="G12" s="41">
        <f>(((G4+G5+G6)*G7)*G8)*G10</f>
        <v>644</v>
      </c>
      <c r="H12" s="41">
        <f t="shared" ref="H12:R12" si="0">(((H4+H5+H6)*H7)*H8)*H10</f>
        <v>5796</v>
      </c>
      <c r="I12" s="41">
        <f t="shared" si="0"/>
        <v>2415</v>
      </c>
      <c r="J12" s="41">
        <f t="shared" si="0"/>
        <v>7245</v>
      </c>
      <c r="K12" s="41">
        <f t="shared" si="0"/>
        <v>2898</v>
      </c>
      <c r="L12" s="41">
        <f t="shared" si="0"/>
        <v>2415</v>
      </c>
      <c r="M12" s="41">
        <f t="shared" si="0"/>
        <v>1449</v>
      </c>
      <c r="N12" s="41">
        <f t="shared" si="0"/>
        <v>6279</v>
      </c>
      <c r="O12" s="41">
        <f t="shared" si="0"/>
        <v>1932</v>
      </c>
      <c r="P12" s="41">
        <f t="shared" si="0"/>
        <v>966</v>
      </c>
      <c r="Q12" s="41">
        <f t="shared" si="0"/>
        <v>966</v>
      </c>
      <c r="R12" s="41">
        <f t="shared" si="0"/>
        <v>483</v>
      </c>
    </row>
    <row r="13" spans="1:22">
      <c r="B13" s="14" t="s">
        <v>581</v>
      </c>
      <c r="C13" s="15"/>
      <c r="D13" s="15"/>
      <c r="E13" s="16"/>
      <c r="F13" s="20">
        <v>0.9</v>
      </c>
      <c r="G13" s="20">
        <v>0.9</v>
      </c>
      <c r="H13" s="20">
        <v>0.9</v>
      </c>
      <c r="I13" s="20">
        <v>0.9</v>
      </c>
      <c r="J13" s="20">
        <v>0.9</v>
      </c>
      <c r="K13" s="20">
        <v>0.9</v>
      </c>
      <c r="L13" s="20">
        <v>0.9</v>
      </c>
      <c r="M13" s="20">
        <v>0.9</v>
      </c>
      <c r="N13" s="20">
        <v>0.9</v>
      </c>
      <c r="O13" s="20">
        <v>0.9</v>
      </c>
      <c r="P13" s="20">
        <v>0.9</v>
      </c>
      <c r="Q13" s="20">
        <v>0.9</v>
      </c>
      <c r="R13" s="20">
        <v>0.9</v>
      </c>
    </row>
    <row r="14" spans="1:22">
      <c r="B14" s="14" t="s">
        <v>582</v>
      </c>
      <c r="C14" s="15"/>
      <c r="D14" s="15"/>
      <c r="E14" s="16"/>
      <c r="F14" s="39">
        <f>F12*F13</f>
        <v>3477.6</v>
      </c>
      <c r="G14" s="39">
        <f>G12*G13</f>
        <v>579.6</v>
      </c>
      <c r="H14" s="39">
        <f t="shared" ref="H14:R14" si="1">H12*H13</f>
        <v>5216.4000000000005</v>
      </c>
      <c r="I14" s="39">
        <f t="shared" si="1"/>
        <v>2173.5</v>
      </c>
      <c r="J14" s="39">
        <f t="shared" si="1"/>
        <v>6520.5</v>
      </c>
      <c r="K14" s="39">
        <f t="shared" si="1"/>
        <v>2608.2000000000003</v>
      </c>
      <c r="L14" s="39">
        <f t="shared" si="1"/>
        <v>2173.5</v>
      </c>
      <c r="M14" s="39">
        <f t="shared" si="1"/>
        <v>1304.1000000000001</v>
      </c>
      <c r="N14" s="39">
        <f t="shared" si="1"/>
        <v>5651.1</v>
      </c>
      <c r="O14" s="39">
        <f t="shared" si="1"/>
        <v>1738.8</v>
      </c>
      <c r="P14" s="39">
        <f t="shared" si="1"/>
        <v>869.4</v>
      </c>
      <c r="Q14" s="39">
        <f t="shared" si="1"/>
        <v>869.4</v>
      </c>
      <c r="R14" s="39">
        <f t="shared" si="1"/>
        <v>434.7</v>
      </c>
      <c r="T14" s="44"/>
      <c r="U14" s="44"/>
      <c r="V14" s="44"/>
    </row>
    <row r="15" spans="1:22">
      <c r="B15" s="14" t="s">
        <v>614</v>
      </c>
      <c r="C15" s="15"/>
      <c r="D15" s="15"/>
      <c r="E15" s="16"/>
      <c r="F15" s="40" t="e">
        <f>F33+F36</f>
        <v>#REF!</v>
      </c>
      <c r="G15" s="40" t="e">
        <f t="shared" ref="G15:R15" si="2">G33+G36</f>
        <v>#REF!</v>
      </c>
      <c r="H15" s="40" t="e">
        <f t="shared" si="2"/>
        <v>#REF!</v>
      </c>
      <c r="I15" s="40" t="e">
        <f t="shared" si="2"/>
        <v>#REF!</v>
      </c>
      <c r="J15" s="40" t="e">
        <f t="shared" si="2"/>
        <v>#REF!</v>
      </c>
      <c r="K15" s="40" t="e">
        <f t="shared" si="2"/>
        <v>#REF!</v>
      </c>
      <c r="L15" s="40" t="e">
        <f t="shared" si="2"/>
        <v>#REF!</v>
      </c>
      <c r="M15" s="40" t="e">
        <f t="shared" si="2"/>
        <v>#REF!</v>
      </c>
      <c r="N15" s="40" t="e">
        <f t="shared" si="2"/>
        <v>#REF!</v>
      </c>
      <c r="O15" s="40" t="e">
        <f t="shared" si="2"/>
        <v>#REF!</v>
      </c>
      <c r="P15" s="40" t="e">
        <f t="shared" si="2"/>
        <v>#REF!</v>
      </c>
      <c r="Q15" s="40" t="e">
        <f t="shared" si="2"/>
        <v>#REF!</v>
      </c>
      <c r="R15" s="40" t="e">
        <f t="shared" si="2"/>
        <v>#REF!</v>
      </c>
      <c r="T15" s="45"/>
      <c r="U15" s="45"/>
      <c r="V15" s="45"/>
    </row>
    <row r="16" spans="1:22">
      <c r="B16" s="14" t="s">
        <v>613</v>
      </c>
      <c r="C16" s="15"/>
      <c r="D16" s="15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18" ht="15.75" thickBot="1">
      <c r="B17" s="14" t="s">
        <v>775</v>
      </c>
      <c r="C17" s="15"/>
      <c r="D17" s="15"/>
      <c r="E17" s="16"/>
      <c r="F17" s="22" t="e">
        <f>F15/F14</f>
        <v>#REF!</v>
      </c>
      <c r="G17" s="22" t="e">
        <f t="shared" ref="G17:R17" si="3">G15/G14</f>
        <v>#REF!</v>
      </c>
      <c r="H17" s="22" t="e">
        <f t="shared" si="3"/>
        <v>#REF!</v>
      </c>
      <c r="I17" s="22" t="e">
        <f t="shared" si="3"/>
        <v>#REF!</v>
      </c>
      <c r="J17" s="22" t="e">
        <f t="shared" si="3"/>
        <v>#REF!</v>
      </c>
      <c r="K17" s="22" t="e">
        <f t="shared" si="3"/>
        <v>#REF!</v>
      </c>
      <c r="L17" s="22" t="e">
        <f t="shared" si="3"/>
        <v>#REF!</v>
      </c>
      <c r="M17" s="22" t="e">
        <f t="shared" si="3"/>
        <v>#REF!</v>
      </c>
      <c r="N17" s="22" t="e">
        <f t="shared" si="3"/>
        <v>#REF!</v>
      </c>
      <c r="O17" s="22" t="e">
        <f t="shared" si="3"/>
        <v>#REF!</v>
      </c>
      <c r="P17" s="22" t="e">
        <f t="shared" si="3"/>
        <v>#REF!</v>
      </c>
      <c r="Q17" s="22" t="e">
        <f t="shared" si="3"/>
        <v>#REF!</v>
      </c>
      <c r="R17" s="22" t="e">
        <f t="shared" si="3"/>
        <v>#REF!</v>
      </c>
    </row>
    <row r="18" spans="2:18" ht="16.5" thickTop="1" thickBot="1">
      <c r="B18" s="24" t="s">
        <v>774</v>
      </c>
      <c r="C18" s="25"/>
      <c r="D18" s="25"/>
      <c r="E18" s="26"/>
      <c r="F18" s="27" t="e">
        <f>ROUNDUP(F15/F14*F10,0)</f>
        <v>#REF!</v>
      </c>
      <c r="G18" s="27" t="e">
        <f>ROUNDUP(G15/G14*G10,0)</f>
        <v>#REF!</v>
      </c>
      <c r="H18" s="27" t="e">
        <f t="shared" ref="H18:R18" si="4">ROUNDUP(H15/H14*H10,0)</f>
        <v>#REF!</v>
      </c>
      <c r="I18" s="27" t="e">
        <f t="shared" si="4"/>
        <v>#REF!</v>
      </c>
      <c r="J18" s="27" t="e">
        <f t="shared" si="4"/>
        <v>#REF!</v>
      </c>
      <c r="K18" s="27" t="e">
        <f t="shared" si="4"/>
        <v>#REF!</v>
      </c>
      <c r="L18" s="27" t="e">
        <f t="shared" si="4"/>
        <v>#REF!</v>
      </c>
      <c r="M18" s="27" t="e">
        <f t="shared" si="4"/>
        <v>#REF!</v>
      </c>
      <c r="N18" s="27" t="e">
        <f t="shared" si="4"/>
        <v>#REF!</v>
      </c>
      <c r="O18" s="27" t="e">
        <f t="shared" si="4"/>
        <v>#REF!</v>
      </c>
      <c r="P18" s="27" t="e">
        <f t="shared" si="4"/>
        <v>#REF!</v>
      </c>
      <c r="Q18" s="27" t="e">
        <f t="shared" si="4"/>
        <v>#REF!</v>
      </c>
      <c r="R18" s="27" t="e">
        <f t="shared" si="4"/>
        <v>#REF!</v>
      </c>
    </row>
    <row r="19" spans="2:18" ht="16.5" thickTop="1" thickBot="1">
      <c r="B19" s="74" t="s">
        <v>622</v>
      </c>
      <c r="C19" s="75"/>
      <c r="D19" s="75"/>
      <c r="E19" s="76"/>
      <c r="F19" s="42" t="e">
        <f>F15/F14*F$4</f>
        <v>#REF!</v>
      </c>
      <c r="G19" s="42" t="e">
        <f>G15/G14*G$4</f>
        <v>#REF!</v>
      </c>
      <c r="H19" s="42" t="e">
        <f t="shared" ref="H19:R19" si="5">H15/H14*H$4</f>
        <v>#REF!</v>
      </c>
      <c r="I19" s="42" t="e">
        <f t="shared" si="5"/>
        <v>#REF!</v>
      </c>
      <c r="J19" s="42" t="e">
        <f t="shared" si="5"/>
        <v>#REF!</v>
      </c>
      <c r="K19" s="42" t="e">
        <f t="shared" si="5"/>
        <v>#REF!</v>
      </c>
      <c r="L19" s="42" t="e">
        <f t="shared" si="5"/>
        <v>#REF!</v>
      </c>
      <c r="M19" s="42" t="e">
        <f t="shared" si="5"/>
        <v>#REF!</v>
      </c>
      <c r="N19" s="42" t="e">
        <f t="shared" si="5"/>
        <v>#REF!</v>
      </c>
      <c r="O19" s="42" t="e">
        <f t="shared" si="5"/>
        <v>#REF!</v>
      </c>
      <c r="P19" s="42" t="e">
        <f t="shared" si="5"/>
        <v>#REF!</v>
      </c>
      <c r="Q19" s="42" t="e">
        <f t="shared" si="5"/>
        <v>#REF!</v>
      </c>
      <c r="R19" s="42" t="e">
        <f t="shared" si="5"/>
        <v>#REF!</v>
      </c>
    </row>
    <row r="20" spans="2:18" ht="15.75" thickTop="1">
      <c r="B20" s="14" t="s">
        <v>583</v>
      </c>
      <c r="C20" s="15"/>
      <c r="D20" s="15"/>
      <c r="E20" s="16"/>
      <c r="F20" s="77">
        <v>12</v>
      </c>
      <c r="G20" s="78"/>
      <c r="H20" s="78"/>
      <c r="I20" s="78"/>
      <c r="J20" s="78"/>
      <c r="K20" s="78"/>
      <c r="L20" s="78"/>
      <c r="M20" s="78"/>
      <c r="N20" s="69">
        <v>0</v>
      </c>
      <c r="O20" s="70"/>
      <c r="P20" s="70"/>
      <c r="Q20" s="71"/>
      <c r="R20" s="23">
        <v>0</v>
      </c>
    </row>
    <row r="21" spans="2:18">
      <c r="B21" s="14" t="s">
        <v>583</v>
      </c>
      <c r="C21" s="15"/>
      <c r="D21" s="15"/>
      <c r="E21" s="16"/>
      <c r="F21" s="69">
        <v>12</v>
      </c>
      <c r="G21" s="70"/>
      <c r="H21" s="70"/>
      <c r="I21" s="70"/>
      <c r="J21" s="70"/>
      <c r="K21" s="70"/>
      <c r="L21" s="70"/>
      <c r="M21" s="70"/>
      <c r="N21" s="69">
        <v>0</v>
      </c>
      <c r="O21" s="70"/>
      <c r="P21" s="70"/>
      <c r="Q21" s="71"/>
      <c r="R21" s="23">
        <v>0</v>
      </c>
    </row>
    <row r="22" spans="2:18">
      <c r="B22" s="14" t="s">
        <v>583</v>
      </c>
      <c r="C22" s="15"/>
      <c r="D22" s="15"/>
      <c r="E22" s="16"/>
      <c r="F22" s="69">
        <v>0</v>
      </c>
      <c r="G22" s="70"/>
      <c r="H22" s="70"/>
      <c r="I22" s="70"/>
      <c r="J22" s="70"/>
      <c r="K22" s="70"/>
      <c r="L22" s="70"/>
      <c r="M22" s="70"/>
      <c r="N22" s="69">
        <v>0</v>
      </c>
      <c r="O22" s="70"/>
      <c r="P22" s="70"/>
      <c r="Q22" s="71"/>
      <c r="R22" s="23">
        <v>0</v>
      </c>
    </row>
    <row r="23" spans="2:18">
      <c r="B23" s="32" t="s">
        <v>584</v>
      </c>
      <c r="C23" s="33"/>
      <c r="D23" s="33"/>
      <c r="E23" s="34"/>
      <c r="F23" s="79">
        <f>F20+F21+F22</f>
        <v>24</v>
      </c>
      <c r="G23" s="80"/>
      <c r="H23" s="80"/>
      <c r="I23" s="80"/>
      <c r="J23" s="80"/>
      <c r="K23" s="80"/>
      <c r="L23" s="80"/>
      <c r="M23" s="80"/>
      <c r="N23" s="81">
        <f>N20+N21+N22</f>
        <v>0</v>
      </c>
      <c r="O23" s="80"/>
      <c r="P23" s="80"/>
      <c r="Q23" s="82"/>
      <c r="R23" s="43">
        <f>R20+R21+R22</f>
        <v>0</v>
      </c>
    </row>
    <row r="24" spans="2:18">
      <c r="B24" s="29" t="s">
        <v>585</v>
      </c>
      <c r="C24" s="30"/>
      <c r="D24" s="30"/>
      <c r="E24" s="31"/>
      <c r="F24" s="83">
        <f>59/4</f>
        <v>14.75</v>
      </c>
      <c r="G24" s="84"/>
      <c r="H24" s="84"/>
      <c r="I24" s="84"/>
      <c r="J24" s="84"/>
      <c r="K24" s="84"/>
      <c r="L24" s="84"/>
      <c r="M24" s="84"/>
      <c r="N24" s="85">
        <v>1</v>
      </c>
      <c r="O24" s="86"/>
      <c r="P24" s="86"/>
      <c r="Q24" s="87"/>
      <c r="R24" s="10">
        <v>0</v>
      </c>
    </row>
    <row r="25" spans="2:18">
      <c r="B25" s="29" t="s">
        <v>586</v>
      </c>
      <c r="C25" s="30"/>
      <c r="D25" s="30"/>
      <c r="E25" s="31"/>
      <c r="F25" s="83">
        <f>59/4</f>
        <v>14.75</v>
      </c>
      <c r="G25" s="84"/>
      <c r="H25" s="84"/>
      <c r="I25" s="84"/>
      <c r="J25" s="84"/>
      <c r="K25" s="84"/>
      <c r="L25" s="84"/>
      <c r="M25" s="84"/>
      <c r="N25" s="85">
        <v>0</v>
      </c>
      <c r="O25" s="86"/>
      <c r="P25" s="86"/>
      <c r="Q25" s="87"/>
      <c r="R25" s="10">
        <v>0</v>
      </c>
    </row>
    <row r="26" spans="2:18">
      <c r="B26" s="29" t="s">
        <v>587</v>
      </c>
      <c r="C26" s="30"/>
      <c r="D26" s="30"/>
      <c r="E26" s="31"/>
      <c r="F26" s="85">
        <v>0</v>
      </c>
      <c r="G26" s="86"/>
      <c r="H26" s="86"/>
      <c r="I26" s="86"/>
      <c r="J26" s="86"/>
      <c r="K26" s="86"/>
      <c r="L26" s="86"/>
      <c r="M26" s="86"/>
      <c r="N26" s="85">
        <v>0</v>
      </c>
      <c r="O26" s="86"/>
      <c r="P26" s="86"/>
      <c r="Q26" s="87"/>
      <c r="R26" s="10">
        <v>0</v>
      </c>
    </row>
    <row r="27" spans="2:18">
      <c r="B27" s="29" t="s">
        <v>618</v>
      </c>
      <c r="C27" s="30"/>
      <c r="D27" s="30"/>
      <c r="E27" s="31"/>
      <c r="F27" s="93">
        <f>F24+F25+F26</f>
        <v>29.5</v>
      </c>
      <c r="G27" s="94"/>
      <c r="H27" s="94"/>
      <c r="I27" s="94"/>
      <c r="J27" s="94"/>
      <c r="K27" s="94"/>
      <c r="L27" s="94"/>
      <c r="M27" s="94"/>
      <c r="N27" s="95">
        <f>N24+N25+N26</f>
        <v>1</v>
      </c>
      <c r="O27" s="96"/>
      <c r="P27" s="96"/>
      <c r="Q27" s="97"/>
      <c r="R27" s="21">
        <f>R24+R25+R26</f>
        <v>0</v>
      </c>
    </row>
    <row r="28" spans="2:18" ht="15.75" thickBot="1">
      <c r="B28" s="36" t="s">
        <v>588</v>
      </c>
      <c r="C28" s="37"/>
      <c r="D28" s="37"/>
      <c r="E28" s="38"/>
      <c r="F28" s="88">
        <f>F27-F23</f>
        <v>5.5</v>
      </c>
      <c r="G28" s="89"/>
      <c r="H28" s="89"/>
      <c r="I28" s="89"/>
      <c r="J28" s="89"/>
      <c r="K28" s="89"/>
      <c r="L28" s="89"/>
      <c r="M28" s="89"/>
      <c r="N28" s="90">
        <f t="shared" ref="N28:R28" si="6">N27-N23</f>
        <v>1</v>
      </c>
      <c r="O28" s="91"/>
      <c r="P28" s="91"/>
      <c r="Q28" s="92"/>
      <c r="R28" s="12">
        <f t="shared" si="6"/>
        <v>0</v>
      </c>
    </row>
    <row r="29" spans="2:18" ht="25.5" customHeight="1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4"/>
    </row>
    <row r="30" spans="2:18" ht="25.5" customHeight="1">
      <c r="B30" s="5"/>
      <c r="R30" s="6"/>
    </row>
    <row r="31" spans="2:18" ht="25.5" customHeight="1">
      <c r="B31" s="5"/>
      <c r="R31" s="6"/>
    </row>
    <row r="32" spans="2:18" ht="25.5" customHeight="1">
      <c r="B32" s="5"/>
      <c r="F32" s="50" t="s">
        <v>713</v>
      </c>
      <c r="G32" s="50" t="s">
        <v>725</v>
      </c>
      <c r="H32" s="50" t="s">
        <v>722</v>
      </c>
      <c r="I32" s="50" t="s">
        <v>776</v>
      </c>
      <c r="J32" s="50" t="s">
        <v>714</v>
      </c>
      <c r="K32" s="50" t="s">
        <v>777</v>
      </c>
      <c r="L32" s="50" t="s">
        <v>721</v>
      </c>
      <c r="M32" s="50" t="s">
        <v>571</v>
      </c>
      <c r="N32" s="50" t="s">
        <v>570</v>
      </c>
      <c r="O32" s="50" t="s">
        <v>569</v>
      </c>
      <c r="P32" s="50" t="s">
        <v>723</v>
      </c>
      <c r="Q32" s="50" t="s">
        <v>724</v>
      </c>
      <c r="R32" s="51" t="s">
        <v>572</v>
      </c>
    </row>
    <row r="33" spans="2:18" ht="25.5" customHeight="1">
      <c r="B33" s="5"/>
      <c r="D33" s="1" t="s">
        <v>780</v>
      </c>
      <c r="F33" s="49" t="e">
        <f>SUMIF(#REF!,F$32,#REF!)</f>
        <v>#REF!</v>
      </c>
      <c r="G33" s="49" t="e">
        <f>SUMIF(#REF!,G$32,#REF!)</f>
        <v>#REF!</v>
      </c>
      <c r="H33" s="49" t="e">
        <f>SUMIF(#REF!,H$32,#REF!)</f>
        <v>#REF!</v>
      </c>
      <c r="I33" s="49" t="e">
        <f>SUMIF(#REF!,I$32,#REF!)</f>
        <v>#REF!</v>
      </c>
      <c r="J33" s="49" t="e">
        <f>SUMIF(#REF!,J$32,#REF!)</f>
        <v>#REF!</v>
      </c>
      <c r="K33" s="49" t="e">
        <f>SUMIF(#REF!,K$32,#REF!)</f>
        <v>#REF!</v>
      </c>
      <c r="L33" s="49" t="e">
        <f>SUMIF(#REF!,L$32,#REF!)</f>
        <v>#REF!</v>
      </c>
      <c r="M33" s="49" t="e">
        <f>SUMIF(#REF!,M$32,#REF!)</f>
        <v>#REF!</v>
      </c>
      <c r="N33" s="49" t="e">
        <f>SUMIF(#REF!,N$32,#REF!)</f>
        <v>#REF!</v>
      </c>
      <c r="O33" s="49" t="e">
        <f>SUMIF(#REF!,O$32,#REF!)</f>
        <v>#REF!</v>
      </c>
      <c r="P33" s="49" t="e">
        <f>SUMIF(#REF!,P$32,#REF!)</f>
        <v>#REF!</v>
      </c>
      <c r="Q33" s="49" t="e">
        <f>SUMIF(#REF!,Q$32,#REF!)</f>
        <v>#REF!</v>
      </c>
      <c r="R33" s="49" t="e">
        <f>SUMIF(#REF!,R$32,#REF!)</f>
        <v>#REF!</v>
      </c>
    </row>
    <row r="34" spans="2:18" ht="25.5" customHeight="1">
      <c r="B34" s="5"/>
      <c r="D34" s="1" t="s">
        <v>781</v>
      </c>
      <c r="F34" s="49" t="e">
        <f>SUMIF(#REF!,F$32,#REF!)</f>
        <v>#REF!</v>
      </c>
      <c r="G34" s="49" t="e">
        <f>SUMIF(#REF!,G$32,#REF!)</f>
        <v>#REF!</v>
      </c>
      <c r="H34" s="49" t="e">
        <f>SUMIF(#REF!,H$32,#REF!)</f>
        <v>#REF!</v>
      </c>
      <c r="I34" s="49" t="e">
        <f>SUMIF(#REF!,I$32,#REF!)</f>
        <v>#REF!</v>
      </c>
      <c r="J34" s="49" t="e">
        <f>SUMIF(#REF!,J$32,#REF!)</f>
        <v>#REF!</v>
      </c>
      <c r="K34" s="49" t="e">
        <f>SUMIF(#REF!,K$32,#REF!)</f>
        <v>#REF!</v>
      </c>
      <c r="L34" s="49" t="e">
        <f>SUMIF(#REF!,L$32,#REF!)</f>
        <v>#REF!</v>
      </c>
      <c r="M34" s="49" t="e">
        <f>SUMIF(#REF!,M$32,#REF!)</f>
        <v>#REF!</v>
      </c>
      <c r="N34" s="49" t="e">
        <f>SUMIF(#REF!,N$32,#REF!)</f>
        <v>#REF!</v>
      </c>
      <c r="O34" s="49" t="e">
        <f>SUMIF(#REF!,O$32,#REF!)</f>
        <v>#REF!</v>
      </c>
      <c r="P34" s="49" t="e">
        <f>SUMIF(#REF!,P$32,#REF!)</f>
        <v>#REF!</v>
      </c>
      <c r="Q34" s="49" t="e">
        <f>SUMIF(#REF!,Q$32,#REF!)</f>
        <v>#REF!</v>
      </c>
      <c r="R34" s="49" t="e">
        <f>SUMIF(#REF!,R$32,#REF!)</f>
        <v>#REF!</v>
      </c>
    </row>
    <row r="35" spans="2:18" ht="25.5" customHeight="1">
      <c r="B35" s="5"/>
      <c r="D35" s="1" t="s">
        <v>782</v>
      </c>
      <c r="F35" s="49" t="e">
        <f>SUMIF(#REF!,F$32,#REF!)</f>
        <v>#REF!</v>
      </c>
      <c r="G35" s="49" t="e">
        <f>SUMIF(#REF!,G$32,#REF!)</f>
        <v>#REF!</v>
      </c>
      <c r="H35" s="49" t="e">
        <f>SUMIF(#REF!,H$32,#REF!)</f>
        <v>#REF!</v>
      </c>
      <c r="I35" s="49" t="e">
        <f>SUMIF(#REF!,I$32,#REF!)</f>
        <v>#REF!</v>
      </c>
      <c r="J35" s="49" t="e">
        <f>SUMIF(#REF!,J$32,#REF!)</f>
        <v>#REF!</v>
      </c>
      <c r="K35" s="49" t="e">
        <f>SUMIF(#REF!,K$32,#REF!)</f>
        <v>#REF!</v>
      </c>
      <c r="L35" s="49" t="e">
        <f>SUMIF(#REF!,L$32,#REF!)</f>
        <v>#REF!</v>
      </c>
      <c r="M35" s="49" t="e">
        <f>SUMIF(#REF!,M$32,#REF!)</f>
        <v>#REF!</v>
      </c>
      <c r="N35" s="49" t="e">
        <f>SUMIF(#REF!,N$32,#REF!)</f>
        <v>#REF!</v>
      </c>
      <c r="O35" s="49" t="e">
        <f>SUMIF(#REF!,O$32,#REF!)</f>
        <v>#REF!</v>
      </c>
      <c r="P35" s="49" t="e">
        <f>SUMIF(#REF!,P$32,#REF!)</f>
        <v>#REF!</v>
      </c>
      <c r="Q35" s="49" t="e">
        <f>SUMIF(#REF!,Q$32,#REF!)</f>
        <v>#REF!</v>
      </c>
      <c r="R35" s="49" t="e">
        <f>SUMIF(#REF!,R$32,#REF!)</f>
        <v>#REF!</v>
      </c>
    </row>
    <row r="36" spans="2:18" ht="25.5" customHeight="1">
      <c r="B36" s="5"/>
      <c r="D36" s="1" t="s">
        <v>783</v>
      </c>
      <c r="F36" s="49" t="e">
        <f>SUMIF(#REF!,F$32,#REF!)</f>
        <v>#REF!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52"/>
    </row>
    <row r="37" spans="2:18" ht="25.5" customHeight="1">
      <c r="B37" s="5"/>
      <c r="D37" s="1" t="s">
        <v>784</v>
      </c>
      <c r="F37" s="49" t="e">
        <f>SUMIF(#REF!,F$32,#REF!)</f>
        <v>#REF!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</row>
    <row r="38" spans="2:18" ht="25.5" customHeight="1">
      <c r="B38" s="5"/>
      <c r="D38" s="1" t="s">
        <v>785</v>
      </c>
      <c r="F38" s="49" t="e">
        <f>SUMIF(#REF!,F$32,#REF!)</f>
        <v>#REF!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1"/>
    </row>
    <row r="39" spans="2:18" ht="25.5" customHeight="1">
      <c r="B39" s="5"/>
      <c r="D39" s="1" t="s">
        <v>786</v>
      </c>
      <c r="F39" s="49" t="e">
        <f>SUMIF(#REF!,F$32,#REF!)</f>
        <v>#REF!</v>
      </c>
      <c r="R39" s="6"/>
    </row>
    <row r="40" spans="2:18" ht="25.5" customHeight="1">
      <c r="B40" s="5"/>
      <c r="D40" s="1" t="s">
        <v>787</v>
      </c>
      <c r="F40" s="49" t="e">
        <f>SUMIF(#REF!,F$32,#REF!)</f>
        <v>#REF!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/>
    </row>
    <row r="41" spans="2:18" ht="25.5" customHeight="1">
      <c r="B41" s="5"/>
      <c r="D41" s="1" t="s">
        <v>788</v>
      </c>
      <c r="F41" s="49" t="e">
        <f>SUMIF(#REF!,F$32,#REF!)</f>
        <v>#REF!</v>
      </c>
      <c r="R41" s="6"/>
    </row>
    <row r="42" spans="2:18" ht="25.5" customHeight="1">
      <c r="B42" s="5"/>
      <c r="D42" s="1" t="s">
        <v>789</v>
      </c>
      <c r="F42" s="49" t="e">
        <f>SUMIF(#REF!,F$32,#REF!)</f>
        <v>#REF!</v>
      </c>
      <c r="R42" s="6"/>
    </row>
    <row r="43" spans="2:18" ht="25.5" customHeight="1">
      <c r="B43" s="5"/>
      <c r="D43" s="1" t="s">
        <v>790</v>
      </c>
      <c r="F43" s="49" t="e">
        <f>SUMIF(#REF!,F$32,#REF!)</f>
        <v>#REF!</v>
      </c>
      <c r="R43" s="6"/>
    </row>
    <row r="44" spans="2:18" ht="25.5" customHeight="1">
      <c r="B44" s="5"/>
      <c r="R44" s="6"/>
    </row>
    <row r="45" spans="2:18" ht="25.5" customHeight="1">
      <c r="B45" s="5"/>
      <c r="R45" s="6"/>
    </row>
    <row r="46" spans="2:18" ht="25.5" customHeight="1">
      <c r="B46" s="5"/>
      <c r="R46" s="6"/>
    </row>
    <row r="47" spans="2:18" ht="25.5" customHeight="1">
      <c r="B47" s="5"/>
      <c r="R47" s="6"/>
    </row>
    <row r="48" spans="2:18" ht="25.5" customHeight="1">
      <c r="B48" s="5"/>
      <c r="R48" s="6"/>
    </row>
    <row r="49" spans="2:18" ht="25.5" customHeight="1">
      <c r="B49" s="5"/>
      <c r="R49" s="6"/>
    </row>
    <row r="50" spans="2:18" ht="25.5" customHeight="1">
      <c r="B50" s="5"/>
      <c r="R50" s="6"/>
    </row>
    <row r="51" spans="2:18" ht="25.5" customHeight="1">
      <c r="B51" s="5"/>
      <c r="R51" s="6"/>
    </row>
    <row r="52" spans="2:18" ht="25.5" customHeight="1">
      <c r="B52" s="5"/>
      <c r="R52" s="6"/>
    </row>
    <row r="53" spans="2:18" ht="25.5" customHeight="1">
      <c r="B53" s="5"/>
      <c r="R53" s="6"/>
    </row>
    <row r="54" spans="2:18" ht="25.5" customHeight="1">
      <c r="B54" s="5"/>
      <c r="R54" s="6"/>
    </row>
    <row r="55" spans="2:18" ht="25.5" customHeight="1">
      <c r="B55" s="5"/>
      <c r="R55" s="6"/>
    </row>
    <row r="56" spans="2:18" ht="25.5" customHeight="1">
      <c r="B56" s="5"/>
      <c r="R56" s="6"/>
    </row>
    <row r="57" spans="2:18" ht="25.5" customHeight="1">
      <c r="B57" s="5"/>
      <c r="R57" s="6"/>
    </row>
    <row r="58" spans="2:18" ht="25.5" customHeight="1" thickBot="1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2:18" ht="25.5" customHeight="1"/>
    <row r="60" spans="2:18" ht="25.5" customHeight="1"/>
    <row r="61" spans="2:18" ht="25.5" customHeight="1"/>
    <row r="62" spans="2:18" ht="25.5" customHeight="1"/>
    <row r="63" spans="2:18" ht="25.5" customHeight="1"/>
    <row r="64" spans="2:18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42" ht="106.5" customHeight="1"/>
  </sheetData>
  <mergeCells count="21">
    <mergeCell ref="F28:M28"/>
    <mergeCell ref="N28:Q28"/>
    <mergeCell ref="F25:M25"/>
    <mergeCell ref="N25:Q25"/>
    <mergeCell ref="F26:M26"/>
    <mergeCell ref="N26:Q26"/>
    <mergeCell ref="F27:M27"/>
    <mergeCell ref="N27:Q27"/>
    <mergeCell ref="F22:M22"/>
    <mergeCell ref="N22:Q22"/>
    <mergeCell ref="F23:M23"/>
    <mergeCell ref="N23:Q23"/>
    <mergeCell ref="F24:M24"/>
    <mergeCell ref="N24:Q24"/>
    <mergeCell ref="F21:M21"/>
    <mergeCell ref="N21:Q21"/>
    <mergeCell ref="B1:R1"/>
    <mergeCell ref="B3:E3"/>
    <mergeCell ref="B19:E19"/>
    <mergeCell ref="F20:M20"/>
    <mergeCell ref="N20:Q20"/>
  </mergeCells>
  <conditionalFormatting sqref="F28:G28">
    <cfRule type="cellIs" dxfId="1" priority="2" stopIfTrue="1" operator="lessThan">
      <formula>0</formula>
    </cfRule>
  </conditionalFormatting>
  <conditionalFormatting sqref="N28:R28">
    <cfRule type="cellIs" dxfId="0" priority="1" stopIfTrue="1" operator="lessThan">
      <formula>0</formula>
    </cfRule>
  </conditionalFormatting>
  <printOptions horizontalCentered="1"/>
  <pageMargins left="0" right="0" top="0.98425196850393704" bottom="0" header="0" footer="0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7"/>
  <sheetViews>
    <sheetView zoomScale="85" zoomScaleNormal="85" workbookViewId="0">
      <selection activeCell="G23" sqref="G23"/>
    </sheetView>
  </sheetViews>
  <sheetFormatPr defaultColWidth="8.88671875" defaultRowHeight="12.75"/>
  <cols>
    <col min="1" max="1" width="8.5546875" style="61" bestFit="1" customWidth="1"/>
    <col min="2" max="2" width="30.88671875" style="61" bestFit="1" customWidth="1"/>
    <col min="3" max="3" width="19.21875" style="61" bestFit="1" customWidth="1"/>
    <col min="4" max="4" width="33.77734375" style="61" bestFit="1" customWidth="1"/>
    <col min="5" max="5" width="7.5546875" style="61" bestFit="1" customWidth="1"/>
    <col min="6" max="6" width="14.109375" style="61" bestFit="1" customWidth="1"/>
    <col min="7" max="7" width="12.44140625" style="61" bestFit="1" customWidth="1"/>
    <col min="8" max="8" width="9.6640625" style="61" bestFit="1" customWidth="1"/>
    <col min="9" max="9" width="11.88671875" style="61" bestFit="1" customWidth="1"/>
    <col min="10" max="10" width="13" style="61" bestFit="1" customWidth="1"/>
    <col min="11" max="11" width="12" style="61" bestFit="1" customWidth="1"/>
    <col min="12" max="12" width="13.109375" style="61" bestFit="1" customWidth="1"/>
    <col min="13" max="13" width="11.88671875" style="61" bestFit="1" customWidth="1"/>
    <col min="14" max="14" width="13" style="61" bestFit="1" customWidth="1"/>
    <col min="15" max="15" width="12" style="61" bestFit="1" customWidth="1"/>
    <col min="16" max="16" width="13.109375" style="61" bestFit="1" customWidth="1"/>
    <col min="17" max="17" width="11.88671875" style="61" bestFit="1" customWidth="1"/>
    <col min="18" max="18" width="13" style="61" bestFit="1" customWidth="1"/>
    <col min="19" max="19" width="12" style="61" bestFit="1" customWidth="1"/>
    <col min="20" max="20" width="13.109375" style="61" bestFit="1" customWidth="1"/>
    <col min="21" max="21" width="14.5546875" style="61" bestFit="1" customWidth="1"/>
    <col min="22" max="16384" width="8.88671875" style="61"/>
  </cols>
  <sheetData>
    <row r="1" spans="1:21" ht="15">
      <c r="A1" s="57" t="s">
        <v>590</v>
      </c>
      <c r="B1" s="57" t="s">
        <v>591</v>
      </c>
      <c r="C1" s="57" t="s">
        <v>212</v>
      </c>
      <c r="D1" s="57" t="s">
        <v>589</v>
      </c>
      <c r="E1" s="57" t="s">
        <v>592</v>
      </c>
      <c r="F1" s="57" t="s">
        <v>682</v>
      </c>
      <c r="G1" s="57" t="s">
        <v>636</v>
      </c>
      <c r="H1" s="57" t="s">
        <v>1047</v>
      </c>
      <c r="I1" s="57" t="s">
        <v>1048</v>
      </c>
      <c r="J1" s="57" t="s">
        <v>1049</v>
      </c>
      <c r="K1" s="57" t="s">
        <v>1050</v>
      </c>
      <c r="L1" s="57" t="s">
        <v>1051</v>
      </c>
      <c r="M1" s="57" t="s">
        <v>1000</v>
      </c>
      <c r="N1" s="57" t="s">
        <v>1001</v>
      </c>
      <c r="O1" s="57" t="s">
        <v>1002</v>
      </c>
      <c r="P1" s="57" t="s">
        <v>1003</v>
      </c>
      <c r="Q1" s="57" t="s">
        <v>1009</v>
      </c>
      <c r="R1" s="57" t="s">
        <v>1010</v>
      </c>
      <c r="S1" s="57" t="s">
        <v>1011</v>
      </c>
      <c r="T1" s="57" t="s">
        <v>1012</v>
      </c>
      <c r="U1" s="57" t="s">
        <v>1052</v>
      </c>
    </row>
    <row r="2" spans="1:21" ht="15">
      <c r="A2" s="55" t="s">
        <v>842</v>
      </c>
      <c r="B2" s="55" t="s">
        <v>593</v>
      </c>
      <c r="C2" s="55" t="s">
        <v>889</v>
      </c>
      <c r="D2" s="55" t="s">
        <v>1013</v>
      </c>
      <c r="E2" s="55" t="s">
        <v>837</v>
      </c>
      <c r="F2" s="55" t="s">
        <v>683</v>
      </c>
      <c r="G2" s="55" t="s">
        <v>644</v>
      </c>
      <c r="H2" s="62">
        <v>0</v>
      </c>
      <c r="I2" s="62">
        <v>0</v>
      </c>
      <c r="J2" s="62">
        <v>0</v>
      </c>
      <c r="K2" s="63">
        <v>0</v>
      </c>
      <c r="L2" s="63">
        <v>0</v>
      </c>
      <c r="M2" s="62">
        <v>0</v>
      </c>
      <c r="N2" s="62">
        <v>20</v>
      </c>
      <c r="O2" s="63">
        <v>0</v>
      </c>
      <c r="P2" s="63">
        <v>45</v>
      </c>
      <c r="Q2" s="62">
        <v>0</v>
      </c>
      <c r="R2" s="62">
        <v>0</v>
      </c>
      <c r="S2" s="63">
        <v>0</v>
      </c>
      <c r="T2" s="63">
        <v>0</v>
      </c>
      <c r="U2" s="55" t="s">
        <v>1053</v>
      </c>
    </row>
    <row r="3" spans="1:21" ht="15">
      <c r="A3" s="55" t="s">
        <v>842</v>
      </c>
      <c r="B3" s="55" t="s">
        <v>593</v>
      </c>
      <c r="C3" s="55" t="s">
        <v>443</v>
      </c>
      <c r="D3" s="55" t="s">
        <v>444</v>
      </c>
      <c r="E3" s="55" t="s">
        <v>213</v>
      </c>
      <c r="F3" s="55" t="s">
        <v>683</v>
      </c>
      <c r="G3" s="55" t="s">
        <v>644</v>
      </c>
      <c r="H3" s="62">
        <v>0</v>
      </c>
      <c r="I3" s="62">
        <v>33</v>
      </c>
      <c r="J3" s="62">
        <v>26</v>
      </c>
      <c r="K3" s="63">
        <v>2041.38</v>
      </c>
      <c r="L3" s="63">
        <v>1608.36</v>
      </c>
      <c r="M3" s="62">
        <v>19</v>
      </c>
      <c r="N3" s="62">
        <v>29</v>
      </c>
      <c r="O3" s="63">
        <v>1175.3399999999999</v>
      </c>
      <c r="P3" s="63">
        <v>1793.94</v>
      </c>
      <c r="Q3" s="62">
        <v>20</v>
      </c>
      <c r="R3" s="62">
        <v>25</v>
      </c>
      <c r="S3" s="63">
        <v>1237.2</v>
      </c>
      <c r="T3" s="63">
        <v>1546.5</v>
      </c>
      <c r="U3" s="55" t="s">
        <v>1054</v>
      </c>
    </row>
    <row r="4" spans="1:21" ht="15">
      <c r="A4" s="55" t="s">
        <v>842</v>
      </c>
      <c r="B4" s="55" t="s">
        <v>593</v>
      </c>
      <c r="C4" s="55" t="s">
        <v>445</v>
      </c>
      <c r="D4" s="55" t="s">
        <v>446</v>
      </c>
      <c r="E4" s="55" t="s">
        <v>213</v>
      </c>
      <c r="F4" s="55" t="s">
        <v>683</v>
      </c>
      <c r="G4" s="55" t="s">
        <v>644</v>
      </c>
      <c r="H4" s="62">
        <v>0</v>
      </c>
      <c r="I4" s="62">
        <v>28</v>
      </c>
      <c r="J4" s="62">
        <v>22</v>
      </c>
      <c r="K4" s="63">
        <v>1732.08</v>
      </c>
      <c r="L4" s="63">
        <v>1360.92</v>
      </c>
      <c r="M4" s="62">
        <v>23</v>
      </c>
      <c r="N4" s="62">
        <v>12</v>
      </c>
      <c r="O4" s="63">
        <v>1422.78</v>
      </c>
      <c r="P4" s="63">
        <v>742.32</v>
      </c>
      <c r="Q4" s="62">
        <v>15</v>
      </c>
      <c r="R4" s="62">
        <v>23</v>
      </c>
      <c r="S4" s="63">
        <v>927.9</v>
      </c>
      <c r="T4" s="63">
        <v>1422.78</v>
      </c>
      <c r="U4" s="55" t="s">
        <v>1055</v>
      </c>
    </row>
    <row r="5" spans="1:21" ht="15">
      <c r="A5" s="55" t="s">
        <v>842</v>
      </c>
      <c r="B5" s="55" t="s">
        <v>593</v>
      </c>
      <c r="C5" s="55" t="s">
        <v>346</v>
      </c>
      <c r="D5" s="55" t="s">
        <v>347</v>
      </c>
      <c r="E5" s="55" t="s">
        <v>213</v>
      </c>
      <c r="F5" s="55" t="s">
        <v>683</v>
      </c>
      <c r="G5" s="55" t="s">
        <v>644</v>
      </c>
      <c r="H5" s="62">
        <v>0</v>
      </c>
      <c r="I5" s="62">
        <v>11</v>
      </c>
      <c r="J5" s="62">
        <v>9</v>
      </c>
      <c r="K5" s="63">
        <v>773.19</v>
      </c>
      <c r="L5" s="63">
        <v>632.61</v>
      </c>
      <c r="M5" s="62">
        <v>11</v>
      </c>
      <c r="N5" s="62">
        <v>16</v>
      </c>
      <c r="O5" s="63">
        <v>773.19</v>
      </c>
      <c r="P5" s="63">
        <v>1124.6400000000001</v>
      </c>
      <c r="Q5" s="62">
        <v>13</v>
      </c>
      <c r="R5" s="62">
        <v>13</v>
      </c>
      <c r="S5" s="63">
        <v>913.77</v>
      </c>
      <c r="T5" s="63">
        <v>913.77</v>
      </c>
      <c r="U5" s="55" t="s">
        <v>1056</v>
      </c>
    </row>
    <row r="6" spans="1:21" ht="15">
      <c r="A6" s="55" t="s">
        <v>842</v>
      </c>
      <c r="B6" s="55" t="s">
        <v>593</v>
      </c>
      <c r="C6" s="55" t="s">
        <v>348</v>
      </c>
      <c r="D6" s="55" t="s">
        <v>349</v>
      </c>
      <c r="E6" s="55" t="s">
        <v>213</v>
      </c>
      <c r="F6" s="55" t="s">
        <v>683</v>
      </c>
      <c r="G6" s="55" t="s">
        <v>644</v>
      </c>
      <c r="H6" s="62">
        <v>0</v>
      </c>
      <c r="I6" s="62">
        <v>17</v>
      </c>
      <c r="J6" s="62">
        <v>14</v>
      </c>
      <c r="K6" s="63">
        <v>1194.93</v>
      </c>
      <c r="L6" s="63">
        <v>984.06</v>
      </c>
      <c r="M6" s="62">
        <v>16</v>
      </c>
      <c r="N6" s="62">
        <v>12</v>
      </c>
      <c r="O6" s="63">
        <v>1124.6400000000001</v>
      </c>
      <c r="P6" s="63">
        <v>843.48</v>
      </c>
      <c r="Q6" s="62">
        <v>11</v>
      </c>
      <c r="R6" s="62">
        <v>5</v>
      </c>
      <c r="S6" s="63">
        <v>773.19</v>
      </c>
      <c r="T6" s="63">
        <v>351.45</v>
      </c>
      <c r="U6" s="55" t="s">
        <v>1057</v>
      </c>
    </row>
    <row r="7" spans="1:21" ht="15">
      <c r="A7" s="55" t="s">
        <v>1058</v>
      </c>
      <c r="B7" s="55" t="s">
        <v>1059</v>
      </c>
      <c r="C7" s="55" t="s">
        <v>478</v>
      </c>
      <c r="D7" s="55" t="s">
        <v>1060</v>
      </c>
      <c r="E7" s="55" t="s">
        <v>213</v>
      </c>
      <c r="F7" s="55" t="s">
        <v>683</v>
      </c>
      <c r="G7" s="55" t="s">
        <v>643</v>
      </c>
      <c r="H7" s="62">
        <v>0</v>
      </c>
      <c r="I7" s="62">
        <v>68</v>
      </c>
      <c r="J7" s="62">
        <v>176</v>
      </c>
      <c r="K7" s="63">
        <v>42084.52</v>
      </c>
      <c r="L7" s="63">
        <v>108924.64</v>
      </c>
      <c r="M7" s="62">
        <v>0</v>
      </c>
      <c r="N7" s="62">
        <v>0</v>
      </c>
      <c r="O7" s="63">
        <v>0</v>
      </c>
      <c r="P7" s="63">
        <v>0</v>
      </c>
      <c r="Q7" s="62">
        <v>0</v>
      </c>
      <c r="R7" s="62">
        <v>0</v>
      </c>
      <c r="S7" s="63">
        <v>0</v>
      </c>
      <c r="T7" s="63">
        <v>0</v>
      </c>
      <c r="U7" s="55" t="s">
        <v>1061</v>
      </c>
    </row>
    <row r="8" spans="1:21" ht="15">
      <c r="A8" s="55" t="s">
        <v>843</v>
      </c>
      <c r="B8" s="55" t="s">
        <v>594</v>
      </c>
      <c r="C8" s="55" t="s">
        <v>368</v>
      </c>
      <c r="D8" s="55" t="s">
        <v>1062</v>
      </c>
      <c r="E8" s="55" t="s">
        <v>213</v>
      </c>
      <c r="F8" s="55" t="s">
        <v>683</v>
      </c>
      <c r="G8" s="55" t="s">
        <v>968</v>
      </c>
      <c r="H8" s="62">
        <v>0</v>
      </c>
      <c r="I8" s="62">
        <v>0</v>
      </c>
      <c r="J8" s="62">
        <v>500</v>
      </c>
      <c r="K8" s="63">
        <v>0</v>
      </c>
      <c r="L8" s="63">
        <v>1645</v>
      </c>
      <c r="M8" s="62">
        <v>0</v>
      </c>
      <c r="N8" s="62">
        <v>0</v>
      </c>
      <c r="O8" s="63">
        <v>0</v>
      </c>
      <c r="P8" s="63">
        <v>0</v>
      </c>
      <c r="Q8" s="62">
        <v>500</v>
      </c>
      <c r="R8" s="62">
        <v>0</v>
      </c>
      <c r="S8" s="63">
        <v>1645</v>
      </c>
      <c r="T8" s="63">
        <v>0</v>
      </c>
      <c r="U8" s="55" t="s">
        <v>1063</v>
      </c>
    </row>
    <row r="9" spans="1:21" ht="15">
      <c r="A9" s="55" t="s">
        <v>843</v>
      </c>
      <c r="B9" s="55" t="s">
        <v>594</v>
      </c>
      <c r="C9" s="55" t="s">
        <v>366</v>
      </c>
      <c r="D9" s="55" t="s">
        <v>367</v>
      </c>
      <c r="E9" s="55" t="s">
        <v>213</v>
      </c>
      <c r="F9" s="55" t="s">
        <v>683</v>
      </c>
      <c r="G9" s="55" t="s">
        <v>968</v>
      </c>
      <c r="H9" s="62">
        <v>0</v>
      </c>
      <c r="I9" s="62">
        <v>1000</v>
      </c>
      <c r="J9" s="62">
        <v>1000</v>
      </c>
      <c r="K9" s="63">
        <v>2940</v>
      </c>
      <c r="L9" s="63">
        <v>2940</v>
      </c>
      <c r="M9" s="62">
        <v>1000</v>
      </c>
      <c r="N9" s="62">
        <v>500</v>
      </c>
      <c r="O9" s="63">
        <v>2940</v>
      </c>
      <c r="P9" s="63">
        <v>1470</v>
      </c>
      <c r="Q9" s="62">
        <v>2000</v>
      </c>
      <c r="R9" s="62">
        <v>0</v>
      </c>
      <c r="S9" s="63">
        <v>5880</v>
      </c>
      <c r="T9" s="63">
        <v>0</v>
      </c>
      <c r="U9" s="55" t="s">
        <v>1064</v>
      </c>
    </row>
    <row r="10" spans="1:21" ht="15">
      <c r="A10" s="55" t="s">
        <v>844</v>
      </c>
      <c r="B10" s="55" t="s">
        <v>595</v>
      </c>
      <c r="C10" s="55" t="s">
        <v>331</v>
      </c>
      <c r="D10" s="55" t="s">
        <v>332</v>
      </c>
      <c r="E10" s="55" t="s">
        <v>213</v>
      </c>
      <c r="F10" s="55" t="s">
        <v>683</v>
      </c>
      <c r="G10" s="55" t="s">
        <v>968</v>
      </c>
      <c r="H10" s="62">
        <v>0</v>
      </c>
      <c r="I10" s="62">
        <v>0</v>
      </c>
      <c r="J10" s="62">
        <v>5000</v>
      </c>
      <c r="K10" s="63">
        <v>0</v>
      </c>
      <c r="L10" s="63">
        <v>100350</v>
      </c>
      <c r="M10" s="62">
        <v>2000</v>
      </c>
      <c r="N10" s="62">
        <v>2000</v>
      </c>
      <c r="O10" s="63">
        <v>40140</v>
      </c>
      <c r="P10" s="63">
        <v>40140</v>
      </c>
      <c r="Q10" s="62">
        <v>6000</v>
      </c>
      <c r="R10" s="62">
        <v>6000</v>
      </c>
      <c r="S10" s="63">
        <v>120420</v>
      </c>
      <c r="T10" s="63">
        <v>120420</v>
      </c>
      <c r="U10" s="55" t="s">
        <v>331</v>
      </c>
    </row>
    <row r="11" spans="1:21" ht="15">
      <c r="A11" s="55" t="s">
        <v>844</v>
      </c>
      <c r="B11" s="55" t="s">
        <v>595</v>
      </c>
      <c r="C11" s="55" t="s">
        <v>333</v>
      </c>
      <c r="D11" s="55" t="s">
        <v>1065</v>
      </c>
      <c r="E11" s="55" t="s">
        <v>213</v>
      </c>
      <c r="F11" s="55" t="s">
        <v>683</v>
      </c>
      <c r="G11" s="55" t="s">
        <v>968</v>
      </c>
      <c r="H11" s="62">
        <v>0</v>
      </c>
      <c r="I11" s="62">
        <v>0</v>
      </c>
      <c r="J11" s="62">
        <v>11000</v>
      </c>
      <c r="K11" s="63">
        <v>0</v>
      </c>
      <c r="L11" s="63">
        <v>267410</v>
      </c>
      <c r="M11" s="62">
        <v>3000</v>
      </c>
      <c r="N11" s="62">
        <v>0</v>
      </c>
      <c r="O11" s="63">
        <v>72930</v>
      </c>
      <c r="P11" s="63">
        <v>0</v>
      </c>
      <c r="Q11" s="62">
        <v>3000</v>
      </c>
      <c r="R11" s="62">
        <v>3000</v>
      </c>
      <c r="S11" s="63">
        <v>72930</v>
      </c>
      <c r="T11" s="63">
        <v>72930</v>
      </c>
      <c r="U11" s="55" t="s">
        <v>333</v>
      </c>
    </row>
    <row r="12" spans="1:21" ht="15">
      <c r="A12" s="55" t="s">
        <v>1066</v>
      </c>
      <c r="B12" s="55" t="s">
        <v>1067</v>
      </c>
      <c r="C12" s="55" t="s">
        <v>519</v>
      </c>
      <c r="D12" s="55" t="s">
        <v>1068</v>
      </c>
      <c r="E12" s="55" t="s">
        <v>214</v>
      </c>
      <c r="F12" s="55" t="s">
        <v>683</v>
      </c>
      <c r="G12" s="55" t="s">
        <v>644</v>
      </c>
      <c r="H12" s="62">
        <v>0</v>
      </c>
      <c r="I12" s="62">
        <v>0</v>
      </c>
      <c r="J12" s="62">
        <v>0</v>
      </c>
      <c r="K12" s="63">
        <v>0</v>
      </c>
      <c r="L12" s="63">
        <v>0</v>
      </c>
      <c r="M12" s="62">
        <v>0</v>
      </c>
      <c r="N12" s="62">
        <v>60</v>
      </c>
      <c r="O12" s="63">
        <v>0</v>
      </c>
      <c r="P12" s="63">
        <v>9097.2000000000007</v>
      </c>
      <c r="Q12" s="62">
        <v>0</v>
      </c>
      <c r="R12" s="62">
        <v>0</v>
      </c>
      <c r="S12" s="63">
        <v>0</v>
      </c>
      <c r="T12" s="63">
        <v>0</v>
      </c>
      <c r="U12" s="55" t="s">
        <v>1069</v>
      </c>
    </row>
    <row r="13" spans="1:21" ht="15">
      <c r="A13" s="55" t="s">
        <v>845</v>
      </c>
      <c r="B13" s="55" t="s">
        <v>596</v>
      </c>
      <c r="C13" s="55" t="s">
        <v>694</v>
      </c>
      <c r="D13" s="55" t="s">
        <v>791</v>
      </c>
      <c r="E13" s="55" t="s">
        <v>213</v>
      </c>
      <c r="F13" s="55" t="s">
        <v>683</v>
      </c>
      <c r="G13" s="55" t="s">
        <v>638</v>
      </c>
      <c r="H13" s="62">
        <v>7875</v>
      </c>
      <c r="I13" s="62">
        <v>1500</v>
      </c>
      <c r="J13" s="62">
        <v>1410</v>
      </c>
      <c r="K13" s="63">
        <v>76665</v>
      </c>
      <c r="L13" s="63">
        <v>72065.100000000006</v>
      </c>
      <c r="M13" s="62">
        <v>1110</v>
      </c>
      <c r="N13" s="62">
        <v>1800</v>
      </c>
      <c r="O13" s="63">
        <v>56732.1</v>
      </c>
      <c r="P13" s="63">
        <v>91998</v>
      </c>
      <c r="Q13" s="62">
        <v>1680</v>
      </c>
      <c r="R13" s="62">
        <v>240</v>
      </c>
      <c r="S13" s="63">
        <v>85864.8</v>
      </c>
      <c r="T13" s="63">
        <v>12266.4</v>
      </c>
      <c r="U13" s="55" t="s">
        <v>694</v>
      </c>
    </row>
    <row r="14" spans="1:21" ht="15">
      <c r="A14" s="55" t="s">
        <v>845</v>
      </c>
      <c r="B14" s="55" t="s">
        <v>596</v>
      </c>
      <c r="C14" s="55" t="s">
        <v>695</v>
      </c>
      <c r="D14" s="55" t="s">
        <v>792</v>
      </c>
      <c r="E14" s="55" t="s">
        <v>213</v>
      </c>
      <c r="F14" s="55" t="s">
        <v>683</v>
      </c>
      <c r="G14" s="55" t="s">
        <v>638</v>
      </c>
      <c r="H14" s="62">
        <v>8400</v>
      </c>
      <c r="I14" s="62">
        <v>1500</v>
      </c>
      <c r="J14" s="62">
        <v>1410</v>
      </c>
      <c r="K14" s="63">
        <v>94935</v>
      </c>
      <c r="L14" s="63">
        <v>89238.9</v>
      </c>
      <c r="M14" s="62">
        <v>1110</v>
      </c>
      <c r="N14" s="62">
        <v>1800</v>
      </c>
      <c r="O14" s="63">
        <v>70251.899999999994</v>
      </c>
      <c r="P14" s="63">
        <v>113922</v>
      </c>
      <c r="Q14" s="62">
        <v>1680</v>
      </c>
      <c r="R14" s="62">
        <v>240</v>
      </c>
      <c r="S14" s="63">
        <v>106327.2</v>
      </c>
      <c r="T14" s="63">
        <v>15189.6</v>
      </c>
      <c r="U14" s="55" t="s">
        <v>695</v>
      </c>
    </row>
    <row r="15" spans="1:21" ht="15">
      <c r="A15" s="55" t="s">
        <v>916</v>
      </c>
      <c r="B15" s="55" t="s">
        <v>917</v>
      </c>
      <c r="C15" s="55" t="s">
        <v>1040</v>
      </c>
      <c r="D15" s="55" t="s">
        <v>1070</v>
      </c>
      <c r="E15" s="55" t="s">
        <v>213</v>
      </c>
      <c r="F15" s="55" t="s">
        <v>683</v>
      </c>
      <c r="G15" s="55" t="s">
        <v>640</v>
      </c>
      <c r="H15" s="62">
        <v>537600</v>
      </c>
      <c r="I15" s="62">
        <v>0</v>
      </c>
      <c r="J15" s="62">
        <v>0</v>
      </c>
      <c r="K15" s="63">
        <v>0</v>
      </c>
      <c r="L15" s="63">
        <v>0</v>
      </c>
      <c r="M15" s="62">
        <v>2000</v>
      </c>
      <c r="N15" s="62">
        <v>2000</v>
      </c>
      <c r="O15" s="63">
        <v>3720</v>
      </c>
      <c r="P15" s="63">
        <v>3720</v>
      </c>
      <c r="Q15" s="62">
        <v>0</v>
      </c>
      <c r="R15" s="62">
        <v>10000</v>
      </c>
      <c r="S15" s="63">
        <v>0</v>
      </c>
      <c r="T15" s="63">
        <v>18600</v>
      </c>
      <c r="U15" s="55" t="s">
        <v>1040</v>
      </c>
    </row>
    <row r="16" spans="1:21" ht="15">
      <c r="A16" s="55" t="s">
        <v>916</v>
      </c>
      <c r="B16" s="55" t="s">
        <v>917</v>
      </c>
      <c r="C16" s="55" t="s">
        <v>918</v>
      </c>
      <c r="D16" s="55" t="s">
        <v>919</v>
      </c>
      <c r="E16" s="55" t="s">
        <v>213</v>
      </c>
      <c r="F16" s="55" t="s">
        <v>684</v>
      </c>
      <c r="G16" s="55" t="s">
        <v>640</v>
      </c>
      <c r="H16" s="62">
        <v>0</v>
      </c>
      <c r="I16" s="62">
        <v>100000</v>
      </c>
      <c r="J16" s="62">
        <v>110000</v>
      </c>
      <c r="K16" s="63">
        <v>170000</v>
      </c>
      <c r="L16" s="63">
        <v>187000</v>
      </c>
      <c r="M16" s="62">
        <v>120000</v>
      </c>
      <c r="N16" s="62">
        <v>80000</v>
      </c>
      <c r="O16" s="63">
        <v>204000</v>
      </c>
      <c r="P16" s="63">
        <v>136000</v>
      </c>
      <c r="Q16" s="62">
        <v>100000</v>
      </c>
      <c r="R16" s="62">
        <v>0</v>
      </c>
      <c r="S16" s="63">
        <v>170000</v>
      </c>
      <c r="T16" s="63">
        <v>0</v>
      </c>
      <c r="U16" s="55" t="s">
        <v>1071</v>
      </c>
    </row>
    <row r="17" spans="1:21" ht="15">
      <c r="A17" s="55" t="s">
        <v>916</v>
      </c>
      <c r="B17" s="55" t="s">
        <v>917</v>
      </c>
      <c r="C17" s="55" t="s">
        <v>981</v>
      </c>
      <c r="D17" s="55" t="s">
        <v>982</v>
      </c>
      <c r="E17" s="55" t="s">
        <v>213</v>
      </c>
      <c r="F17" s="55" t="s">
        <v>683</v>
      </c>
      <c r="G17" s="55" t="s">
        <v>640</v>
      </c>
      <c r="H17" s="62">
        <v>1260000</v>
      </c>
      <c r="I17" s="62">
        <v>900000</v>
      </c>
      <c r="J17" s="62">
        <v>900000</v>
      </c>
      <c r="K17" s="63">
        <v>594000</v>
      </c>
      <c r="L17" s="63">
        <v>594000</v>
      </c>
      <c r="M17" s="68">
        <v>900000</v>
      </c>
      <c r="N17" s="68">
        <v>904000</v>
      </c>
      <c r="O17" s="63">
        <v>594000</v>
      </c>
      <c r="P17" s="63">
        <v>596640</v>
      </c>
      <c r="Q17" s="62"/>
      <c r="R17" s="62">
        <v>0</v>
      </c>
      <c r="S17" s="63">
        <v>660000</v>
      </c>
      <c r="T17" s="63">
        <v>0</v>
      </c>
      <c r="U17" s="55" t="s">
        <v>981</v>
      </c>
    </row>
    <row r="18" spans="1:21" ht="15">
      <c r="A18" s="55" t="s">
        <v>846</v>
      </c>
      <c r="B18" s="55" t="s">
        <v>1014</v>
      </c>
      <c r="C18" s="67">
        <v>8983943812</v>
      </c>
      <c r="D18" s="55" t="s">
        <v>457</v>
      </c>
      <c r="E18" s="55" t="s">
        <v>213</v>
      </c>
      <c r="F18" s="55" t="s">
        <v>683</v>
      </c>
      <c r="G18" s="55" t="s">
        <v>638</v>
      </c>
      <c r="H18" s="62">
        <v>6300</v>
      </c>
      <c r="I18" s="62">
        <v>1725</v>
      </c>
      <c r="J18" s="62">
        <v>1725</v>
      </c>
      <c r="K18" s="63">
        <v>521208.75</v>
      </c>
      <c r="L18" s="63">
        <v>521208.75</v>
      </c>
      <c r="M18" s="62">
        <v>1770</v>
      </c>
      <c r="N18" s="62">
        <v>1710</v>
      </c>
      <c r="O18" s="63">
        <v>534805.5</v>
      </c>
      <c r="P18" s="63">
        <v>516676.5</v>
      </c>
      <c r="Q18" s="62">
        <v>1155</v>
      </c>
      <c r="R18" s="62">
        <v>0</v>
      </c>
      <c r="S18" s="63">
        <v>348983.25</v>
      </c>
      <c r="T18" s="63">
        <v>0</v>
      </c>
      <c r="U18" s="55" t="s">
        <v>1072</v>
      </c>
    </row>
    <row r="19" spans="1:21" ht="15">
      <c r="A19" s="55" t="s">
        <v>846</v>
      </c>
      <c r="B19" s="55" t="s">
        <v>1014</v>
      </c>
      <c r="C19" s="67">
        <v>8983943862</v>
      </c>
      <c r="D19" s="55" t="s">
        <v>457</v>
      </c>
      <c r="E19" s="55" t="s">
        <v>213</v>
      </c>
      <c r="F19" s="55" t="s">
        <v>683</v>
      </c>
      <c r="G19" s="55" t="s">
        <v>638</v>
      </c>
      <c r="H19" s="62">
        <v>15975</v>
      </c>
      <c r="I19" s="62">
        <v>330</v>
      </c>
      <c r="J19" s="62">
        <v>330</v>
      </c>
      <c r="K19" s="63">
        <v>111962.4</v>
      </c>
      <c r="L19" s="63">
        <v>111962.4</v>
      </c>
      <c r="M19" s="62">
        <v>465</v>
      </c>
      <c r="N19" s="62">
        <v>450</v>
      </c>
      <c r="O19" s="63">
        <v>157765.20000000001</v>
      </c>
      <c r="P19" s="63">
        <v>152676</v>
      </c>
      <c r="Q19" s="62">
        <v>180</v>
      </c>
      <c r="R19" s="62">
        <v>0</v>
      </c>
      <c r="S19" s="63">
        <v>61070.400000000001</v>
      </c>
      <c r="T19" s="63">
        <v>0</v>
      </c>
      <c r="U19" s="55" t="s">
        <v>1073</v>
      </c>
    </row>
    <row r="20" spans="1:21" ht="15">
      <c r="A20" s="55" t="s">
        <v>846</v>
      </c>
      <c r="B20" s="55" t="s">
        <v>1014</v>
      </c>
      <c r="C20" s="67">
        <v>8983947931</v>
      </c>
      <c r="D20" s="55" t="s">
        <v>568</v>
      </c>
      <c r="E20" s="55" t="s">
        <v>214</v>
      </c>
      <c r="F20" s="55" t="s">
        <v>683</v>
      </c>
      <c r="G20" s="55" t="s">
        <v>638</v>
      </c>
      <c r="H20" s="62">
        <v>0</v>
      </c>
      <c r="I20" s="62">
        <v>3930</v>
      </c>
      <c r="J20" s="62">
        <v>3900</v>
      </c>
      <c r="K20" s="63">
        <v>226839.6</v>
      </c>
      <c r="L20" s="63">
        <v>225108</v>
      </c>
      <c r="M20" s="62">
        <v>4260</v>
      </c>
      <c r="N20" s="62">
        <v>4140</v>
      </c>
      <c r="O20" s="63">
        <v>245887.2</v>
      </c>
      <c r="P20" s="63">
        <v>238960.8</v>
      </c>
      <c r="Q20" s="62">
        <v>2370</v>
      </c>
      <c r="R20" s="62">
        <v>0</v>
      </c>
      <c r="S20" s="63">
        <v>136796.4</v>
      </c>
      <c r="T20" s="63">
        <v>0</v>
      </c>
      <c r="U20" s="55" t="s">
        <v>1074</v>
      </c>
    </row>
    <row r="21" spans="1:21" ht="15">
      <c r="A21" s="55" t="s">
        <v>846</v>
      </c>
      <c r="B21" s="55" t="s">
        <v>1014</v>
      </c>
      <c r="C21" s="67">
        <v>8983954210</v>
      </c>
      <c r="D21" s="55" t="s">
        <v>568</v>
      </c>
      <c r="E21" s="55" t="s">
        <v>214</v>
      </c>
      <c r="F21" s="55" t="s">
        <v>683</v>
      </c>
      <c r="G21" s="55" t="s">
        <v>638</v>
      </c>
      <c r="H21" s="62">
        <v>47250</v>
      </c>
      <c r="I21" s="62">
        <v>120</v>
      </c>
      <c r="J21" s="62">
        <v>120</v>
      </c>
      <c r="K21" s="63">
        <v>9867.6</v>
      </c>
      <c r="L21" s="63">
        <v>9867.6</v>
      </c>
      <c r="M21" s="62">
        <v>120</v>
      </c>
      <c r="N21" s="62">
        <v>120</v>
      </c>
      <c r="O21" s="63">
        <v>9867.6</v>
      </c>
      <c r="P21" s="63">
        <v>9867.6</v>
      </c>
      <c r="Q21" s="62">
        <v>180</v>
      </c>
      <c r="R21" s="62">
        <v>0</v>
      </c>
      <c r="S21" s="63">
        <v>14801.4</v>
      </c>
      <c r="T21" s="63">
        <v>0</v>
      </c>
      <c r="U21" s="55" t="s">
        <v>1075</v>
      </c>
    </row>
    <row r="22" spans="1:21" ht="15">
      <c r="A22" s="55" t="s">
        <v>846</v>
      </c>
      <c r="B22" s="55" t="s">
        <v>1014</v>
      </c>
      <c r="C22" s="55" t="s">
        <v>456</v>
      </c>
      <c r="D22" s="55" t="s">
        <v>457</v>
      </c>
      <c r="E22" s="55" t="s">
        <v>213</v>
      </c>
      <c r="F22" s="55" t="s">
        <v>683</v>
      </c>
      <c r="G22" s="55" t="s">
        <v>638</v>
      </c>
      <c r="H22" s="62">
        <v>0</v>
      </c>
      <c r="I22" s="62">
        <v>1845</v>
      </c>
      <c r="J22" s="62">
        <v>1845</v>
      </c>
      <c r="K22" s="63">
        <v>564164.1</v>
      </c>
      <c r="L22" s="63">
        <v>564164.1</v>
      </c>
      <c r="M22" s="62">
        <v>765</v>
      </c>
      <c r="N22" s="62">
        <v>765</v>
      </c>
      <c r="O22" s="63">
        <v>233921.7</v>
      </c>
      <c r="P22" s="63">
        <v>233921.7</v>
      </c>
      <c r="Q22" s="62">
        <v>930</v>
      </c>
      <c r="R22" s="62">
        <v>0</v>
      </c>
      <c r="S22" s="63">
        <v>284375.40000000002</v>
      </c>
      <c r="T22" s="63">
        <v>0</v>
      </c>
      <c r="U22" s="55" t="s">
        <v>1076</v>
      </c>
    </row>
    <row r="23" spans="1:21" ht="15">
      <c r="A23" s="55" t="s">
        <v>846</v>
      </c>
      <c r="B23" s="55" t="s">
        <v>1014</v>
      </c>
      <c r="C23" s="55" t="s">
        <v>567</v>
      </c>
      <c r="D23" s="55" t="s">
        <v>658</v>
      </c>
      <c r="E23" s="55" t="s">
        <v>214</v>
      </c>
      <c r="F23" s="55" t="s">
        <v>683</v>
      </c>
      <c r="G23" s="55" t="s">
        <v>638</v>
      </c>
      <c r="H23" s="62">
        <v>51300</v>
      </c>
      <c r="I23" s="62">
        <v>660</v>
      </c>
      <c r="J23" s="62">
        <v>660</v>
      </c>
      <c r="K23" s="63">
        <v>43560</v>
      </c>
      <c r="L23" s="63">
        <v>43560</v>
      </c>
      <c r="M23" s="62">
        <v>1200</v>
      </c>
      <c r="N23" s="62">
        <v>1170</v>
      </c>
      <c r="O23" s="63">
        <v>79200</v>
      </c>
      <c r="P23" s="63">
        <v>77220</v>
      </c>
      <c r="Q23" s="62">
        <v>1020</v>
      </c>
      <c r="R23" s="62">
        <v>0</v>
      </c>
      <c r="S23" s="63">
        <v>67320</v>
      </c>
      <c r="T23" s="63">
        <v>0</v>
      </c>
      <c r="U23" s="55" t="s">
        <v>1077</v>
      </c>
    </row>
    <row r="24" spans="1:21" ht="15">
      <c r="A24" s="55" t="s">
        <v>846</v>
      </c>
      <c r="B24" s="55" t="s">
        <v>1014</v>
      </c>
      <c r="C24" s="55" t="s">
        <v>391</v>
      </c>
      <c r="D24" s="55" t="s">
        <v>392</v>
      </c>
      <c r="E24" s="55" t="s">
        <v>214</v>
      </c>
      <c r="F24" s="55" t="s">
        <v>683</v>
      </c>
      <c r="G24" s="55" t="s">
        <v>638</v>
      </c>
      <c r="H24" s="62">
        <v>0</v>
      </c>
      <c r="I24" s="62">
        <v>3720</v>
      </c>
      <c r="J24" s="62">
        <v>3720</v>
      </c>
      <c r="K24" s="63">
        <v>266389.2</v>
      </c>
      <c r="L24" s="63">
        <v>266389.2</v>
      </c>
      <c r="M24" s="62">
        <v>4770</v>
      </c>
      <c r="N24" s="62">
        <v>4770</v>
      </c>
      <c r="O24" s="63">
        <v>341579.7</v>
      </c>
      <c r="P24" s="63">
        <v>341579.7</v>
      </c>
      <c r="Q24" s="62">
        <v>8190</v>
      </c>
      <c r="R24" s="62">
        <v>0</v>
      </c>
      <c r="S24" s="63">
        <v>586485.9</v>
      </c>
      <c r="T24" s="63">
        <v>0</v>
      </c>
      <c r="U24" s="55" t="s">
        <v>1078</v>
      </c>
    </row>
    <row r="25" spans="1:21" ht="15">
      <c r="A25" s="55" t="s">
        <v>847</v>
      </c>
      <c r="B25" s="55" t="s">
        <v>597</v>
      </c>
      <c r="C25" s="55" t="s">
        <v>310</v>
      </c>
      <c r="D25" s="55" t="s">
        <v>311</v>
      </c>
      <c r="E25" s="55" t="s">
        <v>224</v>
      </c>
      <c r="F25" s="55" t="s">
        <v>683</v>
      </c>
      <c r="G25" s="55" t="s">
        <v>638</v>
      </c>
      <c r="H25" s="62">
        <v>0</v>
      </c>
      <c r="I25" s="62">
        <v>2700</v>
      </c>
      <c r="J25" s="62">
        <v>2870</v>
      </c>
      <c r="K25" s="63">
        <v>17820</v>
      </c>
      <c r="L25" s="63">
        <v>18942</v>
      </c>
      <c r="M25" s="62">
        <v>3140</v>
      </c>
      <c r="N25" s="62">
        <v>2820</v>
      </c>
      <c r="O25" s="63">
        <v>20724</v>
      </c>
      <c r="P25" s="63">
        <v>18612</v>
      </c>
      <c r="Q25" s="62">
        <v>2520</v>
      </c>
      <c r="R25" s="62">
        <v>98</v>
      </c>
      <c r="S25" s="63">
        <v>16632</v>
      </c>
      <c r="T25" s="63">
        <v>646.79999999999995</v>
      </c>
      <c r="U25" s="55" t="s">
        <v>1079</v>
      </c>
    </row>
    <row r="26" spans="1:21" ht="15">
      <c r="A26" s="55" t="s">
        <v>848</v>
      </c>
      <c r="B26" s="55" t="s">
        <v>1014</v>
      </c>
      <c r="C26" s="67">
        <v>1511720971</v>
      </c>
      <c r="D26" s="55" t="s">
        <v>681</v>
      </c>
      <c r="E26" s="55" t="s">
        <v>224</v>
      </c>
      <c r="F26" s="55" t="s">
        <v>683</v>
      </c>
      <c r="G26" s="55" t="s">
        <v>638</v>
      </c>
      <c r="H26" s="62">
        <v>12600</v>
      </c>
      <c r="I26" s="62">
        <v>852</v>
      </c>
      <c r="J26" s="62">
        <v>744</v>
      </c>
      <c r="K26" s="63">
        <v>125814.84</v>
      </c>
      <c r="L26" s="63">
        <v>109866.48</v>
      </c>
      <c r="M26" s="62">
        <v>876</v>
      </c>
      <c r="N26" s="62">
        <v>876</v>
      </c>
      <c r="O26" s="63">
        <v>129358.92</v>
      </c>
      <c r="P26" s="63">
        <v>129358.92</v>
      </c>
      <c r="Q26" s="62">
        <v>1008</v>
      </c>
      <c r="R26" s="62">
        <v>0</v>
      </c>
      <c r="S26" s="63">
        <v>148851.35999999999</v>
      </c>
      <c r="T26" s="63">
        <v>0</v>
      </c>
      <c r="U26" s="55" t="s">
        <v>1080</v>
      </c>
    </row>
    <row r="27" spans="1:21" ht="15">
      <c r="A27" s="55" t="s">
        <v>848</v>
      </c>
      <c r="B27" s="55" t="s">
        <v>1014</v>
      </c>
      <c r="C27" s="67">
        <v>7552008070</v>
      </c>
      <c r="D27" s="55" t="s">
        <v>928</v>
      </c>
      <c r="E27" s="55" t="s">
        <v>213</v>
      </c>
      <c r="F27" s="55" t="s">
        <v>683</v>
      </c>
      <c r="G27" s="55" t="s">
        <v>638</v>
      </c>
      <c r="H27" s="62">
        <v>7875</v>
      </c>
      <c r="I27" s="62">
        <v>19</v>
      </c>
      <c r="J27" s="62">
        <v>15</v>
      </c>
      <c r="K27" s="63">
        <v>2988.89</v>
      </c>
      <c r="L27" s="63">
        <v>2359.65</v>
      </c>
      <c r="M27" s="62">
        <v>0</v>
      </c>
      <c r="N27" s="62">
        <v>0</v>
      </c>
      <c r="O27" s="63">
        <v>0</v>
      </c>
      <c r="P27" s="63">
        <v>0</v>
      </c>
      <c r="Q27" s="62">
        <v>15</v>
      </c>
      <c r="R27" s="62">
        <v>0</v>
      </c>
      <c r="S27" s="63">
        <v>2359.65</v>
      </c>
      <c r="T27" s="63">
        <v>0</v>
      </c>
      <c r="U27" s="55" t="s">
        <v>1081</v>
      </c>
    </row>
    <row r="28" spans="1:21" ht="15">
      <c r="A28" s="55" t="s">
        <v>848</v>
      </c>
      <c r="B28" s="55" t="s">
        <v>1014</v>
      </c>
      <c r="C28" s="67">
        <v>7552091840</v>
      </c>
      <c r="D28" s="55" t="s">
        <v>457</v>
      </c>
      <c r="E28" s="55" t="s">
        <v>213</v>
      </c>
      <c r="F28" s="55" t="s">
        <v>683</v>
      </c>
      <c r="G28" s="55" t="s">
        <v>638</v>
      </c>
      <c r="H28" s="62">
        <v>8800</v>
      </c>
      <c r="I28" s="62">
        <v>0</v>
      </c>
      <c r="J28" s="62">
        <v>0</v>
      </c>
      <c r="K28" s="63">
        <v>0</v>
      </c>
      <c r="L28" s="63">
        <v>0</v>
      </c>
      <c r="M28" s="62">
        <v>0</v>
      </c>
      <c r="N28" s="62">
        <v>0</v>
      </c>
      <c r="O28" s="63">
        <v>0</v>
      </c>
      <c r="P28" s="63">
        <v>0</v>
      </c>
      <c r="Q28" s="62">
        <v>150</v>
      </c>
      <c r="R28" s="62">
        <v>0</v>
      </c>
      <c r="S28" s="63">
        <v>49750.5</v>
      </c>
      <c r="T28" s="63">
        <v>0</v>
      </c>
      <c r="U28" s="55" t="s">
        <v>1082</v>
      </c>
    </row>
    <row r="29" spans="1:21" ht="15">
      <c r="A29" s="55" t="s">
        <v>848</v>
      </c>
      <c r="B29" s="55" t="s">
        <v>1014</v>
      </c>
      <c r="C29" s="67">
        <v>7552125760</v>
      </c>
      <c r="D29" s="55" t="s">
        <v>929</v>
      </c>
      <c r="E29" s="55" t="s">
        <v>224</v>
      </c>
      <c r="F29" s="55" t="s">
        <v>683</v>
      </c>
      <c r="G29" s="55" t="s">
        <v>638</v>
      </c>
      <c r="H29" s="62">
        <v>10500</v>
      </c>
      <c r="I29" s="62">
        <v>19</v>
      </c>
      <c r="J29" s="62">
        <v>15</v>
      </c>
      <c r="K29" s="63">
        <v>27968.57</v>
      </c>
      <c r="L29" s="63">
        <v>22080.45</v>
      </c>
      <c r="M29" s="62">
        <v>0</v>
      </c>
      <c r="N29" s="62">
        <v>0</v>
      </c>
      <c r="O29" s="63">
        <v>0</v>
      </c>
      <c r="P29" s="63">
        <v>0</v>
      </c>
      <c r="Q29" s="62">
        <v>15</v>
      </c>
      <c r="R29" s="62">
        <v>0</v>
      </c>
      <c r="S29" s="63">
        <v>22080.45</v>
      </c>
      <c r="T29" s="63">
        <v>0</v>
      </c>
      <c r="U29" s="55" t="s">
        <v>1083</v>
      </c>
    </row>
    <row r="30" spans="1:21" ht="15">
      <c r="A30" s="55" t="s">
        <v>848</v>
      </c>
      <c r="B30" s="55" t="s">
        <v>1014</v>
      </c>
      <c r="C30" s="67">
        <v>7552125770</v>
      </c>
      <c r="D30" s="55" t="s">
        <v>930</v>
      </c>
      <c r="E30" s="55" t="s">
        <v>224</v>
      </c>
      <c r="F30" s="55" t="s">
        <v>683</v>
      </c>
      <c r="G30" s="55" t="s">
        <v>638</v>
      </c>
      <c r="H30" s="62">
        <v>10500</v>
      </c>
      <c r="I30" s="62">
        <v>19</v>
      </c>
      <c r="J30" s="62">
        <v>15</v>
      </c>
      <c r="K30" s="63">
        <v>27995.74</v>
      </c>
      <c r="L30" s="63">
        <v>22101.9</v>
      </c>
      <c r="M30" s="62">
        <v>0</v>
      </c>
      <c r="N30" s="62">
        <v>0</v>
      </c>
      <c r="O30" s="63">
        <v>0</v>
      </c>
      <c r="P30" s="63">
        <v>0</v>
      </c>
      <c r="Q30" s="62">
        <v>15</v>
      </c>
      <c r="R30" s="62">
        <v>0</v>
      </c>
      <c r="S30" s="63">
        <v>22101.9</v>
      </c>
      <c r="T30" s="63">
        <v>0</v>
      </c>
      <c r="U30" s="55" t="s">
        <v>1084</v>
      </c>
    </row>
    <row r="31" spans="1:21" ht="15">
      <c r="A31" s="55" t="s">
        <v>848</v>
      </c>
      <c r="B31" s="55" t="s">
        <v>1014</v>
      </c>
      <c r="C31" s="67">
        <v>7552125780</v>
      </c>
      <c r="D31" s="55" t="s">
        <v>931</v>
      </c>
      <c r="E31" s="55" t="s">
        <v>224</v>
      </c>
      <c r="F31" s="55" t="s">
        <v>683</v>
      </c>
      <c r="G31" s="55" t="s">
        <v>638</v>
      </c>
      <c r="H31" s="62">
        <v>10500</v>
      </c>
      <c r="I31" s="62">
        <v>19</v>
      </c>
      <c r="J31" s="62">
        <v>15</v>
      </c>
      <c r="K31" s="63">
        <v>26034.94</v>
      </c>
      <c r="L31" s="63">
        <v>20553.900000000001</v>
      </c>
      <c r="M31" s="62">
        <v>0</v>
      </c>
      <c r="N31" s="62">
        <v>0</v>
      </c>
      <c r="O31" s="63">
        <v>0</v>
      </c>
      <c r="P31" s="63">
        <v>0</v>
      </c>
      <c r="Q31" s="62">
        <v>15</v>
      </c>
      <c r="R31" s="62">
        <v>0</v>
      </c>
      <c r="S31" s="63">
        <v>20553.900000000001</v>
      </c>
      <c r="T31" s="63">
        <v>0</v>
      </c>
      <c r="U31" s="55" t="s">
        <v>1085</v>
      </c>
    </row>
    <row r="32" spans="1:21" ht="15">
      <c r="A32" s="55" t="s">
        <v>848</v>
      </c>
      <c r="B32" s="55" t="s">
        <v>1014</v>
      </c>
      <c r="C32" s="67">
        <v>7552125790</v>
      </c>
      <c r="D32" s="55" t="s">
        <v>932</v>
      </c>
      <c r="E32" s="55" t="s">
        <v>224</v>
      </c>
      <c r="F32" s="55" t="s">
        <v>683</v>
      </c>
      <c r="G32" s="55" t="s">
        <v>638</v>
      </c>
      <c r="H32" s="62">
        <v>10500</v>
      </c>
      <c r="I32" s="62">
        <v>19</v>
      </c>
      <c r="J32" s="62">
        <v>15</v>
      </c>
      <c r="K32" s="63">
        <v>31725.25</v>
      </c>
      <c r="L32" s="63">
        <v>25046.25</v>
      </c>
      <c r="M32" s="62">
        <v>0</v>
      </c>
      <c r="N32" s="62">
        <v>0</v>
      </c>
      <c r="O32" s="63">
        <v>0</v>
      </c>
      <c r="P32" s="63">
        <v>0</v>
      </c>
      <c r="Q32" s="62">
        <v>15</v>
      </c>
      <c r="R32" s="62">
        <v>0</v>
      </c>
      <c r="S32" s="63">
        <v>25046.25</v>
      </c>
      <c r="T32" s="63">
        <v>0</v>
      </c>
      <c r="U32" s="55" t="s">
        <v>1086</v>
      </c>
    </row>
    <row r="33" spans="1:21" ht="15">
      <c r="A33" s="55" t="s">
        <v>848</v>
      </c>
      <c r="B33" s="55" t="s">
        <v>1014</v>
      </c>
      <c r="C33" s="67">
        <v>7552125800</v>
      </c>
      <c r="D33" s="55" t="s">
        <v>933</v>
      </c>
      <c r="E33" s="55" t="s">
        <v>224</v>
      </c>
      <c r="F33" s="55" t="s">
        <v>683</v>
      </c>
      <c r="G33" s="55" t="s">
        <v>638</v>
      </c>
      <c r="H33" s="62">
        <v>10500</v>
      </c>
      <c r="I33" s="62">
        <v>19</v>
      </c>
      <c r="J33" s="62">
        <v>15</v>
      </c>
      <c r="K33" s="63">
        <v>30918.89</v>
      </c>
      <c r="L33" s="63">
        <v>24409.65</v>
      </c>
      <c r="M33" s="62">
        <v>0</v>
      </c>
      <c r="N33" s="62">
        <v>0</v>
      </c>
      <c r="O33" s="63">
        <v>0</v>
      </c>
      <c r="P33" s="63">
        <v>0</v>
      </c>
      <c r="Q33" s="62">
        <v>15</v>
      </c>
      <c r="R33" s="62">
        <v>0</v>
      </c>
      <c r="S33" s="63">
        <v>24409.65</v>
      </c>
      <c r="T33" s="63">
        <v>0</v>
      </c>
      <c r="U33" s="55" t="s">
        <v>1087</v>
      </c>
    </row>
    <row r="34" spans="1:21" ht="15">
      <c r="A34" s="55" t="s">
        <v>848</v>
      </c>
      <c r="B34" s="55" t="s">
        <v>1014</v>
      </c>
      <c r="C34" s="67">
        <v>7552125810</v>
      </c>
      <c r="D34" s="55" t="s">
        <v>934</v>
      </c>
      <c r="E34" s="55" t="s">
        <v>224</v>
      </c>
      <c r="F34" s="55" t="s">
        <v>683</v>
      </c>
      <c r="G34" s="55" t="s">
        <v>638</v>
      </c>
      <c r="H34" s="62">
        <v>4200</v>
      </c>
      <c r="I34" s="62">
        <v>19</v>
      </c>
      <c r="J34" s="62">
        <v>15</v>
      </c>
      <c r="K34" s="63">
        <v>38680.01</v>
      </c>
      <c r="L34" s="63">
        <v>30536.85</v>
      </c>
      <c r="M34" s="62">
        <v>0</v>
      </c>
      <c r="N34" s="62">
        <v>0</v>
      </c>
      <c r="O34" s="63">
        <v>0</v>
      </c>
      <c r="P34" s="63">
        <v>0</v>
      </c>
      <c r="Q34" s="62">
        <v>15</v>
      </c>
      <c r="R34" s="62">
        <v>0</v>
      </c>
      <c r="S34" s="63">
        <v>30536.85</v>
      </c>
      <c r="T34" s="63">
        <v>0</v>
      </c>
      <c r="U34" s="55" t="s">
        <v>1088</v>
      </c>
    </row>
    <row r="35" spans="1:21" ht="15">
      <c r="A35" s="55" t="s">
        <v>848</v>
      </c>
      <c r="B35" s="55" t="s">
        <v>1014</v>
      </c>
      <c r="C35" s="67">
        <v>7552296440</v>
      </c>
      <c r="D35" s="55" t="s">
        <v>457</v>
      </c>
      <c r="E35" s="55" t="s">
        <v>213</v>
      </c>
      <c r="F35" s="55" t="s">
        <v>683</v>
      </c>
      <c r="G35" s="55" t="s">
        <v>638</v>
      </c>
      <c r="H35" s="62">
        <v>7350</v>
      </c>
      <c r="I35" s="62">
        <v>2472</v>
      </c>
      <c r="J35" s="62">
        <v>2391</v>
      </c>
      <c r="K35" s="63">
        <v>1828835.04</v>
      </c>
      <c r="L35" s="63">
        <v>1768909.62</v>
      </c>
      <c r="M35" s="62">
        <v>3281</v>
      </c>
      <c r="N35" s="62">
        <v>2586</v>
      </c>
      <c r="O35" s="63">
        <v>2473874</v>
      </c>
      <c r="P35" s="63">
        <v>1949844</v>
      </c>
      <c r="Q35" s="62">
        <v>3147</v>
      </c>
      <c r="R35" s="62">
        <v>0</v>
      </c>
      <c r="S35" s="63">
        <v>2372838</v>
      </c>
      <c r="T35" s="63">
        <v>0</v>
      </c>
      <c r="U35" s="55" t="s">
        <v>1089</v>
      </c>
    </row>
    <row r="36" spans="1:21" ht="15">
      <c r="A36" s="55" t="s">
        <v>848</v>
      </c>
      <c r="B36" s="55" t="s">
        <v>1014</v>
      </c>
      <c r="C36" s="67">
        <v>7553180490</v>
      </c>
      <c r="D36" s="55" t="s">
        <v>983</v>
      </c>
      <c r="E36" s="55" t="s">
        <v>224</v>
      </c>
      <c r="F36" s="55" t="s">
        <v>683</v>
      </c>
      <c r="G36" s="55" t="s">
        <v>638</v>
      </c>
      <c r="H36" s="62">
        <v>15750</v>
      </c>
      <c r="I36" s="62">
        <v>3224</v>
      </c>
      <c r="J36" s="62">
        <v>2990</v>
      </c>
      <c r="K36" s="63">
        <v>251891.12</v>
      </c>
      <c r="L36" s="63">
        <v>233608.7</v>
      </c>
      <c r="M36" s="62">
        <v>4080</v>
      </c>
      <c r="N36" s="62">
        <v>2986</v>
      </c>
      <c r="O36" s="63">
        <v>318770.40000000002</v>
      </c>
      <c r="P36" s="63">
        <v>233296.18</v>
      </c>
      <c r="Q36" s="62">
        <v>4306</v>
      </c>
      <c r="R36" s="62">
        <v>0</v>
      </c>
      <c r="S36" s="63">
        <v>336427.78</v>
      </c>
      <c r="T36" s="63">
        <v>0</v>
      </c>
      <c r="U36" s="55" t="s">
        <v>1090</v>
      </c>
    </row>
    <row r="37" spans="1:21" ht="15">
      <c r="A37" s="55" t="s">
        <v>848</v>
      </c>
      <c r="B37" s="55" t="s">
        <v>1014</v>
      </c>
      <c r="C37" s="67">
        <v>8978760470</v>
      </c>
      <c r="D37" s="55" t="s">
        <v>457</v>
      </c>
      <c r="E37" s="55" t="s">
        <v>213</v>
      </c>
      <c r="F37" s="55" t="s">
        <v>683</v>
      </c>
      <c r="G37" s="55" t="s">
        <v>638</v>
      </c>
      <c r="H37" s="62">
        <v>16800</v>
      </c>
      <c r="I37" s="62">
        <v>2722</v>
      </c>
      <c r="J37" s="62">
        <v>2557</v>
      </c>
      <c r="K37" s="63">
        <v>835381.8</v>
      </c>
      <c r="L37" s="63">
        <v>784743.3</v>
      </c>
      <c r="M37" s="62">
        <v>1861</v>
      </c>
      <c r="N37" s="62">
        <v>1663</v>
      </c>
      <c r="O37" s="63">
        <v>587517.69999999995</v>
      </c>
      <c r="P37" s="63">
        <v>525009.1</v>
      </c>
      <c r="Q37" s="62">
        <v>2055</v>
      </c>
      <c r="R37" s="62">
        <v>0</v>
      </c>
      <c r="S37" s="63">
        <v>648763.5</v>
      </c>
      <c r="T37" s="63">
        <v>0</v>
      </c>
      <c r="U37" s="55" t="s">
        <v>1091</v>
      </c>
    </row>
    <row r="38" spans="1:21" ht="15">
      <c r="A38" s="55" t="s">
        <v>848</v>
      </c>
      <c r="B38" s="55" t="s">
        <v>1014</v>
      </c>
      <c r="C38" s="67">
        <v>8983943812</v>
      </c>
      <c r="D38" s="55" t="s">
        <v>457</v>
      </c>
      <c r="E38" s="55" t="s">
        <v>213</v>
      </c>
      <c r="F38" s="55" t="s">
        <v>683</v>
      </c>
      <c r="G38" s="55" t="s">
        <v>638</v>
      </c>
      <c r="H38" s="62">
        <v>6300</v>
      </c>
      <c r="I38" s="62">
        <v>1417</v>
      </c>
      <c r="J38" s="62">
        <v>1642</v>
      </c>
      <c r="K38" s="63">
        <v>428146.55</v>
      </c>
      <c r="L38" s="63">
        <v>496130.3</v>
      </c>
      <c r="M38" s="62">
        <v>1586</v>
      </c>
      <c r="N38" s="62">
        <v>1235</v>
      </c>
      <c r="O38" s="63">
        <v>479209.9</v>
      </c>
      <c r="P38" s="63">
        <v>373155.25</v>
      </c>
      <c r="Q38" s="62">
        <v>1621</v>
      </c>
      <c r="R38" s="62">
        <v>0</v>
      </c>
      <c r="S38" s="63">
        <v>489785.15</v>
      </c>
      <c r="T38" s="63">
        <v>0</v>
      </c>
      <c r="U38" s="55" t="s">
        <v>1072</v>
      </c>
    </row>
    <row r="39" spans="1:21" ht="15">
      <c r="A39" s="55" t="s">
        <v>848</v>
      </c>
      <c r="B39" s="55" t="s">
        <v>1014</v>
      </c>
      <c r="C39" s="67">
        <v>8983943831</v>
      </c>
      <c r="D39" s="55" t="s">
        <v>755</v>
      </c>
      <c r="E39" s="55" t="s">
        <v>213</v>
      </c>
      <c r="F39" s="55" t="s">
        <v>683</v>
      </c>
      <c r="G39" s="55" t="s">
        <v>638</v>
      </c>
      <c r="H39" s="62">
        <v>5250</v>
      </c>
      <c r="I39" s="62">
        <v>2</v>
      </c>
      <c r="J39" s="62">
        <v>3</v>
      </c>
      <c r="K39" s="63">
        <v>1501.86</v>
      </c>
      <c r="L39" s="63">
        <v>2252.79</v>
      </c>
      <c r="M39" s="62">
        <v>35</v>
      </c>
      <c r="N39" s="62">
        <v>111</v>
      </c>
      <c r="O39" s="63">
        <v>26282.55</v>
      </c>
      <c r="P39" s="63">
        <v>83353.23</v>
      </c>
      <c r="Q39" s="62">
        <v>180</v>
      </c>
      <c r="R39" s="62">
        <v>0</v>
      </c>
      <c r="S39" s="63">
        <v>135167.4</v>
      </c>
      <c r="T39" s="63">
        <v>0</v>
      </c>
      <c r="U39" s="55" t="s">
        <v>1092</v>
      </c>
    </row>
    <row r="40" spans="1:21" ht="15">
      <c r="A40" s="55" t="s">
        <v>848</v>
      </c>
      <c r="B40" s="55" t="s">
        <v>1014</v>
      </c>
      <c r="C40" s="67">
        <v>8983943851</v>
      </c>
      <c r="D40" s="55" t="s">
        <v>457</v>
      </c>
      <c r="E40" s="55" t="s">
        <v>213</v>
      </c>
      <c r="F40" s="55" t="s">
        <v>683</v>
      </c>
      <c r="G40" s="55" t="s">
        <v>638</v>
      </c>
      <c r="H40" s="62">
        <v>6900</v>
      </c>
      <c r="I40" s="62">
        <v>0</v>
      </c>
      <c r="J40" s="62">
        <v>0</v>
      </c>
      <c r="K40" s="63">
        <v>0</v>
      </c>
      <c r="L40" s="63">
        <v>0</v>
      </c>
      <c r="M40" s="62">
        <v>0</v>
      </c>
      <c r="N40" s="62">
        <v>0</v>
      </c>
      <c r="O40" s="63">
        <v>0</v>
      </c>
      <c r="P40" s="63">
        <v>0</v>
      </c>
      <c r="Q40" s="62">
        <v>8</v>
      </c>
      <c r="R40" s="62">
        <v>0</v>
      </c>
      <c r="S40" s="63">
        <v>1969.76</v>
      </c>
      <c r="T40" s="63">
        <v>0</v>
      </c>
      <c r="U40" s="55" t="s">
        <v>1093</v>
      </c>
    </row>
    <row r="41" spans="1:21" ht="15">
      <c r="A41" s="55" t="s">
        <v>848</v>
      </c>
      <c r="B41" s="55" t="s">
        <v>1014</v>
      </c>
      <c r="C41" s="67">
        <v>8983943862</v>
      </c>
      <c r="D41" s="55" t="s">
        <v>457</v>
      </c>
      <c r="E41" s="55" t="s">
        <v>213</v>
      </c>
      <c r="F41" s="55" t="s">
        <v>683</v>
      </c>
      <c r="G41" s="55" t="s">
        <v>638</v>
      </c>
      <c r="H41" s="62">
        <v>15975</v>
      </c>
      <c r="I41" s="62">
        <v>7172</v>
      </c>
      <c r="J41" s="62">
        <v>7038</v>
      </c>
      <c r="K41" s="63">
        <v>2433316.16</v>
      </c>
      <c r="L41" s="63">
        <v>2387852.64</v>
      </c>
      <c r="M41" s="62">
        <v>6431</v>
      </c>
      <c r="N41" s="62">
        <v>4916</v>
      </c>
      <c r="O41" s="63">
        <v>2181909.6800000002</v>
      </c>
      <c r="P41" s="63">
        <v>1667900.48</v>
      </c>
      <c r="Q41" s="62">
        <v>5889</v>
      </c>
      <c r="R41" s="62">
        <v>0</v>
      </c>
      <c r="S41" s="63">
        <v>1998019.92</v>
      </c>
      <c r="T41" s="63">
        <v>0</v>
      </c>
      <c r="U41" s="55" t="s">
        <v>1073</v>
      </c>
    </row>
    <row r="42" spans="1:21" ht="15">
      <c r="A42" s="55" t="s">
        <v>848</v>
      </c>
      <c r="B42" s="55" t="s">
        <v>1014</v>
      </c>
      <c r="C42" s="67">
        <v>8983947931</v>
      </c>
      <c r="D42" s="55" t="s">
        <v>568</v>
      </c>
      <c r="E42" s="55" t="s">
        <v>214</v>
      </c>
      <c r="F42" s="55" t="s">
        <v>683</v>
      </c>
      <c r="G42" s="55" t="s">
        <v>638</v>
      </c>
      <c r="H42" s="62">
        <v>0</v>
      </c>
      <c r="I42" s="62">
        <v>16876</v>
      </c>
      <c r="J42" s="62">
        <v>16480</v>
      </c>
      <c r="K42" s="63">
        <v>974082.72</v>
      </c>
      <c r="L42" s="63">
        <v>951225.6</v>
      </c>
      <c r="M42" s="62">
        <v>14940</v>
      </c>
      <c r="N42" s="62">
        <v>12164</v>
      </c>
      <c r="O42" s="63">
        <v>862336.8</v>
      </c>
      <c r="P42" s="63">
        <v>702106.08</v>
      </c>
      <c r="Q42" s="62">
        <v>15670</v>
      </c>
      <c r="R42" s="62">
        <v>0</v>
      </c>
      <c r="S42" s="63">
        <v>904472.4</v>
      </c>
      <c r="T42" s="63">
        <v>0</v>
      </c>
      <c r="U42" s="55" t="s">
        <v>1074</v>
      </c>
    </row>
    <row r="43" spans="1:21" ht="15">
      <c r="A43" s="55" t="s">
        <v>848</v>
      </c>
      <c r="B43" s="55" t="s">
        <v>1014</v>
      </c>
      <c r="C43" s="67">
        <v>8983954210</v>
      </c>
      <c r="D43" s="55" t="s">
        <v>568</v>
      </c>
      <c r="E43" s="55" t="s">
        <v>214</v>
      </c>
      <c r="F43" s="55" t="s">
        <v>683</v>
      </c>
      <c r="G43" s="55" t="s">
        <v>638</v>
      </c>
      <c r="H43" s="62">
        <v>47250</v>
      </c>
      <c r="I43" s="62">
        <v>4178</v>
      </c>
      <c r="J43" s="62">
        <v>4500</v>
      </c>
      <c r="K43" s="63">
        <v>343556.94</v>
      </c>
      <c r="L43" s="63">
        <v>370035</v>
      </c>
      <c r="M43" s="62">
        <v>3240</v>
      </c>
      <c r="N43" s="62">
        <v>2640</v>
      </c>
      <c r="O43" s="63">
        <v>266425.2</v>
      </c>
      <c r="P43" s="63">
        <v>217087.2</v>
      </c>
      <c r="Q43" s="62">
        <v>1954</v>
      </c>
      <c r="R43" s="62">
        <v>0</v>
      </c>
      <c r="S43" s="63">
        <v>160677.42000000001</v>
      </c>
      <c r="T43" s="63">
        <v>0</v>
      </c>
      <c r="U43" s="55" t="s">
        <v>1075</v>
      </c>
    </row>
    <row r="44" spans="1:21" ht="15">
      <c r="A44" s="55" t="s">
        <v>848</v>
      </c>
      <c r="B44" s="55" t="s">
        <v>1014</v>
      </c>
      <c r="C44" s="55" t="s">
        <v>385</v>
      </c>
      <c r="D44" s="55" t="s">
        <v>386</v>
      </c>
      <c r="E44" s="55" t="s">
        <v>224</v>
      </c>
      <c r="F44" s="55" t="s">
        <v>683</v>
      </c>
      <c r="G44" s="55" t="s">
        <v>638</v>
      </c>
      <c r="H44" s="62">
        <v>15300</v>
      </c>
      <c r="I44" s="62">
        <v>828</v>
      </c>
      <c r="J44" s="62">
        <v>756</v>
      </c>
      <c r="K44" s="63">
        <v>29634.12</v>
      </c>
      <c r="L44" s="63">
        <v>27057.24</v>
      </c>
      <c r="M44" s="62">
        <v>1152</v>
      </c>
      <c r="N44" s="62">
        <v>1080</v>
      </c>
      <c r="O44" s="63">
        <v>41230.080000000002</v>
      </c>
      <c r="P44" s="63">
        <v>38653.199999999997</v>
      </c>
      <c r="Q44" s="62">
        <v>900</v>
      </c>
      <c r="R44" s="62">
        <v>0</v>
      </c>
      <c r="S44" s="63">
        <v>32211</v>
      </c>
      <c r="T44" s="63">
        <v>0</v>
      </c>
      <c r="U44" s="55" t="s">
        <v>385</v>
      </c>
    </row>
    <row r="45" spans="1:21" ht="15">
      <c r="A45" s="55" t="s">
        <v>848</v>
      </c>
      <c r="B45" s="55" t="s">
        <v>1014</v>
      </c>
      <c r="C45" s="55" t="s">
        <v>383</v>
      </c>
      <c r="D45" s="55" t="s">
        <v>384</v>
      </c>
      <c r="E45" s="55" t="s">
        <v>224</v>
      </c>
      <c r="F45" s="55" t="s">
        <v>683</v>
      </c>
      <c r="G45" s="55" t="s">
        <v>638</v>
      </c>
      <c r="H45" s="62">
        <v>28350</v>
      </c>
      <c r="I45" s="62">
        <v>2100</v>
      </c>
      <c r="J45" s="62">
        <v>1740</v>
      </c>
      <c r="K45" s="63">
        <v>31689</v>
      </c>
      <c r="L45" s="63">
        <v>26256.6</v>
      </c>
      <c r="M45" s="62">
        <v>2880</v>
      </c>
      <c r="N45" s="62">
        <v>2760</v>
      </c>
      <c r="O45" s="63">
        <v>43459.199999999997</v>
      </c>
      <c r="P45" s="63">
        <v>41648.400000000001</v>
      </c>
      <c r="Q45" s="62">
        <v>2340</v>
      </c>
      <c r="R45" s="62">
        <v>0</v>
      </c>
      <c r="S45" s="63">
        <v>35310.6</v>
      </c>
      <c r="T45" s="63">
        <v>0</v>
      </c>
      <c r="U45" s="55" t="s">
        <v>383</v>
      </c>
    </row>
    <row r="46" spans="1:21" ht="15">
      <c r="A46" s="55" t="s">
        <v>848</v>
      </c>
      <c r="B46" s="55" t="s">
        <v>1014</v>
      </c>
      <c r="C46" s="55" t="s">
        <v>411</v>
      </c>
      <c r="D46" s="55" t="s">
        <v>412</v>
      </c>
      <c r="E46" s="55" t="s">
        <v>214</v>
      </c>
      <c r="F46" s="55" t="s">
        <v>683</v>
      </c>
      <c r="G46" s="55" t="s">
        <v>638</v>
      </c>
      <c r="H46" s="62">
        <v>0</v>
      </c>
      <c r="I46" s="62">
        <v>216</v>
      </c>
      <c r="J46" s="62">
        <v>168</v>
      </c>
      <c r="K46" s="63">
        <v>40735.440000000002</v>
      </c>
      <c r="L46" s="63">
        <v>31683.119999999999</v>
      </c>
      <c r="M46" s="62">
        <v>192</v>
      </c>
      <c r="N46" s="62">
        <v>192</v>
      </c>
      <c r="O46" s="63">
        <v>36209.279999999999</v>
      </c>
      <c r="P46" s="63">
        <v>36209.279999999999</v>
      </c>
      <c r="Q46" s="62">
        <v>240</v>
      </c>
      <c r="R46" s="62">
        <v>0</v>
      </c>
      <c r="S46" s="63">
        <v>45261.599999999999</v>
      </c>
      <c r="T46" s="63">
        <v>0</v>
      </c>
      <c r="U46" s="55" t="s">
        <v>411</v>
      </c>
    </row>
    <row r="47" spans="1:21" ht="15">
      <c r="A47" s="55" t="s">
        <v>848</v>
      </c>
      <c r="B47" s="55" t="s">
        <v>1014</v>
      </c>
      <c r="C47" s="55" t="s">
        <v>398</v>
      </c>
      <c r="D47" s="55" t="s">
        <v>397</v>
      </c>
      <c r="E47" s="55" t="s">
        <v>214</v>
      </c>
      <c r="F47" s="55" t="s">
        <v>683</v>
      </c>
      <c r="G47" s="55" t="s">
        <v>638</v>
      </c>
      <c r="H47" s="62">
        <v>0</v>
      </c>
      <c r="I47" s="62">
        <v>96</v>
      </c>
      <c r="J47" s="62">
        <v>120</v>
      </c>
      <c r="K47" s="63">
        <v>17676.48</v>
      </c>
      <c r="L47" s="63">
        <v>22095.599999999999</v>
      </c>
      <c r="M47" s="62">
        <v>192</v>
      </c>
      <c r="N47" s="62">
        <v>168</v>
      </c>
      <c r="O47" s="63">
        <v>35352.959999999999</v>
      </c>
      <c r="P47" s="63">
        <v>30933.84</v>
      </c>
      <c r="Q47" s="62">
        <v>96</v>
      </c>
      <c r="R47" s="62">
        <v>0</v>
      </c>
      <c r="S47" s="63">
        <v>17676.48</v>
      </c>
      <c r="T47" s="63">
        <v>0</v>
      </c>
      <c r="U47" s="55" t="s">
        <v>398</v>
      </c>
    </row>
    <row r="48" spans="1:21" ht="15">
      <c r="A48" s="55" t="s">
        <v>848</v>
      </c>
      <c r="B48" s="55" t="s">
        <v>1014</v>
      </c>
      <c r="C48" s="55" t="s">
        <v>413</v>
      </c>
      <c r="D48" s="55" t="s">
        <v>414</v>
      </c>
      <c r="E48" s="55" t="s">
        <v>214</v>
      </c>
      <c r="F48" s="55" t="s">
        <v>683</v>
      </c>
      <c r="G48" s="55" t="s">
        <v>638</v>
      </c>
      <c r="H48" s="62">
        <v>0</v>
      </c>
      <c r="I48" s="62">
        <v>276</v>
      </c>
      <c r="J48" s="62">
        <v>252</v>
      </c>
      <c r="K48" s="63">
        <v>14443.08</v>
      </c>
      <c r="L48" s="63">
        <v>13187.16</v>
      </c>
      <c r="M48" s="62">
        <v>384</v>
      </c>
      <c r="N48" s="62">
        <v>360</v>
      </c>
      <c r="O48" s="63">
        <v>20094.72</v>
      </c>
      <c r="P48" s="63">
        <v>18838.8</v>
      </c>
      <c r="Q48" s="62">
        <v>300</v>
      </c>
      <c r="R48" s="62">
        <v>0</v>
      </c>
      <c r="S48" s="63">
        <v>15699</v>
      </c>
      <c r="T48" s="63">
        <v>0</v>
      </c>
      <c r="U48" s="55" t="s">
        <v>413</v>
      </c>
    </row>
    <row r="49" spans="1:21" ht="15">
      <c r="A49" s="55" t="s">
        <v>848</v>
      </c>
      <c r="B49" s="55" t="s">
        <v>1014</v>
      </c>
      <c r="C49" s="55" t="s">
        <v>415</v>
      </c>
      <c r="D49" s="55" t="s">
        <v>416</v>
      </c>
      <c r="E49" s="55" t="s">
        <v>214</v>
      </c>
      <c r="F49" s="55" t="s">
        <v>683</v>
      </c>
      <c r="G49" s="55" t="s">
        <v>638</v>
      </c>
      <c r="H49" s="62">
        <v>0</v>
      </c>
      <c r="I49" s="62">
        <v>276</v>
      </c>
      <c r="J49" s="62">
        <v>252</v>
      </c>
      <c r="K49" s="63">
        <v>32275.439999999999</v>
      </c>
      <c r="L49" s="63">
        <v>29468.880000000001</v>
      </c>
      <c r="M49" s="62">
        <v>384</v>
      </c>
      <c r="N49" s="62">
        <v>360</v>
      </c>
      <c r="O49" s="63">
        <v>44904.959999999999</v>
      </c>
      <c r="P49" s="63">
        <v>42098.400000000001</v>
      </c>
      <c r="Q49" s="62">
        <v>300</v>
      </c>
      <c r="R49" s="62">
        <v>0</v>
      </c>
      <c r="S49" s="63">
        <v>35082</v>
      </c>
      <c r="T49" s="63">
        <v>0</v>
      </c>
      <c r="U49" s="55" t="s">
        <v>1094</v>
      </c>
    </row>
    <row r="50" spans="1:21" ht="15">
      <c r="A50" s="55" t="s">
        <v>848</v>
      </c>
      <c r="B50" s="55" t="s">
        <v>1014</v>
      </c>
      <c r="C50" s="55" t="s">
        <v>418</v>
      </c>
      <c r="D50" s="55" t="s">
        <v>419</v>
      </c>
      <c r="E50" s="55" t="s">
        <v>214</v>
      </c>
      <c r="F50" s="55" t="s">
        <v>683</v>
      </c>
      <c r="G50" s="55" t="s">
        <v>638</v>
      </c>
      <c r="H50" s="62">
        <v>0</v>
      </c>
      <c r="I50" s="62">
        <v>276</v>
      </c>
      <c r="J50" s="62">
        <v>252</v>
      </c>
      <c r="K50" s="63">
        <v>19938.240000000002</v>
      </c>
      <c r="L50" s="63">
        <v>18204.48</v>
      </c>
      <c r="M50" s="62">
        <v>384</v>
      </c>
      <c r="N50" s="62">
        <v>360</v>
      </c>
      <c r="O50" s="63">
        <v>27740.16</v>
      </c>
      <c r="P50" s="63">
        <v>26006.400000000001</v>
      </c>
      <c r="Q50" s="62">
        <v>300</v>
      </c>
      <c r="R50" s="62">
        <v>0</v>
      </c>
      <c r="S50" s="63">
        <v>21672</v>
      </c>
      <c r="T50" s="63">
        <v>0</v>
      </c>
      <c r="U50" s="55" t="s">
        <v>1095</v>
      </c>
    </row>
    <row r="51" spans="1:21" ht="15">
      <c r="A51" s="55" t="s">
        <v>848</v>
      </c>
      <c r="B51" s="55" t="s">
        <v>1014</v>
      </c>
      <c r="C51" s="55" t="s">
        <v>554</v>
      </c>
      <c r="D51" s="55" t="s">
        <v>555</v>
      </c>
      <c r="E51" s="55" t="s">
        <v>214</v>
      </c>
      <c r="F51" s="55" t="s">
        <v>683</v>
      </c>
      <c r="G51" s="55" t="s">
        <v>638</v>
      </c>
      <c r="H51" s="62">
        <v>0</v>
      </c>
      <c r="I51" s="62">
        <v>4512</v>
      </c>
      <c r="J51" s="62">
        <v>3984</v>
      </c>
      <c r="K51" s="63">
        <v>144474.23999999999</v>
      </c>
      <c r="L51" s="63">
        <v>127567.67999999999</v>
      </c>
      <c r="M51" s="62">
        <v>5040</v>
      </c>
      <c r="N51" s="62">
        <v>4944</v>
      </c>
      <c r="O51" s="63">
        <v>161380.79999999999</v>
      </c>
      <c r="P51" s="63">
        <v>158306.88</v>
      </c>
      <c r="Q51" s="62">
        <v>5232</v>
      </c>
      <c r="R51" s="62">
        <v>0</v>
      </c>
      <c r="S51" s="63">
        <v>167528.64000000001</v>
      </c>
      <c r="T51" s="63">
        <v>0</v>
      </c>
      <c r="U51" s="55" t="s">
        <v>1096</v>
      </c>
    </row>
    <row r="52" spans="1:21" ht="15">
      <c r="A52" s="55" t="s">
        <v>848</v>
      </c>
      <c r="B52" s="55" t="s">
        <v>1014</v>
      </c>
      <c r="C52" s="55" t="s">
        <v>239</v>
      </c>
      <c r="D52" s="55" t="s">
        <v>807</v>
      </c>
      <c r="E52" s="55" t="s">
        <v>214</v>
      </c>
      <c r="F52" s="55" t="s">
        <v>683</v>
      </c>
      <c r="G52" s="55" t="s">
        <v>638</v>
      </c>
      <c r="H52" s="62">
        <v>0</v>
      </c>
      <c r="I52" s="62">
        <v>276</v>
      </c>
      <c r="J52" s="62">
        <v>252</v>
      </c>
      <c r="K52" s="63">
        <v>29192.52</v>
      </c>
      <c r="L52" s="63">
        <v>26654.04</v>
      </c>
      <c r="M52" s="62">
        <v>384</v>
      </c>
      <c r="N52" s="62">
        <v>360</v>
      </c>
      <c r="O52" s="63">
        <v>40615.68</v>
      </c>
      <c r="P52" s="63">
        <v>38077.199999999997</v>
      </c>
      <c r="Q52" s="62">
        <v>300</v>
      </c>
      <c r="R52" s="62">
        <v>0</v>
      </c>
      <c r="S52" s="63">
        <v>31731</v>
      </c>
      <c r="T52" s="63">
        <v>0</v>
      </c>
      <c r="U52" s="55" t="s">
        <v>239</v>
      </c>
    </row>
    <row r="53" spans="1:21" ht="15">
      <c r="A53" s="55" t="s">
        <v>848</v>
      </c>
      <c r="B53" s="55" t="s">
        <v>1014</v>
      </c>
      <c r="C53" s="55" t="s">
        <v>240</v>
      </c>
      <c r="D53" s="55" t="s">
        <v>241</v>
      </c>
      <c r="E53" s="55" t="s">
        <v>214</v>
      </c>
      <c r="F53" s="55" t="s">
        <v>683</v>
      </c>
      <c r="G53" s="55" t="s">
        <v>638</v>
      </c>
      <c r="H53" s="62">
        <v>0</v>
      </c>
      <c r="I53" s="62">
        <v>276</v>
      </c>
      <c r="J53" s="62">
        <v>252</v>
      </c>
      <c r="K53" s="63">
        <v>29192.52</v>
      </c>
      <c r="L53" s="63">
        <v>26654.04</v>
      </c>
      <c r="M53" s="62">
        <v>384</v>
      </c>
      <c r="N53" s="62">
        <v>360</v>
      </c>
      <c r="O53" s="63">
        <v>40615.68</v>
      </c>
      <c r="P53" s="63">
        <v>38077.199999999997</v>
      </c>
      <c r="Q53" s="62">
        <v>300</v>
      </c>
      <c r="R53" s="62">
        <v>0</v>
      </c>
      <c r="S53" s="63">
        <v>31731</v>
      </c>
      <c r="T53" s="63">
        <v>0</v>
      </c>
      <c r="U53" s="55" t="s">
        <v>240</v>
      </c>
    </row>
    <row r="54" spans="1:21" ht="15">
      <c r="A54" s="55" t="s">
        <v>848</v>
      </c>
      <c r="B54" s="55" t="s">
        <v>1014</v>
      </c>
      <c r="C54" s="55" t="s">
        <v>381</v>
      </c>
      <c r="D54" s="55" t="s">
        <v>382</v>
      </c>
      <c r="E54" s="55" t="s">
        <v>214</v>
      </c>
      <c r="F54" s="55" t="s">
        <v>683</v>
      </c>
      <c r="G54" s="55" t="s">
        <v>638</v>
      </c>
      <c r="H54" s="62">
        <v>0</v>
      </c>
      <c r="I54" s="62">
        <v>288</v>
      </c>
      <c r="J54" s="62">
        <v>240</v>
      </c>
      <c r="K54" s="63">
        <v>47764.800000000003</v>
      </c>
      <c r="L54" s="63">
        <v>39804</v>
      </c>
      <c r="M54" s="62">
        <v>312</v>
      </c>
      <c r="N54" s="62">
        <v>312</v>
      </c>
      <c r="O54" s="63">
        <v>51745.2</v>
      </c>
      <c r="P54" s="63">
        <v>51745.2</v>
      </c>
      <c r="Q54" s="62">
        <v>192</v>
      </c>
      <c r="R54" s="62">
        <v>0</v>
      </c>
      <c r="S54" s="63">
        <v>31843.200000000001</v>
      </c>
      <c r="T54" s="63">
        <v>0</v>
      </c>
      <c r="U54" s="55" t="s">
        <v>1097</v>
      </c>
    </row>
    <row r="55" spans="1:21" ht="15">
      <c r="A55" s="55" t="s">
        <v>848</v>
      </c>
      <c r="B55" s="55" t="s">
        <v>1014</v>
      </c>
      <c r="C55" s="55" t="s">
        <v>396</v>
      </c>
      <c r="D55" s="55" t="s">
        <v>397</v>
      </c>
      <c r="E55" s="55" t="s">
        <v>214</v>
      </c>
      <c r="F55" s="55" t="s">
        <v>683</v>
      </c>
      <c r="G55" s="55" t="s">
        <v>638</v>
      </c>
      <c r="H55" s="62">
        <v>0</v>
      </c>
      <c r="I55" s="62">
        <v>48</v>
      </c>
      <c r="J55" s="62">
        <v>60</v>
      </c>
      <c r="K55" s="63">
        <v>4171.68</v>
      </c>
      <c r="L55" s="63">
        <v>5214.6000000000004</v>
      </c>
      <c r="M55" s="62">
        <v>60</v>
      </c>
      <c r="N55" s="62">
        <v>24</v>
      </c>
      <c r="O55" s="63">
        <v>5214.6000000000004</v>
      </c>
      <c r="P55" s="63">
        <v>2085.84</v>
      </c>
      <c r="Q55" s="62">
        <v>144</v>
      </c>
      <c r="R55" s="62">
        <v>0</v>
      </c>
      <c r="S55" s="63">
        <v>12515.04</v>
      </c>
      <c r="T55" s="63">
        <v>0</v>
      </c>
      <c r="U55" s="55" t="s">
        <v>1098</v>
      </c>
    </row>
    <row r="56" spans="1:21" ht="15">
      <c r="A56" s="55" t="s">
        <v>920</v>
      </c>
      <c r="B56" s="55" t="s">
        <v>642</v>
      </c>
      <c r="C56" s="55" t="s">
        <v>458</v>
      </c>
      <c r="D56" s="55" t="s">
        <v>641</v>
      </c>
      <c r="E56" s="55" t="s">
        <v>213</v>
      </c>
      <c r="F56" s="55" t="s">
        <v>683</v>
      </c>
      <c r="G56" s="55" t="s">
        <v>643</v>
      </c>
      <c r="H56" s="62">
        <v>0</v>
      </c>
      <c r="I56" s="62">
        <v>0</v>
      </c>
      <c r="J56" s="62">
        <v>4000</v>
      </c>
      <c r="K56" s="63">
        <v>0</v>
      </c>
      <c r="L56" s="63">
        <v>21960</v>
      </c>
      <c r="M56" s="62">
        <v>4000</v>
      </c>
      <c r="N56" s="62">
        <v>3000</v>
      </c>
      <c r="O56" s="63">
        <v>21960</v>
      </c>
      <c r="P56" s="63">
        <v>16470</v>
      </c>
      <c r="Q56" s="62">
        <v>7500</v>
      </c>
      <c r="R56" s="62">
        <v>0</v>
      </c>
      <c r="S56" s="63">
        <v>41175</v>
      </c>
      <c r="T56" s="63">
        <v>0</v>
      </c>
      <c r="U56" s="55" t="s">
        <v>458</v>
      </c>
    </row>
    <row r="57" spans="1:21" ht="15">
      <c r="A57" s="55" t="s">
        <v>906</v>
      </c>
      <c r="B57" s="55" t="s">
        <v>598</v>
      </c>
      <c r="C57" s="55" t="s">
        <v>375</v>
      </c>
      <c r="D57" s="55" t="s">
        <v>376</v>
      </c>
      <c r="E57" s="55" t="s">
        <v>224</v>
      </c>
      <c r="F57" s="55" t="s">
        <v>683</v>
      </c>
      <c r="G57" s="55" t="s">
        <v>639</v>
      </c>
      <c r="H57" s="62">
        <v>0</v>
      </c>
      <c r="I57" s="62">
        <v>200</v>
      </c>
      <c r="J57" s="62">
        <v>0</v>
      </c>
      <c r="K57" s="63">
        <v>5192</v>
      </c>
      <c r="L57" s="63">
        <v>0</v>
      </c>
      <c r="M57" s="62">
        <v>200</v>
      </c>
      <c r="N57" s="62">
        <v>0</v>
      </c>
      <c r="O57" s="63">
        <v>5192</v>
      </c>
      <c r="P57" s="63">
        <v>0</v>
      </c>
      <c r="Q57" s="62">
        <v>200</v>
      </c>
      <c r="R57" s="62">
        <v>0</v>
      </c>
      <c r="S57" s="63">
        <v>5192</v>
      </c>
      <c r="T57" s="63">
        <v>0</v>
      </c>
      <c r="U57" s="55" t="s">
        <v>1099</v>
      </c>
    </row>
    <row r="58" spans="1:21" ht="15">
      <c r="A58" s="55" t="s">
        <v>849</v>
      </c>
      <c r="B58" s="55" t="s">
        <v>599</v>
      </c>
      <c r="C58" s="55" t="s">
        <v>321</v>
      </c>
      <c r="D58" s="55" t="s">
        <v>659</v>
      </c>
      <c r="E58" s="55" t="s">
        <v>214</v>
      </c>
      <c r="F58" s="55" t="s">
        <v>683</v>
      </c>
      <c r="G58" s="55" t="s">
        <v>638</v>
      </c>
      <c r="H58" s="62">
        <v>0</v>
      </c>
      <c r="I58" s="62">
        <v>900</v>
      </c>
      <c r="J58" s="62">
        <v>0</v>
      </c>
      <c r="K58" s="63">
        <v>17550</v>
      </c>
      <c r="L58" s="63">
        <v>0</v>
      </c>
      <c r="M58" s="62">
        <v>750</v>
      </c>
      <c r="N58" s="62">
        <v>458</v>
      </c>
      <c r="O58" s="63">
        <v>14625</v>
      </c>
      <c r="P58" s="63">
        <v>8931</v>
      </c>
      <c r="Q58" s="62">
        <v>300</v>
      </c>
      <c r="R58" s="62">
        <v>0</v>
      </c>
      <c r="S58" s="63">
        <v>5850</v>
      </c>
      <c r="T58" s="63">
        <v>0</v>
      </c>
      <c r="U58" s="55" t="s">
        <v>321</v>
      </c>
    </row>
    <row r="59" spans="1:21" ht="15">
      <c r="A59" s="55" t="s">
        <v>850</v>
      </c>
      <c r="B59" s="55" t="s">
        <v>599</v>
      </c>
      <c r="C59" s="55" t="s">
        <v>358</v>
      </c>
      <c r="D59" s="55" t="s">
        <v>651</v>
      </c>
      <c r="E59" s="55" t="s">
        <v>214</v>
      </c>
      <c r="F59" s="55" t="s">
        <v>683</v>
      </c>
      <c r="G59" s="55" t="s">
        <v>644</v>
      </c>
      <c r="H59" s="62">
        <v>7200</v>
      </c>
      <c r="I59" s="62">
        <v>150</v>
      </c>
      <c r="J59" s="62">
        <v>132</v>
      </c>
      <c r="K59" s="63">
        <v>27589.5</v>
      </c>
      <c r="L59" s="63">
        <v>24278.76</v>
      </c>
      <c r="M59" s="62">
        <v>120</v>
      </c>
      <c r="N59" s="62">
        <v>116</v>
      </c>
      <c r="O59" s="63">
        <v>22071.599999999999</v>
      </c>
      <c r="P59" s="63">
        <v>21335.88</v>
      </c>
      <c r="Q59" s="62">
        <v>0</v>
      </c>
      <c r="R59" s="62">
        <v>0</v>
      </c>
      <c r="S59" s="63">
        <v>0</v>
      </c>
      <c r="T59" s="63">
        <v>0</v>
      </c>
      <c r="U59" s="55"/>
    </row>
    <row r="60" spans="1:21" ht="15">
      <c r="A60" s="55" t="s">
        <v>850</v>
      </c>
      <c r="B60" s="55" t="s">
        <v>599</v>
      </c>
      <c r="C60" s="55" t="s">
        <v>449</v>
      </c>
      <c r="D60" s="55" t="s">
        <v>851</v>
      </c>
      <c r="E60" s="55" t="s">
        <v>214</v>
      </c>
      <c r="F60" s="55" t="s">
        <v>683</v>
      </c>
      <c r="G60" s="55" t="s">
        <v>644</v>
      </c>
      <c r="H60" s="62">
        <v>0</v>
      </c>
      <c r="I60" s="62">
        <v>4</v>
      </c>
      <c r="J60" s="62">
        <v>4</v>
      </c>
      <c r="K60" s="63">
        <v>1371.2</v>
      </c>
      <c r="L60" s="63">
        <v>1371.2</v>
      </c>
      <c r="M60" s="62">
        <v>3</v>
      </c>
      <c r="N60" s="62">
        <v>3</v>
      </c>
      <c r="O60" s="63">
        <v>1028.4000000000001</v>
      </c>
      <c r="P60" s="63">
        <v>1028.4000000000001</v>
      </c>
      <c r="Q60" s="62">
        <v>20</v>
      </c>
      <c r="R60" s="62">
        <v>17</v>
      </c>
      <c r="S60" s="63">
        <v>6856</v>
      </c>
      <c r="T60" s="63">
        <v>5827.6</v>
      </c>
      <c r="U60" s="55"/>
    </row>
    <row r="61" spans="1:21" ht="15">
      <c r="A61" s="55" t="s">
        <v>850</v>
      </c>
      <c r="B61" s="55" t="s">
        <v>599</v>
      </c>
      <c r="C61" s="55" t="s">
        <v>393</v>
      </c>
      <c r="D61" s="55" t="s">
        <v>652</v>
      </c>
      <c r="E61" s="55" t="s">
        <v>214</v>
      </c>
      <c r="F61" s="55" t="s">
        <v>683</v>
      </c>
      <c r="G61" s="55" t="s">
        <v>644</v>
      </c>
      <c r="H61" s="62">
        <v>0</v>
      </c>
      <c r="I61" s="62">
        <v>20</v>
      </c>
      <c r="J61" s="62">
        <v>17</v>
      </c>
      <c r="K61" s="63">
        <v>8243</v>
      </c>
      <c r="L61" s="63">
        <v>7006.55</v>
      </c>
      <c r="M61" s="62">
        <v>7</v>
      </c>
      <c r="N61" s="62">
        <v>7</v>
      </c>
      <c r="O61" s="63">
        <v>2885.05</v>
      </c>
      <c r="P61" s="63">
        <v>2885.05</v>
      </c>
      <c r="Q61" s="62">
        <v>4</v>
      </c>
      <c r="R61" s="62">
        <v>4</v>
      </c>
      <c r="S61" s="63">
        <v>1648.6</v>
      </c>
      <c r="T61" s="63">
        <v>1648.6</v>
      </c>
      <c r="U61" s="55"/>
    </row>
    <row r="62" spans="1:21" ht="15">
      <c r="A62" s="55" t="s">
        <v>850</v>
      </c>
      <c r="B62" s="55" t="s">
        <v>599</v>
      </c>
      <c r="C62" s="55" t="s">
        <v>399</v>
      </c>
      <c r="D62" s="55" t="s">
        <v>652</v>
      </c>
      <c r="E62" s="55" t="s">
        <v>214</v>
      </c>
      <c r="F62" s="55" t="s">
        <v>683</v>
      </c>
      <c r="G62" s="55" t="s">
        <v>644</v>
      </c>
      <c r="H62" s="62">
        <v>0</v>
      </c>
      <c r="I62" s="62">
        <v>0</v>
      </c>
      <c r="J62" s="62">
        <v>0</v>
      </c>
      <c r="K62" s="63">
        <v>0</v>
      </c>
      <c r="L62" s="63">
        <v>0</v>
      </c>
      <c r="M62" s="62">
        <v>0</v>
      </c>
      <c r="N62" s="62">
        <v>0</v>
      </c>
      <c r="O62" s="63">
        <v>0</v>
      </c>
      <c r="P62" s="63">
        <v>0</v>
      </c>
      <c r="Q62" s="62">
        <v>20</v>
      </c>
      <c r="R62" s="62">
        <v>21</v>
      </c>
      <c r="S62" s="63">
        <v>3505.8</v>
      </c>
      <c r="T62" s="63">
        <v>3681.09</v>
      </c>
      <c r="U62" s="55"/>
    </row>
    <row r="63" spans="1:21" ht="15">
      <c r="A63" s="55" t="s">
        <v>850</v>
      </c>
      <c r="B63" s="55" t="s">
        <v>599</v>
      </c>
      <c r="C63" s="55" t="s">
        <v>369</v>
      </c>
      <c r="D63" s="55" t="s">
        <v>653</v>
      </c>
      <c r="E63" s="55" t="s">
        <v>213</v>
      </c>
      <c r="F63" s="55" t="s">
        <v>683</v>
      </c>
      <c r="G63" s="55" t="s">
        <v>644</v>
      </c>
      <c r="H63" s="62">
        <v>0</v>
      </c>
      <c r="I63" s="62">
        <v>150</v>
      </c>
      <c r="J63" s="62">
        <v>144</v>
      </c>
      <c r="K63" s="63">
        <v>14892</v>
      </c>
      <c r="L63" s="63">
        <v>14296.32</v>
      </c>
      <c r="M63" s="62">
        <v>600</v>
      </c>
      <c r="N63" s="62">
        <v>601</v>
      </c>
      <c r="O63" s="63">
        <v>59568</v>
      </c>
      <c r="P63" s="63">
        <v>59667.28</v>
      </c>
      <c r="Q63" s="62">
        <v>120</v>
      </c>
      <c r="R63" s="62">
        <v>103</v>
      </c>
      <c r="S63" s="63">
        <v>11913.6</v>
      </c>
      <c r="T63" s="63">
        <v>10225.84</v>
      </c>
      <c r="U63" s="55"/>
    </row>
    <row r="64" spans="1:21" ht="15">
      <c r="A64" s="55" t="s">
        <v>850</v>
      </c>
      <c r="B64" s="55" t="s">
        <v>599</v>
      </c>
      <c r="C64" s="55" t="s">
        <v>504</v>
      </c>
      <c r="D64" s="55" t="s">
        <v>852</v>
      </c>
      <c r="E64" s="55" t="s">
        <v>213</v>
      </c>
      <c r="F64" s="55" t="s">
        <v>683</v>
      </c>
      <c r="G64" s="55" t="s">
        <v>644</v>
      </c>
      <c r="H64" s="62">
        <v>6900</v>
      </c>
      <c r="I64" s="62">
        <v>60</v>
      </c>
      <c r="J64" s="62">
        <v>57</v>
      </c>
      <c r="K64" s="63">
        <v>17293.8</v>
      </c>
      <c r="L64" s="63">
        <v>16429.11</v>
      </c>
      <c r="M64" s="62">
        <v>50</v>
      </c>
      <c r="N64" s="62">
        <v>43</v>
      </c>
      <c r="O64" s="63">
        <v>14411.5</v>
      </c>
      <c r="P64" s="63">
        <v>12393.89</v>
      </c>
      <c r="Q64" s="62">
        <v>61</v>
      </c>
      <c r="R64" s="62">
        <v>61</v>
      </c>
      <c r="S64" s="63">
        <v>17582.03</v>
      </c>
      <c r="T64" s="63">
        <v>17582.03</v>
      </c>
      <c r="U64" s="55"/>
    </row>
    <row r="65" spans="1:21" ht="15">
      <c r="A65" s="55" t="s">
        <v>850</v>
      </c>
      <c r="B65" s="55" t="s">
        <v>599</v>
      </c>
      <c r="C65" s="55" t="s">
        <v>387</v>
      </c>
      <c r="D65" s="55" t="s">
        <v>853</v>
      </c>
      <c r="E65" s="55" t="s">
        <v>213</v>
      </c>
      <c r="F65" s="55" t="s">
        <v>683</v>
      </c>
      <c r="G65" s="55" t="s">
        <v>644</v>
      </c>
      <c r="H65" s="62">
        <v>0</v>
      </c>
      <c r="I65" s="62">
        <v>24</v>
      </c>
      <c r="J65" s="62">
        <v>24</v>
      </c>
      <c r="K65" s="63">
        <v>7484.16</v>
      </c>
      <c r="L65" s="63">
        <v>7484.16</v>
      </c>
      <c r="M65" s="62">
        <v>4</v>
      </c>
      <c r="N65" s="62">
        <v>4</v>
      </c>
      <c r="O65" s="63">
        <v>1247.3599999999999</v>
      </c>
      <c r="P65" s="63">
        <v>1247.3599999999999</v>
      </c>
      <c r="Q65" s="62">
        <v>3</v>
      </c>
      <c r="R65" s="62">
        <v>3</v>
      </c>
      <c r="S65" s="63">
        <v>935.52</v>
      </c>
      <c r="T65" s="63">
        <v>935.52</v>
      </c>
      <c r="U65" s="55"/>
    </row>
    <row r="66" spans="1:21" ht="15">
      <c r="A66" s="55" t="s">
        <v>850</v>
      </c>
      <c r="B66" s="55" t="s">
        <v>599</v>
      </c>
      <c r="C66" s="55" t="s">
        <v>408</v>
      </c>
      <c r="D66" s="55" t="s">
        <v>653</v>
      </c>
      <c r="E66" s="55" t="s">
        <v>213</v>
      </c>
      <c r="F66" s="55" t="s">
        <v>683</v>
      </c>
      <c r="G66" s="55" t="s">
        <v>644</v>
      </c>
      <c r="H66" s="62">
        <v>0</v>
      </c>
      <c r="I66" s="62">
        <v>2</v>
      </c>
      <c r="J66" s="62">
        <v>2</v>
      </c>
      <c r="K66" s="63">
        <v>129.58000000000001</v>
      </c>
      <c r="L66" s="63">
        <v>129.58000000000001</v>
      </c>
      <c r="M66" s="62">
        <v>2</v>
      </c>
      <c r="N66" s="62">
        <v>2</v>
      </c>
      <c r="O66" s="63">
        <v>129.58000000000001</v>
      </c>
      <c r="P66" s="63">
        <v>129.58000000000001</v>
      </c>
      <c r="Q66" s="62">
        <v>20</v>
      </c>
      <c r="R66" s="62">
        <v>20</v>
      </c>
      <c r="S66" s="63">
        <v>1295.8</v>
      </c>
      <c r="T66" s="63">
        <v>1295.8</v>
      </c>
      <c r="U66" s="55" t="s">
        <v>408</v>
      </c>
    </row>
    <row r="67" spans="1:21" ht="15">
      <c r="A67" s="55" t="s">
        <v>850</v>
      </c>
      <c r="B67" s="55" t="s">
        <v>599</v>
      </c>
      <c r="C67" s="55" t="s">
        <v>423</v>
      </c>
      <c r="D67" s="55" t="s">
        <v>653</v>
      </c>
      <c r="E67" s="55" t="s">
        <v>213</v>
      </c>
      <c r="F67" s="55" t="s">
        <v>683</v>
      </c>
      <c r="G67" s="55" t="s">
        <v>644</v>
      </c>
      <c r="H67" s="62">
        <v>0</v>
      </c>
      <c r="I67" s="62">
        <v>24</v>
      </c>
      <c r="J67" s="62">
        <v>24</v>
      </c>
      <c r="K67" s="63">
        <v>6883.2</v>
      </c>
      <c r="L67" s="63">
        <v>6883.2</v>
      </c>
      <c r="M67" s="62">
        <v>20</v>
      </c>
      <c r="N67" s="62">
        <v>19</v>
      </c>
      <c r="O67" s="63">
        <v>5736</v>
      </c>
      <c r="P67" s="63">
        <v>5449.2</v>
      </c>
      <c r="Q67" s="62">
        <v>40</v>
      </c>
      <c r="R67" s="62">
        <v>40</v>
      </c>
      <c r="S67" s="63">
        <v>11472</v>
      </c>
      <c r="T67" s="63">
        <v>11472</v>
      </c>
      <c r="U67" s="55" t="s">
        <v>423</v>
      </c>
    </row>
    <row r="68" spans="1:21" ht="15">
      <c r="A68" s="55" t="s">
        <v>850</v>
      </c>
      <c r="B68" s="55" t="s">
        <v>599</v>
      </c>
      <c r="C68" s="55" t="s">
        <v>810</v>
      </c>
      <c r="D68" s="55" t="s">
        <v>831</v>
      </c>
      <c r="E68" s="55" t="s">
        <v>213</v>
      </c>
      <c r="F68" s="55" t="s">
        <v>683</v>
      </c>
      <c r="G68" s="55" t="s">
        <v>644</v>
      </c>
      <c r="H68" s="62">
        <v>29400</v>
      </c>
      <c r="I68" s="62">
        <v>0</v>
      </c>
      <c r="J68" s="62">
        <v>0</v>
      </c>
      <c r="K68" s="63">
        <v>0</v>
      </c>
      <c r="L68" s="63">
        <v>0</v>
      </c>
      <c r="M68" s="62">
        <v>0</v>
      </c>
      <c r="N68" s="62">
        <v>0</v>
      </c>
      <c r="O68" s="63">
        <v>0</v>
      </c>
      <c r="P68" s="63">
        <v>0</v>
      </c>
      <c r="Q68" s="62">
        <v>4</v>
      </c>
      <c r="R68" s="62">
        <v>4</v>
      </c>
      <c r="S68" s="63">
        <v>1215.28</v>
      </c>
      <c r="T68" s="63">
        <v>1215.28</v>
      </c>
      <c r="U68" s="55" t="s">
        <v>810</v>
      </c>
    </row>
    <row r="69" spans="1:21" ht="15">
      <c r="A69" s="55" t="s">
        <v>850</v>
      </c>
      <c r="B69" s="55" t="s">
        <v>599</v>
      </c>
      <c r="C69" s="55" t="s">
        <v>330</v>
      </c>
      <c r="D69" s="55" t="s">
        <v>654</v>
      </c>
      <c r="E69" s="55" t="s">
        <v>214</v>
      </c>
      <c r="F69" s="55" t="s">
        <v>683</v>
      </c>
      <c r="G69" s="55" t="s">
        <v>644</v>
      </c>
      <c r="H69" s="62">
        <v>0</v>
      </c>
      <c r="I69" s="62">
        <v>1800</v>
      </c>
      <c r="J69" s="62">
        <v>1505</v>
      </c>
      <c r="K69" s="63">
        <v>150192</v>
      </c>
      <c r="L69" s="63">
        <v>125577.2</v>
      </c>
      <c r="M69" s="62">
        <v>3800</v>
      </c>
      <c r="N69" s="62">
        <v>3695</v>
      </c>
      <c r="O69" s="63">
        <v>317072</v>
      </c>
      <c r="P69" s="63">
        <v>308310.8</v>
      </c>
      <c r="Q69" s="62">
        <v>1300</v>
      </c>
      <c r="R69" s="62">
        <v>1132</v>
      </c>
      <c r="S69" s="63">
        <v>108472</v>
      </c>
      <c r="T69" s="63">
        <v>94454.080000000002</v>
      </c>
      <c r="U69" s="55"/>
    </row>
    <row r="70" spans="1:21" ht="15">
      <c r="A70" s="55" t="s">
        <v>850</v>
      </c>
      <c r="B70" s="55" t="s">
        <v>599</v>
      </c>
      <c r="C70" s="55" t="s">
        <v>395</v>
      </c>
      <c r="D70" s="55" t="s">
        <v>817</v>
      </c>
      <c r="E70" s="55" t="s">
        <v>214</v>
      </c>
      <c r="F70" s="55" t="s">
        <v>683</v>
      </c>
      <c r="G70" s="55" t="s">
        <v>644</v>
      </c>
      <c r="H70" s="62">
        <v>0</v>
      </c>
      <c r="I70" s="62">
        <v>3</v>
      </c>
      <c r="J70" s="62">
        <v>3</v>
      </c>
      <c r="K70" s="63">
        <v>265.23</v>
      </c>
      <c r="L70" s="63">
        <v>265.23</v>
      </c>
      <c r="M70" s="62">
        <v>3</v>
      </c>
      <c r="N70" s="62">
        <v>3</v>
      </c>
      <c r="O70" s="63">
        <v>265.23</v>
      </c>
      <c r="P70" s="63">
        <v>265.23</v>
      </c>
      <c r="Q70" s="62">
        <v>13</v>
      </c>
      <c r="R70" s="62">
        <v>13</v>
      </c>
      <c r="S70" s="63">
        <v>1149.33</v>
      </c>
      <c r="T70" s="63">
        <v>1149.33</v>
      </c>
      <c r="U70" s="55" t="s">
        <v>395</v>
      </c>
    </row>
    <row r="71" spans="1:21" ht="15">
      <c r="A71" s="55" t="s">
        <v>850</v>
      </c>
      <c r="B71" s="55" t="s">
        <v>599</v>
      </c>
      <c r="C71" s="55" t="s">
        <v>248</v>
      </c>
      <c r="D71" s="55" t="s">
        <v>892</v>
      </c>
      <c r="E71" s="55" t="s">
        <v>214</v>
      </c>
      <c r="F71" s="55" t="s">
        <v>683</v>
      </c>
      <c r="G71" s="55" t="s">
        <v>644</v>
      </c>
      <c r="H71" s="62">
        <v>0</v>
      </c>
      <c r="I71" s="62">
        <v>12</v>
      </c>
      <c r="J71" s="62">
        <v>12</v>
      </c>
      <c r="K71" s="63">
        <v>1924.32</v>
      </c>
      <c r="L71" s="63">
        <v>1924.32</v>
      </c>
      <c r="M71" s="62">
        <v>14</v>
      </c>
      <c r="N71" s="62">
        <v>14</v>
      </c>
      <c r="O71" s="63">
        <v>2245.04</v>
      </c>
      <c r="P71" s="63">
        <v>2245.04</v>
      </c>
      <c r="Q71" s="62">
        <v>2</v>
      </c>
      <c r="R71" s="62">
        <v>9</v>
      </c>
      <c r="S71" s="63">
        <v>320.72000000000003</v>
      </c>
      <c r="T71" s="63">
        <v>1443.24</v>
      </c>
      <c r="U71" s="55" t="s">
        <v>248</v>
      </c>
    </row>
    <row r="72" spans="1:21" ht="15">
      <c r="A72" s="55" t="s">
        <v>850</v>
      </c>
      <c r="B72" s="55" t="s">
        <v>599</v>
      </c>
      <c r="C72" s="55" t="s">
        <v>272</v>
      </c>
      <c r="D72" s="55" t="s">
        <v>1100</v>
      </c>
      <c r="E72" s="55" t="s">
        <v>214</v>
      </c>
      <c r="F72" s="55" t="s">
        <v>683</v>
      </c>
      <c r="G72" s="55" t="s">
        <v>644</v>
      </c>
      <c r="H72" s="62">
        <v>0</v>
      </c>
      <c r="I72" s="62">
        <v>2</v>
      </c>
      <c r="J72" s="62">
        <v>2</v>
      </c>
      <c r="K72" s="63">
        <v>198.94</v>
      </c>
      <c r="L72" s="63">
        <v>198.94</v>
      </c>
      <c r="M72" s="62">
        <v>0</v>
      </c>
      <c r="N72" s="62">
        <v>0</v>
      </c>
      <c r="O72" s="63">
        <v>0</v>
      </c>
      <c r="P72" s="63">
        <v>0</v>
      </c>
      <c r="Q72" s="62">
        <v>0</v>
      </c>
      <c r="R72" s="62">
        <v>0</v>
      </c>
      <c r="S72" s="63">
        <v>0</v>
      </c>
      <c r="T72" s="63">
        <v>0</v>
      </c>
      <c r="U72" s="55" t="s">
        <v>272</v>
      </c>
    </row>
    <row r="73" spans="1:21" ht="15">
      <c r="A73" s="55" t="s">
        <v>850</v>
      </c>
      <c r="B73" s="55" t="s">
        <v>599</v>
      </c>
      <c r="C73" s="55" t="s">
        <v>283</v>
      </c>
      <c r="D73" s="55" t="s">
        <v>760</v>
      </c>
      <c r="E73" s="55" t="s">
        <v>213</v>
      </c>
      <c r="F73" s="55" t="s">
        <v>683</v>
      </c>
      <c r="G73" s="55" t="s">
        <v>644</v>
      </c>
      <c r="H73" s="62">
        <v>0</v>
      </c>
      <c r="I73" s="62">
        <v>0</v>
      </c>
      <c r="J73" s="62">
        <v>0</v>
      </c>
      <c r="K73" s="63">
        <v>0</v>
      </c>
      <c r="L73" s="63">
        <v>0</v>
      </c>
      <c r="M73" s="62">
        <v>9</v>
      </c>
      <c r="N73" s="62">
        <v>9</v>
      </c>
      <c r="O73" s="63">
        <v>126.18</v>
      </c>
      <c r="P73" s="63">
        <v>126.18</v>
      </c>
      <c r="Q73" s="62">
        <v>40</v>
      </c>
      <c r="R73" s="62">
        <v>38</v>
      </c>
      <c r="S73" s="63">
        <v>560.79999999999995</v>
      </c>
      <c r="T73" s="63">
        <v>532.76</v>
      </c>
      <c r="U73" s="55"/>
    </row>
    <row r="74" spans="1:21" ht="15">
      <c r="A74" s="55" t="s">
        <v>850</v>
      </c>
      <c r="B74" s="55" t="s">
        <v>599</v>
      </c>
      <c r="C74" s="55" t="s">
        <v>345</v>
      </c>
      <c r="D74" s="55" t="s">
        <v>653</v>
      </c>
      <c r="E74" s="55" t="s">
        <v>213</v>
      </c>
      <c r="F74" s="55" t="s">
        <v>683</v>
      </c>
      <c r="G74" s="55" t="s">
        <v>644</v>
      </c>
      <c r="H74" s="62">
        <v>0</v>
      </c>
      <c r="I74" s="62">
        <v>0</v>
      </c>
      <c r="J74" s="62">
        <v>0</v>
      </c>
      <c r="K74" s="63">
        <v>0</v>
      </c>
      <c r="L74" s="63">
        <v>0</v>
      </c>
      <c r="M74" s="62">
        <v>3</v>
      </c>
      <c r="N74" s="62">
        <v>3</v>
      </c>
      <c r="O74" s="63">
        <v>317.76</v>
      </c>
      <c r="P74" s="63">
        <v>317.76</v>
      </c>
      <c r="Q74" s="62">
        <v>8</v>
      </c>
      <c r="R74" s="62">
        <v>8</v>
      </c>
      <c r="S74" s="63">
        <v>847.36</v>
      </c>
      <c r="T74" s="63">
        <v>847.36</v>
      </c>
      <c r="U74" s="55"/>
    </row>
    <row r="75" spans="1:21" ht="15">
      <c r="A75" s="55" t="s">
        <v>850</v>
      </c>
      <c r="B75" s="55" t="s">
        <v>599</v>
      </c>
      <c r="C75" s="55" t="s">
        <v>335</v>
      </c>
      <c r="D75" s="55" t="s">
        <v>653</v>
      </c>
      <c r="E75" s="55" t="s">
        <v>213</v>
      </c>
      <c r="F75" s="55" t="s">
        <v>683</v>
      </c>
      <c r="G75" s="55" t="s">
        <v>644</v>
      </c>
      <c r="H75" s="62">
        <v>6900</v>
      </c>
      <c r="I75" s="62">
        <v>400</v>
      </c>
      <c r="J75" s="62">
        <v>321</v>
      </c>
      <c r="K75" s="63">
        <v>100152</v>
      </c>
      <c r="L75" s="63">
        <v>80371.98</v>
      </c>
      <c r="M75" s="62">
        <v>60</v>
      </c>
      <c r="N75" s="62">
        <v>56</v>
      </c>
      <c r="O75" s="63">
        <v>15022.8</v>
      </c>
      <c r="P75" s="63">
        <v>14021.28</v>
      </c>
      <c r="Q75" s="62">
        <v>120</v>
      </c>
      <c r="R75" s="62">
        <v>120</v>
      </c>
      <c r="S75" s="63">
        <v>30045.599999999999</v>
      </c>
      <c r="T75" s="63">
        <v>30045.599999999999</v>
      </c>
      <c r="U75" s="55"/>
    </row>
    <row r="76" spans="1:21" ht="15">
      <c r="A76" s="55" t="s">
        <v>850</v>
      </c>
      <c r="B76" s="55" t="s">
        <v>599</v>
      </c>
      <c r="C76" s="55" t="s">
        <v>447</v>
      </c>
      <c r="D76" s="55" t="s">
        <v>660</v>
      </c>
      <c r="E76" s="55" t="s">
        <v>213</v>
      </c>
      <c r="F76" s="55" t="s">
        <v>683</v>
      </c>
      <c r="G76" s="55" t="s">
        <v>644</v>
      </c>
      <c r="H76" s="62">
        <v>0</v>
      </c>
      <c r="I76" s="62">
        <v>31</v>
      </c>
      <c r="J76" s="62">
        <v>31</v>
      </c>
      <c r="K76" s="63">
        <v>2047.86</v>
      </c>
      <c r="L76" s="63">
        <v>2047.86</v>
      </c>
      <c r="M76" s="62">
        <v>80</v>
      </c>
      <c r="N76" s="62">
        <v>80</v>
      </c>
      <c r="O76" s="63">
        <v>5284.8</v>
      </c>
      <c r="P76" s="63">
        <v>5284.8</v>
      </c>
      <c r="Q76" s="62">
        <v>480</v>
      </c>
      <c r="R76" s="62">
        <v>468</v>
      </c>
      <c r="S76" s="63">
        <v>31708.799999999999</v>
      </c>
      <c r="T76" s="63">
        <v>30916.080000000002</v>
      </c>
      <c r="U76" s="55"/>
    </row>
    <row r="77" spans="1:21" ht="15">
      <c r="A77" s="55" t="s">
        <v>850</v>
      </c>
      <c r="B77" s="55" t="s">
        <v>599</v>
      </c>
      <c r="C77" s="55" t="s">
        <v>271</v>
      </c>
      <c r="D77" s="55" t="s">
        <v>704</v>
      </c>
      <c r="E77" s="55" t="s">
        <v>214</v>
      </c>
      <c r="F77" s="55" t="s">
        <v>683</v>
      </c>
      <c r="G77" s="55" t="s">
        <v>644</v>
      </c>
      <c r="H77" s="62">
        <v>0</v>
      </c>
      <c r="I77" s="62">
        <v>10</v>
      </c>
      <c r="J77" s="62">
        <v>2</v>
      </c>
      <c r="K77" s="63">
        <v>1316.4</v>
      </c>
      <c r="L77" s="63">
        <v>263.27999999999997</v>
      </c>
      <c r="M77" s="62">
        <v>0</v>
      </c>
      <c r="N77" s="62">
        <v>0</v>
      </c>
      <c r="O77" s="63">
        <v>0</v>
      </c>
      <c r="P77" s="63">
        <v>0</v>
      </c>
      <c r="Q77" s="62">
        <v>20</v>
      </c>
      <c r="R77" s="62">
        <v>17</v>
      </c>
      <c r="S77" s="63">
        <v>2632.8</v>
      </c>
      <c r="T77" s="63">
        <v>2237.88</v>
      </c>
      <c r="U77" s="55" t="s">
        <v>271</v>
      </c>
    </row>
    <row r="78" spans="1:21" ht="15">
      <c r="A78" s="55" t="s">
        <v>850</v>
      </c>
      <c r="B78" s="55" t="s">
        <v>599</v>
      </c>
      <c r="C78" s="55" t="s">
        <v>542</v>
      </c>
      <c r="D78" s="55" t="s">
        <v>704</v>
      </c>
      <c r="E78" s="55" t="s">
        <v>214</v>
      </c>
      <c r="F78" s="55" t="s">
        <v>683</v>
      </c>
      <c r="G78" s="55" t="s">
        <v>644</v>
      </c>
      <c r="H78" s="62">
        <v>0</v>
      </c>
      <c r="I78" s="62">
        <v>50</v>
      </c>
      <c r="J78" s="62">
        <v>43</v>
      </c>
      <c r="K78" s="63">
        <v>9403</v>
      </c>
      <c r="L78" s="63">
        <v>8086.58</v>
      </c>
      <c r="M78" s="62">
        <v>0</v>
      </c>
      <c r="N78" s="62">
        <v>0</v>
      </c>
      <c r="O78" s="63">
        <v>0</v>
      </c>
      <c r="P78" s="63">
        <v>0</v>
      </c>
      <c r="Q78" s="62">
        <v>17</v>
      </c>
      <c r="R78" s="62">
        <v>17</v>
      </c>
      <c r="S78" s="63">
        <v>3197.02</v>
      </c>
      <c r="T78" s="63">
        <v>3197.02</v>
      </c>
      <c r="U78" s="55" t="s">
        <v>542</v>
      </c>
    </row>
    <row r="79" spans="1:21" ht="15">
      <c r="A79" s="55" t="s">
        <v>850</v>
      </c>
      <c r="B79" s="55" t="s">
        <v>599</v>
      </c>
      <c r="C79" s="55" t="s">
        <v>543</v>
      </c>
      <c r="D79" s="55" t="s">
        <v>704</v>
      </c>
      <c r="E79" s="55" t="s">
        <v>214</v>
      </c>
      <c r="F79" s="55" t="s">
        <v>683</v>
      </c>
      <c r="G79" s="55" t="s">
        <v>644</v>
      </c>
      <c r="H79" s="62">
        <v>0</v>
      </c>
      <c r="I79" s="62">
        <v>10</v>
      </c>
      <c r="J79" s="62">
        <v>5</v>
      </c>
      <c r="K79" s="63">
        <v>1880.6</v>
      </c>
      <c r="L79" s="63">
        <v>940.3</v>
      </c>
      <c r="M79" s="62">
        <v>100</v>
      </c>
      <c r="N79" s="62">
        <v>94</v>
      </c>
      <c r="O79" s="63">
        <v>18806</v>
      </c>
      <c r="P79" s="63">
        <v>17677.64</v>
      </c>
      <c r="Q79" s="62">
        <v>0</v>
      </c>
      <c r="R79" s="62">
        <v>0</v>
      </c>
      <c r="S79" s="63">
        <v>0</v>
      </c>
      <c r="T79" s="63">
        <v>0</v>
      </c>
      <c r="U79" s="55" t="s">
        <v>543</v>
      </c>
    </row>
    <row r="80" spans="1:21" ht="15">
      <c r="A80" s="55" t="s">
        <v>850</v>
      </c>
      <c r="B80" s="55" t="s">
        <v>599</v>
      </c>
      <c r="C80" s="55" t="s">
        <v>545</v>
      </c>
      <c r="D80" s="55" t="s">
        <v>993</v>
      </c>
      <c r="E80" s="55" t="s">
        <v>213</v>
      </c>
      <c r="F80" s="55" t="s">
        <v>683</v>
      </c>
      <c r="G80" s="55" t="s">
        <v>644</v>
      </c>
      <c r="H80" s="62">
        <v>0</v>
      </c>
      <c r="I80" s="62">
        <v>5</v>
      </c>
      <c r="J80" s="62">
        <v>5</v>
      </c>
      <c r="K80" s="63">
        <v>327.64999999999998</v>
      </c>
      <c r="L80" s="63">
        <v>327.64999999999998</v>
      </c>
      <c r="M80" s="62">
        <v>10</v>
      </c>
      <c r="N80" s="62">
        <v>10</v>
      </c>
      <c r="O80" s="63">
        <v>655.29999999999995</v>
      </c>
      <c r="P80" s="63">
        <v>655.29999999999995</v>
      </c>
      <c r="Q80" s="62">
        <v>20</v>
      </c>
      <c r="R80" s="62">
        <v>16</v>
      </c>
      <c r="S80" s="63">
        <v>1310.5999999999999</v>
      </c>
      <c r="T80" s="63">
        <v>1048.48</v>
      </c>
      <c r="U80" s="55" t="s">
        <v>1101</v>
      </c>
    </row>
    <row r="81" spans="1:21" ht="15">
      <c r="A81" s="55" t="s">
        <v>850</v>
      </c>
      <c r="B81" s="55" t="s">
        <v>599</v>
      </c>
      <c r="C81" s="55" t="s">
        <v>273</v>
      </c>
      <c r="D81" s="55" t="s">
        <v>696</v>
      </c>
      <c r="E81" s="55" t="s">
        <v>214</v>
      </c>
      <c r="F81" s="55" t="s">
        <v>683</v>
      </c>
      <c r="G81" s="55" t="s">
        <v>644</v>
      </c>
      <c r="H81" s="62">
        <v>0</v>
      </c>
      <c r="I81" s="62">
        <v>0</v>
      </c>
      <c r="J81" s="62">
        <v>0</v>
      </c>
      <c r="K81" s="63">
        <v>0</v>
      </c>
      <c r="L81" s="63">
        <v>0</v>
      </c>
      <c r="M81" s="62">
        <v>0</v>
      </c>
      <c r="N81" s="62">
        <v>0</v>
      </c>
      <c r="O81" s="63">
        <v>0</v>
      </c>
      <c r="P81" s="63">
        <v>0</v>
      </c>
      <c r="Q81" s="62">
        <v>2</v>
      </c>
      <c r="R81" s="62">
        <v>2</v>
      </c>
      <c r="S81" s="63">
        <v>171.12</v>
      </c>
      <c r="T81" s="63">
        <v>171.12</v>
      </c>
      <c r="U81" s="55" t="s">
        <v>273</v>
      </c>
    </row>
    <row r="82" spans="1:21" ht="15">
      <c r="A82" s="55" t="s">
        <v>850</v>
      </c>
      <c r="B82" s="55" t="s">
        <v>599</v>
      </c>
      <c r="C82" s="55" t="s">
        <v>546</v>
      </c>
      <c r="D82" s="55" t="s">
        <v>662</v>
      </c>
      <c r="E82" s="55" t="s">
        <v>214</v>
      </c>
      <c r="F82" s="55" t="s">
        <v>683</v>
      </c>
      <c r="G82" s="55" t="s">
        <v>644</v>
      </c>
      <c r="H82" s="62">
        <v>0</v>
      </c>
      <c r="I82" s="62">
        <v>0</v>
      </c>
      <c r="J82" s="62">
        <v>0</v>
      </c>
      <c r="K82" s="63">
        <v>0</v>
      </c>
      <c r="L82" s="63">
        <v>0</v>
      </c>
      <c r="M82" s="62">
        <v>0</v>
      </c>
      <c r="N82" s="62">
        <v>0</v>
      </c>
      <c r="O82" s="63">
        <v>0</v>
      </c>
      <c r="P82" s="63">
        <v>0</v>
      </c>
      <c r="Q82" s="62">
        <v>3</v>
      </c>
      <c r="R82" s="62">
        <v>3</v>
      </c>
      <c r="S82" s="63">
        <v>232.29</v>
      </c>
      <c r="T82" s="63">
        <v>232.29</v>
      </c>
      <c r="U82" s="55" t="s">
        <v>546</v>
      </c>
    </row>
    <row r="83" spans="1:21" ht="15">
      <c r="A83" s="55" t="s">
        <v>850</v>
      </c>
      <c r="B83" s="55" t="s">
        <v>599</v>
      </c>
      <c r="C83" s="55" t="s">
        <v>547</v>
      </c>
      <c r="D83" s="55" t="s">
        <v>747</v>
      </c>
      <c r="E83" s="55" t="s">
        <v>213</v>
      </c>
      <c r="F83" s="55" t="s">
        <v>683</v>
      </c>
      <c r="G83" s="55" t="s">
        <v>644</v>
      </c>
      <c r="H83" s="62">
        <v>0</v>
      </c>
      <c r="I83" s="62">
        <v>0</v>
      </c>
      <c r="J83" s="62">
        <v>0</v>
      </c>
      <c r="K83" s="63">
        <v>0</v>
      </c>
      <c r="L83" s="63">
        <v>0</v>
      </c>
      <c r="M83" s="62">
        <v>40</v>
      </c>
      <c r="N83" s="62">
        <v>39</v>
      </c>
      <c r="O83" s="63">
        <v>268</v>
      </c>
      <c r="P83" s="63">
        <v>261.3</v>
      </c>
      <c r="Q83" s="62">
        <v>100</v>
      </c>
      <c r="R83" s="62">
        <v>91</v>
      </c>
      <c r="S83" s="63">
        <v>670</v>
      </c>
      <c r="T83" s="63">
        <v>609.70000000000005</v>
      </c>
      <c r="U83" s="55" t="s">
        <v>547</v>
      </c>
    </row>
    <row r="84" spans="1:21" ht="15">
      <c r="A84" s="55" t="s">
        <v>850</v>
      </c>
      <c r="B84" s="55" t="s">
        <v>599</v>
      </c>
      <c r="C84" s="55" t="s">
        <v>258</v>
      </c>
      <c r="D84" s="55" t="s">
        <v>662</v>
      </c>
      <c r="E84" s="55" t="s">
        <v>214</v>
      </c>
      <c r="F84" s="55" t="s">
        <v>683</v>
      </c>
      <c r="G84" s="55" t="s">
        <v>644</v>
      </c>
      <c r="H84" s="62">
        <v>0</v>
      </c>
      <c r="I84" s="62">
        <v>0</v>
      </c>
      <c r="J84" s="62">
        <v>0</v>
      </c>
      <c r="K84" s="63">
        <v>0</v>
      </c>
      <c r="L84" s="63">
        <v>0</v>
      </c>
      <c r="M84" s="62">
        <v>0</v>
      </c>
      <c r="N84" s="62">
        <v>0</v>
      </c>
      <c r="O84" s="63">
        <v>0</v>
      </c>
      <c r="P84" s="63">
        <v>0</v>
      </c>
      <c r="Q84" s="62">
        <v>30</v>
      </c>
      <c r="R84" s="62">
        <v>30</v>
      </c>
      <c r="S84" s="63">
        <v>2372.4</v>
      </c>
      <c r="T84" s="63">
        <v>2372.4</v>
      </c>
      <c r="U84" s="55" t="s">
        <v>258</v>
      </c>
    </row>
    <row r="85" spans="1:21" ht="15">
      <c r="A85" s="55" t="s">
        <v>850</v>
      </c>
      <c r="B85" s="55" t="s">
        <v>599</v>
      </c>
      <c r="C85" s="55" t="s">
        <v>549</v>
      </c>
      <c r="D85" s="55" t="s">
        <v>662</v>
      </c>
      <c r="E85" s="55" t="s">
        <v>214</v>
      </c>
      <c r="F85" s="55" t="s">
        <v>683</v>
      </c>
      <c r="G85" s="55" t="s">
        <v>644</v>
      </c>
      <c r="H85" s="62">
        <v>0</v>
      </c>
      <c r="I85" s="62">
        <v>0</v>
      </c>
      <c r="J85" s="62">
        <v>0</v>
      </c>
      <c r="K85" s="63">
        <v>0</v>
      </c>
      <c r="L85" s="63">
        <v>0</v>
      </c>
      <c r="M85" s="62">
        <v>0</v>
      </c>
      <c r="N85" s="62">
        <v>0</v>
      </c>
      <c r="O85" s="63">
        <v>0</v>
      </c>
      <c r="P85" s="63">
        <v>0</v>
      </c>
      <c r="Q85" s="62">
        <v>71</v>
      </c>
      <c r="R85" s="62">
        <v>71</v>
      </c>
      <c r="S85" s="63">
        <v>6989.95</v>
      </c>
      <c r="T85" s="63">
        <v>6989.95</v>
      </c>
      <c r="U85" s="55" t="s">
        <v>549</v>
      </c>
    </row>
    <row r="86" spans="1:21" ht="15">
      <c r="A86" s="55" t="s">
        <v>850</v>
      </c>
      <c r="B86" s="55" t="s">
        <v>599</v>
      </c>
      <c r="C86" s="55" t="s">
        <v>256</v>
      </c>
      <c r="D86" s="55" t="s">
        <v>1015</v>
      </c>
      <c r="E86" s="55" t="s">
        <v>214</v>
      </c>
      <c r="F86" s="55" t="s">
        <v>683</v>
      </c>
      <c r="G86" s="55" t="s">
        <v>644</v>
      </c>
      <c r="H86" s="62">
        <v>0</v>
      </c>
      <c r="I86" s="62">
        <v>0</v>
      </c>
      <c r="J86" s="62">
        <v>0</v>
      </c>
      <c r="K86" s="63">
        <v>0</v>
      </c>
      <c r="L86" s="63">
        <v>0</v>
      </c>
      <c r="M86" s="62">
        <v>0</v>
      </c>
      <c r="N86" s="62">
        <v>0</v>
      </c>
      <c r="O86" s="63">
        <v>0</v>
      </c>
      <c r="P86" s="63">
        <v>0</v>
      </c>
      <c r="Q86" s="62">
        <v>30</v>
      </c>
      <c r="R86" s="62">
        <v>27</v>
      </c>
      <c r="S86" s="63">
        <v>933.9</v>
      </c>
      <c r="T86" s="63">
        <v>840.51</v>
      </c>
      <c r="U86" s="55" t="s">
        <v>256</v>
      </c>
    </row>
    <row r="87" spans="1:21" ht="15">
      <c r="A87" s="55" t="s">
        <v>850</v>
      </c>
      <c r="B87" s="55" t="s">
        <v>599</v>
      </c>
      <c r="C87" s="55" t="s">
        <v>280</v>
      </c>
      <c r="D87" s="55" t="s">
        <v>854</v>
      </c>
      <c r="E87" s="55" t="s">
        <v>214</v>
      </c>
      <c r="F87" s="55" t="s">
        <v>683</v>
      </c>
      <c r="G87" s="55" t="s">
        <v>644</v>
      </c>
      <c r="H87" s="62">
        <v>0</v>
      </c>
      <c r="I87" s="62">
        <v>0</v>
      </c>
      <c r="J87" s="62">
        <v>0</v>
      </c>
      <c r="K87" s="63">
        <v>0</v>
      </c>
      <c r="L87" s="63">
        <v>0</v>
      </c>
      <c r="M87" s="62">
        <v>3</v>
      </c>
      <c r="N87" s="62">
        <v>3</v>
      </c>
      <c r="O87" s="63">
        <v>45.84</v>
      </c>
      <c r="P87" s="63">
        <v>45.84</v>
      </c>
      <c r="Q87" s="62">
        <v>10</v>
      </c>
      <c r="R87" s="62">
        <v>10</v>
      </c>
      <c r="S87" s="63">
        <v>152.80000000000001</v>
      </c>
      <c r="T87" s="63">
        <v>152.80000000000001</v>
      </c>
      <c r="U87" s="55" t="s">
        <v>280</v>
      </c>
    </row>
    <row r="88" spans="1:21" ht="15">
      <c r="A88" s="55" t="s">
        <v>850</v>
      </c>
      <c r="B88" s="55" t="s">
        <v>599</v>
      </c>
      <c r="C88" s="55" t="s">
        <v>440</v>
      </c>
      <c r="D88" s="55" t="s">
        <v>761</v>
      </c>
      <c r="E88" s="55" t="s">
        <v>214</v>
      </c>
      <c r="F88" s="55" t="s">
        <v>683</v>
      </c>
      <c r="G88" s="55" t="s">
        <v>644</v>
      </c>
      <c r="H88" s="62">
        <v>0</v>
      </c>
      <c r="I88" s="62">
        <v>0</v>
      </c>
      <c r="J88" s="62">
        <v>0</v>
      </c>
      <c r="K88" s="63">
        <v>0</v>
      </c>
      <c r="L88" s="63">
        <v>0</v>
      </c>
      <c r="M88" s="62">
        <v>20</v>
      </c>
      <c r="N88" s="62">
        <v>17</v>
      </c>
      <c r="O88" s="63">
        <v>1492.4</v>
      </c>
      <c r="P88" s="63">
        <v>1268.54</v>
      </c>
      <c r="Q88" s="62">
        <v>20</v>
      </c>
      <c r="R88" s="62">
        <v>12</v>
      </c>
      <c r="S88" s="63">
        <v>1492.4</v>
      </c>
      <c r="T88" s="63">
        <v>895.44</v>
      </c>
      <c r="U88" s="55" t="s">
        <v>440</v>
      </c>
    </row>
    <row r="89" spans="1:21" ht="15">
      <c r="A89" s="55" t="s">
        <v>850</v>
      </c>
      <c r="B89" s="55" t="s">
        <v>599</v>
      </c>
      <c r="C89" s="55" t="s">
        <v>442</v>
      </c>
      <c r="D89" s="55" t="s">
        <v>747</v>
      </c>
      <c r="E89" s="55" t="s">
        <v>215</v>
      </c>
      <c r="F89" s="55" t="s">
        <v>683</v>
      </c>
      <c r="G89" s="55" t="s">
        <v>644</v>
      </c>
      <c r="H89" s="62">
        <v>0</v>
      </c>
      <c r="I89" s="62">
        <v>0</v>
      </c>
      <c r="J89" s="62">
        <v>0</v>
      </c>
      <c r="K89" s="63">
        <v>0</v>
      </c>
      <c r="L89" s="63">
        <v>0</v>
      </c>
      <c r="M89" s="62">
        <v>0</v>
      </c>
      <c r="N89" s="62">
        <v>0</v>
      </c>
      <c r="O89" s="63">
        <v>0</v>
      </c>
      <c r="P89" s="63">
        <v>0</v>
      </c>
      <c r="Q89" s="62">
        <v>130</v>
      </c>
      <c r="R89" s="62">
        <v>129</v>
      </c>
      <c r="S89" s="63">
        <v>217.1</v>
      </c>
      <c r="T89" s="63">
        <v>215.43</v>
      </c>
      <c r="U89" s="55" t="s">
        <v>442</v>
      </c>
    </row>
    <row r="90" spans="1:21" ht="15">
      <c r="A90" s="55" t="s">
        <v>850</v>
      </c>
      <c r="B90" s="55" t="s">
        <v>599</v>
      </c>
      <c r="C90" s="55" t="s">
        <v>336</v>
      </c>
      <c r="D90" s="55" t="s">
        <v>793</v>
      </c>
      <c r="E90" s="55" t="s">
        <v>213</v>
      </c>
      <c r="F90" s="55" t="s">
        <v>683</v>
      </c>
      <c r="G90" s="55" t="s">
        <v>644</v>
      </c>
      <c r="H90" s="62">
        <v>0</v>
      </c>
      <c r="I90" s="62">
        <v>30</v>
      </c>
      <c r="J90" s="62">
        <v>25</v>
      </c>
      <c r="K90" s="63">
        <v>834.6</v>
      </c>
      <c r="L90" s="63">
        <v>695.5</v>
      </c>
      <c r="M90" s="62">
        <v>0</v>
      </c>
      <c r="N90" s="62">
        <v>0</v>
      </c>
      <c r="O90" s="63">
        <v>0</v>
      </c>
      <c r="P90" s="63">
        <v>0</v>
      </c>
      <c r="Q90" s="62">
        <v>20</v>
      </c>
      <c r="R90" s="62">
        <v>19</v>
      </c>
      <c r="S90" s="63">
        <v>556.4</v>
      </c>
      <c r="T90" s="63">
        <v>528.58000000000004</v>
      </c>
      <c r="U90" s="55"/>
    </row>
    <row r="91" spans="1:21" ht="15">
      <c r="A91" s="55" t="s">
        <v>850</v>
      </c>
      <c r="B91" s="55" t="s">
        <v>599</v>
      </c>
      <c r="C91" s="55" t="s">
        <v>270</v>
      </c>
      <c r="D91" s="55" t="s">
        <v>662</v>
      </c>
      <c r="E91" s="55" t="s">
        <v>214</v>
      </c>
      <c r="F91" s="55" t="s">
        <v>683</v>
      </c>
      <c r="G91" s="55" t="s">
        <v>644</v>
      </c>
      <c r="H91" s="62">
        <v>0</v>
      </c>
      <c r="I91" s="62">
        <v>2</v>
      </c>
      <c r="J91" s="62">
        <v>2</v>
      </c>
      <c r="K91" s="63">
        <v>251.72</v>
      </c>
      <c r="L91" s="63">
        <v>251.72</v>
      </c>
      <c r="M91" s="62">
        <v>5</v>
      </c>
      <c r="N91" s="62">
        <v>5</v>
      </c>
      <c r="O91" s="63">
        <v>629.29999999999995</v>
      </c>
      <c r="P91" s="63">
        <v>629.29999999999995</v>
      </c>
      <c r="Q91" s="62">
        <v>1</v>
      </c>
      <c r="R91" s="62">
        <v>1</v>
      </c>
      <c r="S91" s="63">
        <v>125.86</v>
      </c>
      <c r="T91" s="63">
        <v>125.86</v>
      </c>
      <c r="U91" s="55" t="s">
        <v>270</v>
      </c>
    </row>
    <row r="92" spans="1:21" ht="15">
      <c r="A92" s="55" t="s">
        <v>850</v>
      </c>
      <c r="B92" s="55" t="s">
        <v>599</v>
      </c>
      <c r="C92" s="55" t="s">
        <v>321</v>
      </c>
      <c r="D92" s="55" t="s">
        <v>659</v>
      </c>
      <c r="E92" s="55" t="s">
        <v>214</v>
      </c>
      <c r="F92" s="55" t="s">
        <v>683</v>
      </c>
      <c r="G92" s="55" t="s">
        <v>644</v>
      </c>
      <c r="H92" s="62">
        <v>0</v>
      </c>
      <c r="I92" s="62">
        <v>0</v>
      </c>
      <c r="J92" s="62">
        <v>0</v>
      </c>
      <c r="K92" s="63">
        <v>0</v>
      </c>
      <c r="L92" s="63">
        <v>0</v>
      </c>
      <c r="M92" s="62">
        <v>50</v>
      </c>
      <c r="N92" s="62">
        <v>18</v>
      </c>
      <c r="O92" s="63">
        <v>992</v>
      </c>
      <c r="P92" s="63">
        <v>357.12</v>
      </c>
      <c r="Q92" s="62">
        <v>60</v>
      </c>
      <c r="R92" s="62">
        <v>54</v>
      </c>
      <c r="S92" s="63">
        <v>1190.4000000000001</v>
      </c>
      <c r="T92" s="63">
        <v>1071.3599999999999</v>
      </c>
      <c r="U92" s="55" t="s">
        <v>321</v>
      </c>
    </row>
    <row r="93" spans="1:21" ht="15">
      <c r="A93" s="55" t="s">
        <v>850</v>
      </c>
      <c r="B93" s="55" t="s">
        <v>599</v>
      </c>
      <c r="C93" s="55" t="s">
        <v>533</v>
      </c>
      <c r="D93" s="55" t="s">
        <v>534</v>
      </c>
      <c r="E93" s="55" t="s">
        <v>214</v>
      </c>
      <c r="F93" s="55" t="s">
        <v>683</v>
      </c>
      <c r="G93" s="55" t="s">
        <v>644</v>
      </c>
      <c r="H93" s="62">
        <v>0</v>
      </c>
      <c r="I93" s="62">
        <v>0</v>
      </c>
      <c r="J93" s="62">
        <v>0</v>
      </c>
      <c r="K93" s="63">
        <v>0</v>
      </c>
      <c r="L93" s="63">
        <v>0</v>
      </c>
      <c r="M93" s="62">
        <v>0</v>
      </c>
      <c r="N93" s="62">
        <v>0</v>
      </c>
      <c r="O93" s="63">
        <v>0</v>
      </c>
      <c r="P93" s="63">
        <v>0</v>
      </c>
      <c r="Q93" s="62">
        <v>10</v>
      </c>
      <c r="R93" s="62">
        <v>10</v>
      </c>
      <c r="S93" s="63">
        <v>1039.2</v>
      </c>
      <c r="T93" s="63">
        <v>1039.2</v>
      </c>
      <c r="U93" s="55"/>
    </row>
    <row r="94" spans="1:21" ht="15">
      <c r="A94" s="55" t="s">
        <v>850</v>
      </c>
      <c r="B94" s="55" t="s">
        <v>599</v>
      </c>
      <c r="C94" s="55" t="s">
        <v>535</v>
      </c>
      <c r="D94" s="55" t="s">
        <v>536</v>
      </c>
      <c r="E94" s="55" t="s">
        <v>214</v>
      </c>
      <c r="F94" s="55" t="s">
        <v>683</v>
      </c>
      <c r="G94" s="55" t="s">
        <v>644</v>
      </c>
      <c r="H94" s="62">
        <v>0</v>
      </c>
      <c r="I94" s="62">
        <v>0</v>
      </c>
      <c r="J94" s="62">
        <v>0</v>
      </c>
      <c r="K94" s="63">
        <v>0</v>
      </c>
      <c r="L94" s="63">
        <v>0</v>
      </c>
      <c r="M94" s="62">
        <v>2</v>
      </c>
      <c r="N94" s="62">
        <v>2</v>
      </c>
      <c r="O94" s="63">
        <v>207.84</v>
      </c>
      <c r="P94" s="63">
        <v>207.84</v>
      </c>
      <c r="Q94" s="62">
        <v>1</v>
      </c>
      <c r="R94" s="62">
        <v>1</v>
      </c>
      <c r="S94" s="63">
        <v>103.92</v>
      </c>
      <c r="T94" s="63">
        <v>103.92</v>
      </c>
      <c r="U94" s="55"/>
    </row>
    <row r="95" spans="1:21" ht="15">
      <c r="A95" s="55" t="s">
        <v>850</v>
      </c>
      <c r="B95" s="55" t="s">
        <v>599</v>
      </c>
      <c r="C95" s="55" t="s">
        <v>537</v>
      </c>
      <c r="D95" s="55" t="s">
        <v>817</v>
      </c>
      <c r="E95" s="55" t="s">
        <v>214</v>
      </c>
      <c r="F95" s="55" t="s">
        <v>683</v>
      </c>
      <c r="G95" s="55" t="s">
        <v>644</v>
      </c>
      <c r="H95" s="62">
        <v>0</v>
      </c>
      <c r="I95" s="62">
        <v>0</v>
      </c>
      <c r="J95" s="62">
        <v>0</v>
      </c>
      <c r="K95" s="63">
        <v>0</v>
      </c>
      <c r="L95" s="63">
        <v>0</v>
      </c>
      <c r="M95" s="62">
        <v>50</v>
      </c>
      <c r="N95" s="62">
        <v>50</v>
      </c>
      <c r="O95" s="63">
        <v>3609.5</v>
      </c>
      <c r="P95" s="63">
        <v>3609.5</v>
      </c>
      <c r="Q95" s="62">
        <v>10</v>
      </c>
      <c r="R95" s="62">
        <v>9</v>
      </c>
      <c r="S95" s="63">
        <v>721.9</v>
      </c>
      <c r="T95" s="63">
        <v>649.71</v>
      </c>
      <c r="U95" s="55"/>
    </row>
    <row r="96" spans="1:21" ht="15">
      <c r="A96" s="55" t="s">
        <v>850</v>
      </c>
      <c r="B96" s="55" t="s">
        <v>599</v>
      </c>
      <c r="C96" s="55" t="s">
        <v>339</v>
      </c>
      <c r="D96" s="55" t="s">
        <v>651</v>
      </c>
      <c r="E96" s="55" t="s">
        <v>214</v>
      </c>
      <c r="F96" s="55" t="s">
        <v>683</v>
      </c>
      <c r="G96" s="55" t="s">
        <v>644</v>
      </c>
      <c r="H96" s="62">
        <v>0</v>
      </c>
      <c r="I96" s="62">
        <v>0</v>
      </c>
      <c r="J96" s="62">
        <v>0</v>
      </c>
      <c r="K96" s="63">
        <v>0</v>
      </c>
      <c r="L96" s="63">
        <v>0</v>
      </c>
      <c r="M96" s="62">
        <v>2100</v>
      </c>
      <c r="N96" s="62">
        <v>2032</v>
      </c>
      <c r="O96" s="63">
        <v>367500</v>
      </c>
      <c r="P96" s="63">
        <v>355600</v>
      </c>
      <c r="Q96" s="62">
        <v>1200</v>
      </c>
      <c r="R96" s="62">
        <v>1085</v>
      </c>
      <c r="S96" s="63">
        <v>210000</v>
      </c>
      <c r="T96" s="63">
        <v>189875</v>
      </c>
      <c r="U96" s="55"/>
    </row>
    <row r="97" spans="1:21" ht="15">
      <c r="A97" s="55" t="s">
        <v>850</v>
      </c>
      <c r="B97" s="55" t="s">
        <v>599</v>
      </c>
      <c r="C97" s="55" t="s">
        <v>531</v>
      </c>
      <c r="D97" s="55" t="s">
        <v>794</v>
      </c>
      <c r="E97" s="55" t="s">
        <v>214</v>
      </c>
      <c r="F97" s="55" t="s">
        <v>683</v>
      </c>
      <c r="G97" s="55" t="s">
        <v>644</v>
      </c>
      <c r="H97" s="62">
        <v>0</v>
      </c>
      <c r="I97" s="62">
        <v>0</v>
      </c>
      <c r="J97" s="62">
        <v>0</v>
      </c>
      <c r="K97" s="63">
        <v>0</v>
      </c>
      <c r="L97" s="63">
        <v>0</v>
      </c>
      <c r="M97" s="62">
        <v>0</v>
      </c>
      <c r="N97" s="62">
        <v>0</v>
      </c>
      <c r="O97" s="63">
        <v>0</v>
      </c>
      <c r="P97" s="63">
        <v>0</v>
      </c>
      <c r="Q97" s="62">
        <v>100</v>
      </c>
      <c r="R97" s="62">
        <v>89</v>
      </c>
      <c r="S97" s="63">
        <v>15647</v>
      </c>
      <c r="T97" s="63">
        <v>13925.83</v>
      </c>
      <c r="U97" s="55"/>
    </row>
    <row r="98" spans="1:21" ht="15">
      <c r="A98" s="55" t="s">
        <v>850</v>
      </c>
      <c r="B98" s="55" t="s">
        <v>599</v>
      </c>
      <c r="C98" s="55" t="s">
        <v>360</v>
      </c>
      <c r="D98" s="55" t="s">
        <v>652</v>
      </c>
      <c r="E98" s="55" t="s">
        <v>214</v>
      </c>
      <c r="F98" s="55" t="s">
        <v>683</v>
      </c>
      <c r="G98" s="55" t="s">
        <v>644</v>
      </c>
      <c r="H98" s="62">
        <v>0</v>
      </c>
      <c r="I98" s="62">
        <v>400</v>
      </c>
      <c r="J98" s="62">
        <v>322</v>
      </c>
      <c r="K98" s="63">
        <v>65252</v>
      </c>
      <c r="L98" s="63">
        <v>52527.86</v>
      </c>
      <c r="M98" s="62">
        <v>150</v>
      </c>
      <c r="N98" s="62">
        <v>150</v>
      </c>
      <c r="O98" s="63">
        <v>24469.5</v>
      </c>
      <c r="P98" s="63">
        <v>24469.5</v>
      </c>
      <c r="Q98" s="62">
        <v>220</v>
      </c>
      <c r="R98" s="62">
        <v>213</v>
      </c>
      <c r="S98" s="63">
        <v>35888.6</v>
      </c>
      <c r="T98" s="63">
        <v>34746.69</v>
      </c>
      <c r="U98" s="55"/>
    </row>
    <row r="99" spans="1:21" ht="15">
      <c r="A99" s="55" t="s">
        <v>850</v>
      </c>
      <c r="B99" s="55" t="s">
        <v>599</v>
      </c>
      <c r="C99" s="55" t="s">
        <v>334</v>
      </c>
      <c r="D99" s="55" t="s">
        <v>652</v>
      </c>
      <c r="E99" s="55" t="s">
        <v>214</v>
      </c>
      <c r="F99" s="55" t="s">
        <v>683</v>
      </c>
      <c r="G99" s="55" t="s">
        <v>644</v>
      </c>
      <c r="H99" s="62">
        <v>0</v>
      </c>
      <c r="I99" s="62">
        <v>30</v>
      </c>
      <c r="J99" s="62">
        <v>30</v>
      </c>
      <c r="K99" s="63">
        <v>10268.1</v>
      </c>
      <c r="L99" s="63">
        <v>10268.1</v>
      </c>
      <c r="M99" s="62">
        <v>60</v>
      </c>
      <c r="N99" s="62">
        <v>57</v>
      </c>
      <c r="O99" s="63">
        <v>20536.2</v>
      </c>
      <c r="P99" s="63">
        <v>19509.39</v>
      </c>
      <c r="Q99" s="62">
        <v>40</v>
      </c>
      <c r="R99" s="62">
        <v>37</v>
      </c>
      <c r="S99" s="63">
        <v>13690.8</v>
      </c>
      <c r="T99" s="63">
        <v>12663.99</v>
      </c>
      <c r="U99" s="55"/>
    </row>
    <row r="100" spans="1:21" ht="15">
      <c r="A100" s="55" t="s">
        <v>850</v>
      </c>
      <c r="B100" s="55" t="s">
        <v>599</v>
      </c>
      <c r="C100" s="55" t="s">
        <v>337</v>
      </c>
      <c r="D100" s="55" t="s">
        <v>652</v>
      </c>
      <c r="E100" s="55" t="s">
        <v>214</v>
      </c>
      <c r="F100" s="55" t="s">
        <v>683</v>
      </c>
      <c r="G100" s="55" t="s">
        <v>644</v>
      </c>
      <c r="H100" s="62">
        <v>0</v>
      </c>
      <c r="I100" s="62">
        <v>0</v>
      </c>
      <c r="J100" s="62">
        <v>0</v>
      </c>
      <c r="K100" s="63">
        <v>0</v>
      </c>
      <c r="L100" s="63">
        <v>0</v>
      </c>
      <c r="M100" s="62">
        <v>20</v>
      </c>
      <c r="N100" s="62">
        <v>13</v>
      </c>
      <c r="O100" s="63">
        <v>6811.2</v>
      </c>
      <c r="P100" s="63">
        <v>4427.28</v>
      </c>
      <c r="Q100" s="62">
        <v>6</v>
      </c>
      <c r="R100" s="62">
        <v>9</v>
      </c>
      <c r="S100" s="63">
        <v>2043.36</v>
      </c>
      <c r="T100" s="63">
        <v>3065.04</v>
      </c>
      <c r="U100" s="55"/>
    </row>
    <row r="101" spans="1:21" ht="15">
      <c r="A101" s="55" t="s">
        <v>850</v>
      </c>
      <c r="B101" s="55" t="s">
        <v>599</v>
      </c>
      <c r="C101" s="55" t="s">
        <v>532</v>
      </c>
      <c r="D101" s="55" t="s">
        <v>851</v>
      </c>
      <c r="E101" s="55" t="s">
        <v>214</v>
      </c>
      <c r="F101" s="55" t="s">
        <v>683</v>
      </c>
      <c r="G101" s="55" t="s">
        <v>644</v>
      </c>
      <c r="H101" s="62">
        <v>8400</v>
      </c>
      <c r="I101" s="62">
        <v>100</v>
      </c>
      <c r="J101" s="62">
        <v>99</v>
      </c>
      <c r="K101" s="63">
        <v>32877</v>
      </c>
      <c r="L101" s="63">
        <v>32548.23</v>
      </c>
      <c r="M101" s="62">
        <v>50</v>
      </c>
      <c r="N101" s="62">
        <v>9</v>
      </c>
      <c r="O101" s="63">
        <v>16438.5</v>
      </c>
      <c r="P101" s="63">
        <v>2958.93</v>
      </c>
      <c r="Q101" s="62">
        <v>100</v>
      </c>
      <c r="R101" s="62">
        <v>98</v>
      </c>
      <c r="S101" s="63">
        <v>32877</v>
      </c>
      <c r="T101" s="63">
        <v>32219.46</v>
      </c>
      <c r="U101" s="55"/>
    </row>
    <row r="102" spans="1:21" ht="15">
      <c r="A102" s="55" t="s">
        <v>850</v>
      </c>
      <c r="B102" s="55" t="s">
        <v>599</v>
      </c>
      <c r="C102" s="55" t="s">
        <v>529</v>
      </c>
      <c r="D102" s="55" t="s">
        <v>651</v>
      </c>
      <c r="E102" s="55" t="s">
        <v>214</v>
      </c>
      <c r="F102" s="55" t="s">
        <v>683</v>
      </c>
      <c r="G102" s="55" t="s">
        <v>644</v>
      </c>
      <c r="H102" s="62">
        <v>0</v>
      </c>
      <c r="I102" s="62">
        <v>0</v>
      </c>
      <c r="J102" s="62">
        <v>0</v>
      </c>
      <c r="K102" s="63">
        <v>0</v>
      </c>
      <c r="L102" s="63">
        <v>0</v>
      </c>
      <c r="M102" s="62">
        <v>0</v>
      </c>
      <c r="N102" s="62">
        <v>0</v>
      </c>
      <c r="O102" s="63">
        <v>0</v>
      </c>
      <c r="P102" s="63">
        <v>0</v>
      </c>
      <c r="Q102" s="62">
        <v>300</v>
      </c>
      <c r="R102" s="62">
        <v>288</v>
      </c>
      <c r="S102" s="63">
        <v>53232</v>
      </c>
      <c r="T102" s="63">
        <v>51102.720000000001</v>
      </c>
      <c r="U102" s="55"/>
    </row>
    <row r="103" spans="1:21" ht="15">
      <c r="A103" s="55" t="s">
        <v>850</v>
      </c>
      <c r="B103" s="55" t="s">
        <v>599</v>
      </c>
      <c r="C103" s="55" t="s">
        <v>530</v>
      </c>
      <c r="D103" s="55" t="s">
        <v>652</v>
      </c>
      <c r="E103" s="55" t="s">
        <v>214</v>
      </c>
      <c r="F103" s="55" t="s">
        <v>683</v>
      </c>
      <c r="G103" s="55" t="s">
        <v>644</v>
      </c>
      <c r="H103" s="62">
        <v>0</v>
      </c>
      <c r="I103" s="62">
        <v>10</v>
      </c>
      <c r="J103" s="62">
        <v>10</v>
      </c>
      <c r="K103" s="63">
        <v>1512.9</v>
      </c>
      <c r="L103" s="63">
        <v>1512.9</v>
      </c>
      <c r="M103" s="62">
        <v>130</v>
      </c>
      <c r="N103" s="62">
        <v>127</v>
      </c>
      <c r="O103" s="63">
        <v>19667.7</v>
      </c>
      <c r="P103" s="63">
        <v>19213.830000000002</v>
      </c>
      <c r="Q103" s="62">
        <v>0</v>
      </c>
      <c r="R103" s="62">
        <v>0</v>
      </c>
      <c r="S103" s="63">
        <v>0</v>
      </c>
      <c r="T103" s="63">
        <v>0</v>
      </c>
      <c r="U103" s="55"/>
    </row>
    <row r="104" spans="1:21" ht="15">
      <c r="A104" s="55" t="s">
        <v>969</v>
      </c>
      <c r="B104" s="55" t="s">
        <v>970</v>
      </c>
      <c r="C104" s="55" t="s">
        <v>967</v>
      </c>
      <c r="D104" s="55" t="s">
        <v>971</v>
      </c>
      <c r="E104" s="55" t="s">
        <v>224</v>
      </c>
      <c r="F104" s="55" t="s">
        <v>683</v>
      </c>
      <c r="G104" s="55" t="s">
        <v>643</v>
      </c>
      <c r="H104" s="62">
        <v>18000</v>
      </c>
      <c r="I104" s="62">
        <v>180</v>
      </c>
      <c r="J104" s="62">
        <v>0</v>
      </c>
      <c r="K104" s="63">
        <v>12227.4</v>
      </c>
      <c r="L104" s="63">
        <v>0</v>
      </c>
      <c r="M104" s="62">
        <v>120</v>
      </c>
      <c r="N104" s="62">
        <v>60</v>
      </c>
      <c r="O104" s="63">
        <v>8151.6</v>
      </c>
      <c r="P104" s="63">
        <v>4075.8</v>
      </c>
      <c r="Q104" s="62">
        <v>90</v>
      </c>
      <c r="R104" s="62">
        <v>0</v>
      </c>
      <c r="S104" s="63">
        <v>6113.7</v>
      </c>
      <c r="T104" s="63">
        <v>0</v>
      </c>
      <c r="U104" s="55" t="s">
        <v>1102</v>
      </c>
    </row>
    <row r="105" spans="1:21" ht="15">
      <c r="A105" s="55" t="s">
        <v>855</v>
      </c>
      <c r="B105" s="55" t="s">
        <v>957</v>
      </c>
      <c r="C105" s="55" t="s">
        <v>905</v>
      </c>
      <c r="D105" s="55" t="s">
        <v>728</v>
      </c>
      <c r="E105" s="55" t="s">
        <v>213</v>
      </c>
      <c r="F105" s="55" t="s">
        <v>683</v>
      </c>
      <c r="G105" s="55" t="s">
        <v>640</v>
      </c>
      <c r="H105" s="62">
        <v>7875</v>
      </c>
      <c r="I105" s="62">
        <v>1400</v>
      </c>
      <c r="J105" s="62">
        <v>1500</v>
      </c>
      <c r="K105" s="63">
        <v>63756</v>
      </c>
      <c r="L105" s="63">
        <v>68310</v>
      </c>
      <c r="M105" s="62">
        <v>2000</v>
      </c>
      <c r="N105" s="62">
        <v>2400</v>
      </c>
      <c r="O105" s="63">
        <v>91080</v>
      </c>
      <c r="P105" s="63">
        <v>109296</v>
      </c>
      <c r="Q105" s="62">
        <v>2400</v>
      </c>
      <c r="R105" s="62">
        <v>0</v>
      </c>
      <c r="S105" s="63">
        <v>109296</v>
      </c>
      <c r="T105" s="63">
        <v>0</v>
      </c>
      <c r="U105" s="55" t="s">
        <v>1103</v>
      </c>
    </row>
    <row r="106" spans="1:21" ht="15">
      <c r="A106" s="55" t="s">
        <v>855</v>
      </c>
      <c r="B106" s="55" t="s">
        <v>957</v>
      </c>
      <c r="C106" s="55" t="s">
        <v>361</v>
      </c>
      <c r="D106" s="55" t="s">
        <v>623</v>
      </c>
      <c r="E106" s="55" t="s">
        <v>213</v>
      </c>
      <c r="F106" s="55" t="s">
        <v>683</v>
      </c>
      <c r="G106" s="55" t="s">
        <v>640</v>
      </c>
      <c r="H106" s="62">
        <v>0</v>
      </c>
      <c r="I106" s="62">
        <v>30</v>
      </c>
      <c r="J106" s="62">
        <v>30</v>
      </c>
      <c r="K106" s="63">
        <v>161.1</v>
      </c>
      <c r="L106" s="63">
        <v>161.1</v>
      </c>
      <c r="M106" s="62">
        <v>1000</v>
      </c>
      <c r="N106" s="62">
        <v>1000</v>
      </c>
      <c r="O106" s="63">
        <v>5370</v>
      </c>
      <c r="P106" s="63">
        <v>5370</v>
      </c>
      <c r="Q106" s="62">
        <v>1000</v>
      </c>
      <c r="R106" s="62">
        <v>0</v>
      </c>
      <c r="S106" s="63">
        <v>5370</v>
      </c>
      <c r="T106" s="63">
        <v>0</v>
      </c>
      <c r="U106" s="55" t="s">
        <v>1104</v>
      </c>
    </row>
    <row r="107" spans="1:21" ht="15">
      <c r="A107" s="55" t="s">
        <v>855</v>
      </c>
      <c r="B107" s="55" t="s">
        <v>957</v>
      </c>
      <c r="C107" s="55" t="s">
        <v>275</v>
      </c>
      <c r="D107" s="55" t="s">
        <v>748</v>
      </c>
      <c r="E107" s="55" t="s">
        <v>213</v>
      </c>
      <c r="F107" s="55" t="s">
        <v>683</v>
      </c>
      <c r="G107" s="55" t="s">
        <v>640</v>
      </c>
      <c r="H107" s="62">
        <v>0</v>
      </c>
      <c r="I107" s="62">
        <v>30</v>
      </c>
      <c r="J107" s="62">
        <v>90</v>
      </c>
      <c r="K107" s="63">
        <v>669</v>
      </c>
      <c r="L107" s="63">
        <v>2007</v>
      </c>
      <c r="M107" s="62">
        <v>60</v>
      </c>
      <c r="N107" s="62">
        <v>60</v>
      </c>
      <c r="O107" s="63">
        <v>1338</v>
      </c>
      <c r="P107" s="63">
        <v>1338</v>
      </c>
      <c r="Q107" s="62">
        <v>60</v>
      </c>
      <c r="R107" s="62">
        <v>0</v>
      </c>
      <c r="S107" s="63">
        <v>1338</v>
      </c>
      <c r="T107" s="63">
        <v>0</v>
      </c>
      <c r="U107" s="55" t="s">
        <v>1105</v>
      </c>
    </row>
    <row r="108" spans="1:21" ht="15">
      <c r="A108" s="55" t="s">
        <v>855</v>
      </c>
      <c r="B108" s="55" t="s">
        <v>957</v>
      </c>
      <c r="C108" s="55" t="s">
        <v>600</v>
      </c>
      <c r="D108" s="55" t="s">
        <v>617</v>
      </c>
      <c r="E108" s="55" t="s">
        <v>224</v>
      </c>
      <c r="F108" s="55" t="s">
        <v>683</v>
      </c>
      <c r="G108" s="55" t="s">
        <v>640</v>
      </c>
      <c r="H108" s="62">
        <v>20000</v>
      </c>
      <c r="I108" s="62">
        <v>1500</v>
      </c>
      <c r="J108" s="62">
        <v>1000</v>
      </c>
      <c r="K108" s="63">
        <v>40035</v>
      </c>
      <c r="L108" s="63">
        <v>26690</v>
      </c>
      <c r="M108" s="62">
        <v>1000</v>
      </c>
      <c r="N108" s="62">
        <v>1000</v>
      </c>
      <c r="O108" s="63">
        <v>26690</v>
      </c>
      <c r="P108" s="63">
        <v>26690</v>
      </c>
      <c r="Q108" s="62">
        <v>0</v>
      </c>
      <c r="R108" s="62">
        <v>0</v>
      </c>
      <c r="S108" s="63">
        <v>0</v>
      </c>
      <c r="T108" s="63">
        <v>0</v>
      </c>
      <c r="U108" s="55" t="s">
        <v>1106</v>
      </c>
    </row>
    <row r="109" spans="1:21" ht="15">
      <c r="A109" s="55" t="s">
        <v>856</v>
      </c>
      <c r="B109" s="55" t="s">
        <v>601</v>
      </c>
      <c r="C109" s="55" t="s">
        <v>216</v>
      </c>
      <c r="D109" s="55" t="s">
        <v>740</v>
      </c>
      <c r="E109" s="55" t="s">
        <v>215</v>
      </c>
      <c r="F109" s="55" t="s">
        <v>683</v>
      </c>
      <c r="G109" s="55" t="s">
        <v>640</v>
      </c>
      <c r="H109" s="62">
        <v>29700</v>
      </c>
      <c r="I109" s="62">
        <v>50</v>
      </c>
      <c r="J109" s="62">
        <v>0</v>
      </c>
      <c r="K109" s="63">
        <v>604</v>
      </c>
      <c r="L109" s="63">
        <v>0</v>
      </c>
      <c r="M109" s="62">
        <v>50</v>
      </c>
      <c r="N109" s="62">
        <v>0</v>
      </c>
      <c r="O109" s="63">
        <v>604</v>
      </c>
      <c r="P109" s="63">
        <v>0</v>
      </c>
      <c r="Q109" s="62">
        <v>50</v>
      </c>
      <c r="R109" s="62">
        <v>0</v>
      </c>
      <c r="S109" s="63">
        <v>604</v>
      </c>
      <c r="T109" s="63">
        <v>0</v>
      </c>
      <c r="U109" s="55" t="s">
        <v>216</v>
      </c>
    </row>
    <row r="110" spans="1:21" ht="15">
      <c r="A110" s="55" t="s">
        <v>856</v>
      </c>
      <c r="B110" s="55" t="s">
        <v>601</v>
      </c>
      <c r="C110" s="55" t="s">
        <v>379</v>
      </c>
      <c r="D110" s="55" t="s">
        <v>380</v>
      </c>
      <c r="E110" s="55" t="s">
        <v>215</v>
      </c>
      <c r="F110" s="55" t="s">
        <v>683</v>
      </c>
      <c r="G110" s="55" t="s">
        <v>640</v>
      </c>
      <c r="H110" s="62">
        <v>0</v>
      </c>
      <c r="I110" s="62">
        <v>100</v>
      </c>
      <c r="J110" s="62">
        <v>50</v>
      </c>
      <c r="K110" s="63">
        <v>1881</v>
      </c>
      <c r="L110" s="63">
        <v>940.5</v>
      </c>
      <c r="M110" s="62">
        <v>100</v>
      </c>
      <c r="N110" s="62">
        <v>0</v>
      </c>
      <c r="O110" s="63">
        <v>1881</v>
      </c>
      <c r="P110" s="63">
        <v>0</v>
      </c>
      <c r="Q110" s="62">
        <v>100</v>
      </c>
      <c r="R110" s="62">
        <v>0</v>
      </c>
      <c r="S110" s="63">
        <v>1881</v>
      </c>
      <c r="T110" s="63">
        <v>0</v>
      </c>
      <c r="U110" s="55" t="s">
        <v>379</v>
      </c>
    </row>
    <row r="111" spans="1:21" ht="15">
      <c r="A111" s="55" t="s">
        <v>856</v>
      </c>
      <c r="B111" s="55" t="s">
        <v>601</v>
      </c>
      <c r="C111" s="55" t="s">
        <v>246</v>
      </c>
      <c r="D111" s="55" t="s">
        <v>795</v>
      </c>
      <c r="E111" s="55" t="s">
        <v>215</v>
      </c>
      <c r="F111" s="55" t="s">
        <v>683</v>
      </c>
      <c r="G111" s="55" t="s">
        <v>640</v>
      </c>
      <c r="H111" s="62">
        <v>0</v>
      </c>
      <c r="I111" s="62">
        <v>50</v>
      </c>
      <c r="J111" s="62">
        <v>0</v>
      </c>
      <c r="K111" s="63">
        <v>446.5</v>
      </c>
      <c r="L111" s="63">
        <v>0</v>
      </c>
      <c r="M111" s="62">
        <v>0</v>
      </c>
      <c r="N111" s="62">
        <v>0</v>
      </c>
      <c r="O111" s="63">
        <v>0</v>
      </c>
      <c r="P111" s="63">
        <v>0</v>
      </c>
      <c r="Q111" s="62">
        <v>0</v>
      </c>
      <c r="R111" s="62">
        <v>0</v>
      </c>
      <c r="S111" s="63">
        <v>0</v>
      </c>
      <c r="T111" s="63">
        <v>0</v>
      </c>
      <c r="U111" s="55" t="s">
        <v>246</v>
      </c>
    </row>
    <row r="112" spans="1:21" ht="15">
      <c r="A112" s="55" t="s">
        <v>856</v>
      </c>
      <c r="B112" s="55" t="s">
        <v>601</v>
      </c>
      <c r="C112" s="55" t="s">
        <v>262</v>
      </c>
      <c r="D112" s="55" t="s">
        <v>263</v>
      </c>
      <c r="E112" s="55" t="s">
        <v>215</v>
      </c>
      <c r="F112" s="55" t="s">
        <v>683</v>
      </c>
      <c r="G112" s="55" t="s">
        <v>640</v>
      </c>
      <c r="H112" s="62">
        <v>0</v>
      </c>
      <c r="I112" s="62">
        <v>150</v>
      </c>
      <c r="J112" s="62">
        <v>0</v>
      </c>
      <c r="K112" s="63">
        <v>1575</v>
      </c>
      <c r="L112" s="63">
        <v>0</v>
      </c>
      <c r="M112" s="62">
        <v>150</v>
      </c>
      <c r="N112" s="62">
        <v>0</v>
      </c>
      <c r="O112" s="63">
        <v>1575</v>
      </c>
      <c r="P112" s="63">
        <v>0</v>
      </c>
      <c r="Q112" s="62">
        <v>0</v>
      </c>
      <c r="R112" s="62">
        <v>0</v>
      </c>
      <c r="S112" s="63">
        <v>0</v>
      </c>
      <c r="T112" s="63">
        <v>0</v>
      </c>
      <c r="U112" s="55" t="s">
        <v>262</v>
      </c>
    </row>
    <row r="113" spans="1:21" ht="15">
      <c r="A113" s="55" t="s">
        <v>857</v>
      </c>
      <c r="B113" s="55" t="s">
        <v>602</v>
      </c>
      <c r="C113" s="55" t="s">
        <v>409</v>
      </c>
      <c r="D113" s="55" t="s">
        <v>410</v>
      </c>
      <c r="E113" s="55" t="s">
        <v>224</v>
      </c>
      <c r="F113" s="55" t="s">
        <v>683</v>
      </c>
      <c r="G113" s="55" t="s">
        <v>639</v>
      </c>
      <c r="H113" s="62">
        <v>6300</v>
      </c>
      <c r="I113" s="62">
        <v>200</v>
      </c>
      <c r="J113" s="62">
        <v>180</v>
      </c>
      <c r="K113" s="63">
        <v>15120</v>
      </c>
      <c r="L113" s="63">
        <v>13608</v>
      </c>
      <c r="M113" s="62">
        <v>210</v>
      </c>
      <c r="N113" s="62">
        <v>180</v>
      </c>
      <c r="O113" s="63">
        <v>15876</v>
      </c>
      <c r="P113" s="63">
        <v>13608</v>
      </c>
      <c r="Q113" s="62">
        <v>390</v>
      </c>
      <c r="R113" s="62">
        <v>390</v>
      </c>
      <c r="S113" s="63">
        <v>29484</v>
      </c>
      <c r="T113" s="63">
        <v>29484</v>
      </c>
      <c r="U113" s="55" t="s">
        <v>409</v>
      </c>
    </row>
    <row r="114" spans="1:21" ht="15">
      <c r="A114" s="55" t="s">
        <v>857</v>
      </c>
      <c r="B114" s="55" t="s">
        <v>602</v>
      </c>
      <c r="C114" s="55" t="s">
        <v>467</v>
      </c>
      <c r="D114" s="55" t="s">
        <v>657</v>
      </c>
      <c r="E114" s="55" t="s">
        <v>224</v>
      </c>
      <c r="F114" s="55" t="s">
        <v>683</v>
      </c>
      <c r="G114" s="55" t="s">
        <v>639</v>
      </c>
      <c r="H114" s="62">
        <v>0</v>
      </c>
      <c r="I114" s="62">
        <v>2000</v>
      </c>
      <c r="J114" s="62">
        <v>2300</v>
      </c>
      <c r="K114" s="63">
        <v>56620</v>
      </c>
      <c r="L114" s="63">
        <v>65113</v>
      </c>
      <c r="M114" s="62">
        <v>2480</v>
      </c>
      <c r="N114" s="62">
        <v>2120</v>
      </c>
      <c r="O114" s="63">
        <v>70208.800000000003</v>
      </c>
      <c r="P114" s="63">
        <v>60017.2</v>
      </c>
      <c r="Q114" s="62">
        <v>2760</v>
      </c>
      <c r="R114" s="62">
        <v>2280</v>
      </c>
      <c r="S114" s="63">
        <v>78135.600000000006</v>
      </c>
      <c r="T114" s="63">
        <v>64546.8</v>
      </c>
      <c r="U114" s="55" t="s">
        <v>467</v>
      </c>
    </row>
    <row r="115" spans="1:21" ht="15">
      <c r="A115" s="55" t="s">
        <v>857</v>
      </c>
      <c r="B115" s="55" t="s">
        <v>602</v>
      </c>
      <c r="C115" s="55" t="s">
        <v>434</v>
      </c>
      <c r="D115" s="55" t="s">
        <v>435</v>
      </c>
      <c r="E115" s="55" t="s">
        <v>224</v>
      </c>
      <c r="F115" s="55" t="s">
        <v>683</v>
      </c>
      <c r="G115" s="55" t="s">
        <v>639</v>
      </c>
      <c r="H115" s="62">
        <v>12600</v>
      </c>
      <c r="I115" s="62">
        <v>740</v>
      </c>
      <c r="J115" s="62">
        <v>740</v>
      </c>
      <c r="K115" s="63">
        <v>79180</v>
      </c>
      <c r="L115" s="63">
        <v>79180</v>
      </c>
      <c r="M115" s="62">
        <v>560</v>
      </c>
      <c r="N115" s="62">
        <v>880</v>
      </c>
      <c r="O115" s="63">
        <v>59920</v>
      </c>
      <c r="P115" s="63">
        <v>94160</v>
      </c>
      <c r="Q115" s="62">
        <v>1260</v>
      </c>
      <c r="R115" s="62">
        <v>0</v>
      </c>
      <c r="S115" s="63">
        <v>134820</v>
      </c>
      <c r="T115" s="63">
        <v>0</v>
      </c>
      <c r="U115" s="55" t="s">
        <v>1107</v>
      </c>
    </row>
    <row r="116" spans="1:21" ht="15">
      <c r="A116" s="55" t="s">
        <v>857</v>
      </c>
      <c r="B116" s="55" t="s">
        <v>602</v>
      </c>
      <c r="C116" s="55" t="s">
        <v>508</v>
      </c>
      <c r="D116" s="55" t="s">
        <v>509</v>
      </c>
      <c r="E116" s="55" t="s">
        <v>213</v>
      </c>
      <c r="F116" s="55" t="s">
        <v>683</v>
      </c>
      <c r="G116" s="55" t="s">
        <v>639</v>
      </c>
      <c r="H116" s="62">
        <v>7800</v>
      </c>
      <c r="I116" s="62">
        <v>540</v>
      </c>
      <c r="J116" s="62">
        <v>420</v>
      </c>
      <c r="K116" s="63">
        <v>32610.6</v>
      </c>
      <c r="L116" s="63">
        <v>25363.8</v>
      </c>
      <c r="M116" s="62">
        <v>630</v>
      </c>
      <c r="N116" s="62">
        <v>820</v>
      </c>
      <c r="O116" s="63">
        <v>38045.699999999997</v>
      </c>
      <c r="P116" s="63">
        <v>49519.8</v>
      </c>
      <c r="Q116" s="62">
        <v>660</v>
      </c>
      <c r="R116" s="62">
        <v>990</v>
      </c>
      <c r="S116" s="63">
        <v>39857.4</v>
      </c>
      <c r="T116" s="63">
        <v>59786.1</v>
      </c>
      <c r="U116" s="55" t="s">
        <v>508</v>
      </c>
    </row>
    <row r="117" spans="1:21" ht="15">
      <c r="A117" s="55" t="s">
        <v>857</v>
      </c>
      <c r="B117" s="55" t="s">
        <v>602</v>
      </c>
      <c r="C117" s="55" t="s">
        <v>432</v>
      </c>
      <c r="D117" s="55" t="s">
        <v>433</v>
      </c>
      <c r="E117" s="55" t="s">
        <v>224</v>
      </c>
      <c r="F117" s="55" t="s">
        <v>683</v>
      </c>
      <c r="G117" s="55" t="s">
        <v>639</v>
      </c>
      <c r="H117" s="62">
        <v>12600</v>
      </c>
      <c r="I117" s="62">
        <v>740</v>
      </c>
      <c r="J117" s="62">
        <v>740</v>
      </c>
      <c r="K117" s="63">
        <v>77700</v>
      </c>
      <c r="L117" s="63">
        <v>77700</v>
      </c>
      <c r="M117" s="62">
        <v>560</v>
      </c>
      <c r="N117" s="62">
        <v>880</v>
      </c>
      <c r="O117" s="63">
        <v>58800</v>
      </c>
      <c r="P117" s="63">
        <v>92400</v>
      </c>
      <c r="Q117" s="62">
        <v>1260</v>
      </c>
      <c r="R117" s="62">
        <v>0</v>
      </c>
      <c r="S117" s="63">
        <v>132300</v>
      </c>
      <c r="T117" s="63">
        <v>0</v>
      </c>
      <c r="U117" s="55" t="s">
        <v>432</v>
      </c>
    </row>
    <row r="118" spans="1:21" ht="15">
      <c r="A118" s="55" t="s">
        <v>857</v>
      </c>
      <c r="B118" s="55" t="s">
        <v>602</v>
      </c>
      <c r="C118" s="55" t="s">
        <v>505</v>
      </c>
      <c r="D118" s="55" t="s">
        <v>506</v>
      </c>
      <c r="E118" s="55" t="s">
        <v>213</v>
      </c>
      <c r="F118" s="55" t="s">
        <v>683</v>
      </c>
      <c r="G118" s="55" t="s">
        <v>639</v>
      </c>
      <c r="H118" s="62">
        <v>15600</v>
      </c>
      <c r="I118" s="62">
        <v>540</v>
      </c>
      <c r="J118" s="62">
        <v>420</v>
      </c>
      <c r="K118" s="63">
        <v>13937.4</v>
      </c>
      <c r="L118" s="63">
        <v>10840.2</v>
      </c>
      <c r="M118" s="62">
        <v>630</v>
      </c>
      <c r="N118" s="62">
        <v>820</v>
      </c>
      <c r="O118" s="63">
        <v>16260.3</v>
      </c>
      <c r="P118" s="63">
        <v>21164.2</v>
      </c>
      <c r="Q118" s="62">
        <v>660</v>
      </c>
      <c r="R118" s="62">
        <v>990</v>
      </c>
      <c r="S118" s="63">
        <v>17034.599999999999</v>
      </c>
      <c r="T118" s="63">
        <v>25551.9</v>
      </c>
      <c r="U118" s="55" t="s">
        <v>505</v>
      </c>
    </row>
    <row r="119" spans="1:21" ht="15">
      <c r="A119" s="55" t="s">
        <v>857</v>
      </c>
      <c r="B119" s="55" t="s">
        <v>602</v>
      </c>
      <c r="C119" s="55" t="s">
        <v>450</v>
      </c>
      <c r="D119" s="55" t="s">
        <v>948</v>
      </c>
      <c r="E119" s="55" t="s">
        <v>213</v>
      </c>
      <c r="F119" s="55" t="s">
        <v>683</v>
      </c>
      <c r="G119" s="55" t="s">
        <v>639</v>
      </c>
      <c r="H119" s="62">
        <v>31500</v>
      </c>
      <c r="I119" s="62">
        <v>50</v>
      </c>
      <c r="J119" s="62">
        <v>50</v>
      </c>
      <c r="K119" s="63">
        <v>1536</v>
      </c>
      <c r="L119" s="63">
        <v>1536</v>
      </c>
      <c r="M119" s="62">
        <v>180</v>
      </c>
      <c r="N119" s="62">
        <v>140</v>
      </c>
      <c r="O119" s="63">
        <v>5529.6</v>
      </c>
      <c r="P119" s="63">
        <v>4300.8</v>
      </c>
      <c r="Q119" s="62">
        <v>260</v>
      </c>
      <c r="R119" s="62">
        <v>170</v>
      </c>
      <c r="S119" s="63">
        <v>7987.2</v>
      </c>
      <c r="T119" s="63">
        <v>5222.3999999999996</v>
      </c>
      <c r="U119" s="55" t="s">
        <v>450</v>
      </c>
    </row>
    <row r="120" spans="1:21" ht="15">
      <c r="A120" s="55" t="s">
        <v>857</v>
      </c>
      <c r="B120" s="55" t="s">
        <v>602</v>
      </c>
      <c r="C120" s="55" t="s">
        <v>451</v>
      </c>
      <c r="D120" s="55" t="s">
        <v>949</v>
      </c>
      <c r="E120" s="55" t="s">
        <v>213</v>
      </c>
      <c r="F120" s="55" t="s">
        <v>683</v>
      </c>
      <c r="G120" s="55" t="s">
        <v>639</v>
      </c>
      <c r="H120" s="62">
        <v>0</v>
      </c>
      <c r="I120" s="62">
        <v>230</v>
      </c>
      <c r="J120" s="62">
        <v>230</v>
      </c>
      <c r="K120" s="63">
        <v>8107.5</v>
      </c>
      <c r="L120" s="63">
        <v>8107.5</v>
      </c>
      <c r="M120" s="62">
        <v>260</v>
      </c>
      <c r="N120" s="62">
        <v>110</v>
      </c>
      <c r="O120" s="63">
        <v>9165</v>
      </c>
      <c r="P120" s="63">
        <v>3877.5</v>
      </c>
      <c r="Q120" s="62">
        <v>270</v>
      </c>
      <c r="R120" s="62">
        <v>210</v>
      </c>
      <c r="S120" s="63">
        <v>9517.5</v>
      </c>
      <c r="T120" s="63">
        <v>7402.5</v>
      </c>
      <c r="U120" s="55" t="s">
        <v>451</v>
      </c>
    </row>
    <row r="121" spans="1:21" ht="15">
      <c r="A121" s="55" t="s">
        <v>858</v>
      </c>
      <c r="B121" s="55" t="s">
        <v>603</v>
      </c>
      <c r="C121" s="55" t="s">
        <v>293</v>
      </c>
      <c r="D121" s="55" t="s">
        <v>749</v>
      </c>
      <c r="E121" s="55" t="s">
        <v>224</v>
      </c>
      <c r="F121" s="55" t="s">
        <v>683</v>
      </c>
      <c r="G121" s="55" t="s">
        <v>639</v>
      </c>
      <c r="H121" s="62">
        <v>0</v>
      </c>
      <c r="I121" s="62">
        <v>0</v>
      </c>
      <c r="J121" s="62">
        <v>0</v>
      </c>
      <c r="K121" s="63">
        <v>0</v>
      </c>
      <c r="L121" s="63">
        <v>0</v>
      </c>
      <c r="M121" s="62">
        <v>0</v>
      </c>
      <c r="N121" s="62">
        <v>0</v>
      </c>
      <c r="O121" s="63">
        <v>0</v>
      </c>
      <c r="P121" s="63">
        <v>0</v>
      </c>
      <c r="Q121" s="62">
        <v>600</v>
      </c>
      <c r="R121" s="62">
        <v>0</v>
      </c>
      <c r="S121" s="63">
        <v>16026</v>
      </c>
      <c r="T121" s="63">
        <v>0</v>
      </c>
      <c r="U121" s="55" t="s">
        <v>1108</v>
      </c>
    </row>
    <row r="122" spans="1:21" ht="15">
      <c r="A122" s="55" t="s">
        <v>858</v>
      </c>
      <c r="B122" s="55" t="s">
        <v>603</v>
      </c>
      <c r="C122" s="55" t="s">
        <v>365</v>
      </c>
      <c r="D122" s="55" t="s">
        <v>627</v>
      </c>
      <c r="E122" s="55" t="s">
        <v>224</v>
      </c>
      <c r="F122" s="55" t="s">
        <v>683</v>
      </c>
      <c r="G122" s="55" t="s">
        <v>639</v>
      </c>
      <c r="H122" s="62">
        <v>0</v>
      </c>
      <c r="I122" s="62">
        <v>200</v>
      </c>
      <c r="J122" s="62">
        <v>0</v>
      </c>
      <c r="K122" s="63">
        <v>7930</v>
      </c>
      <c r="L122" s="63">
        <v>0</v>
      </c>
      <c r="M122" s="62">
        <v>300</v>
      </c>
      <c r="N122" s="62">
        <v>300</v>
      </c>
      <c r="O122" s="63">
        <v>11895</v>
      </c>
      <c r="P122" s="63">
        <v>11895</v>
      </c>
      <c r="Q122" s="62">
        <v>300</v>
      </c>
      <c r="R122" s="62">
        <v>0</v>
      </c>
      <c r="S122" s="63">
        <v>11895</v>
      </c>
      <c r="T122" s="63">
        <v>0</v>
      </c>
      <c r="U122" s="55" t="s">
        <v>1109</v>
      </c>
    </row>
    <row r="123" spans="1:21" ht="15">
      <c r="A123" s="55" t="s">
        <v>858</v>
      </c>
      <c r="B123" s="55" t="s">
        <v>603</v>
      </c>
      <c r="C123" s="55" t="s">
        <v>319</v>
      </c>
      <c r="D123" s="55" t="s">
        <v>320</v>
      </c>
      <c r="E123" s="55" t="s">
        <v>224</v>
      </c>
      <c r="F123" s="55" t="s">
        <v>683</v>
      </c>
      <c r="G123" s="55" t="s">
        <v>639</v>
      </c>
      <c r="H123" s="62">
        <v>0</v>
      </c>
      <c r="I123" s="62">
        <v>9100</v>
      </c>
      <c r="J123" s="62">
        <v>10300</v>
      </c>
      <c r="K123" s="63">
        <v>258349</v>
      </c>
      <c r="L123" s="63">
        <v>292417</v>
      </c>
      <c r="M123" s="62">
        <v>6000</v>
      </c>
      <c r="N123" s="62">
        <v>6600</v>
      </c>
      <c r="O123" s="63">
        <v>170340</v>
      </c>
      <c r="P123" s="63">
        <v>187374</v>
      </c>
      <c r="Q123" s="62">
        <v>14000</v>
      </c>
      <c r="R123" s="62">
        <v>1800</v>
      </c>
      <c r="S123" s="63">
        <v>397460</v>
      </c>
      <c r="T123" s="63">
        <v>51102</v>
      </c>
      <c r="U123" s="55" t="s">
        <v>1110</v>
      </c>
    </row>
    <row r="124" spans="1:21" ht="15">
      <c r="A124" s="55" t="s">
        <v>859</v>
      </c>
      <c r="B124" s="55" t="s">
        <v>604</v>
      </c>
      <c r="C124" s="55" t="s">
        <v>281</v>
      </c>
      <c r="D124" s="55" t="s">
        <v>282</v>
      </c>
      <c r="E124" s="55" t="s">
        <v>215</v>
      </c>
      <c r="F124" s="55" t="s">
        <v>683</v>
      </c>
      <c r="G124" s="55" t="s">
        <v>968</v>
      </c>
      <c r="H124" s="62">
        <v>0</v>
      </c>
      <c r="I124" s="62">
        <v>3000</v>
      </c>
      <c r="J124" s="62">
        <v>3000</v>
      </c>
      <c r="K124" s="63">
        <v>3150</v>
      </c>
      <c r="L124" s="63">
        <v>3150</v>
      </c>
      <c r="M124" s="62">
        <v>3600</v>
      </c>
      <c r="N124" s="62">
        <v>2400</v>
      </c>
      <c r="O124" s="63">
        <v>3780</v>
      </c>
      <c r="P124" s="63">
        <v>2520</v>
      </c>
      <c r="Q124" s="62">
        <v>3600</v>
      </c>
      <c r="R124" s="62">
        <v>0</v>
      </c>
      <c r="S124" s="63">
        <v>3780</v>
      </c>
      <c r="T124" s="63">
        <v>0</v>
      </c>
      <c r="U124" s="55" t="s">
        <v>1111</v>
      </c>
    </row>
    <row r="125" spans="1:21" ht="15">
      <c r="A125" s="55" t="s">
        <v>859</v>
      </c>
      <c r="B125" s="55" t="s">
        <v>604</v>
      </c>
      <c r="C125" s="55" t="s">
        <v>401</v>
      </c>
      <c r="D125" s="55" t="s">
        <v>402</v>
      </c>
      <c r="E125" s="55" t="s">
        <v>224</v>
      </c>
      <c r="F125" s="55" t="s">
        <v>683</v>
      </c>
      <c r="G125" s="55" t="s">
        <v>968</v>
      </c>
      <c r="H125" s="62">
        <v>0</v>
      </c>
      <c r="I125" s="62">
        <v>3000</v>
      </c>
      <c r="J125" s="62">
        <v>3000</v>
      </c>
      <c r="K125" s="63">
        <v>30060</v>
      </c>
      <c r="L125" s="63">
        <v>30060</v>
      </c>
      <c r="M125" s="62">
        <v>3500</v>
      </c>
      <c r="N125" s="62">
        <v>2500</v>
      </c>
      <c r="O125" s="63">
        <v>35070</v>
      </c>
      <c r="P125" s="63">
        <v>25050</v>
      </c>
      <c r="Q125" s="62">
        <v>4000</v>
      </c>
      <c r="R125" s="62">
        <v>0</v>
      </c>
      <c r="S125" s="63">
        <v>40080</v>
      </c>
      <c r="T125" s="63">
        <v>0</v>
      </c>
      <c r="U125" s="55" t="s">
        <v>1112</v>
      </c>
    </row>
    <row r="126" spans="1:21" ht="15">
      <c r="A126" s="55" t="s">
        <v>859</v>
      </c>
      <c r="B126" s="55" t="s">
        <v>604</v>
      </c>
      <c r="C126" s="55" t="s">
        <v>680</v>
      </c>
      <c r="D126" s="55" t="s">
        <v>685</v>
      </c>
      <c r="E126" s="55" t="s">
        <v>224</v>
      </c>
      <c r="F126" s="55" t="s">
        <v>683</v>
      </c>
      <c r="G126" s="55" t="s">
        <v>968</v>
      </c>
      <c r="H126" s="62">
        <v>36000</v>
      </c>
      <c r="I126" s="62">
        <v>50</v>
      </c>
      <c r="J126" s="62">
        <v>0</v>
      </c>
      <c r="K126" s="63">
        <v>702.5</v>
      </c>
      <c r="L126" s="63">
        <v>0</v>
      </c>
      <c r="M126" s="62">
        <v>50</v>
      </c>
      <c r="N126" s="62">
        <v>0</v>
      </c>
      <c r="O126" s="63">
        <v>702.5</v>
      </c>
      <c r="P126" s="63">
        <v>0</v>
      </c>
      <c r="Q126" s="62">
        <v>0</v>
      </c>
      <c r="R126" s="62">
        <v>0</v>
      </c>
      <c r="S126" s="63">
        <v>0</v>
      </c>
      <c r="T126" s="63">
        <v>0</v>
      </c>
      <c r="U126" s="55" t="s">
        <v>680</v>
      </c>
    </row>
    <row r="127" spans="1:21" ht="15">
      <c r="A127" s="55" t="s">
        <v>860</v>
      </c>
      <c r="B127" s="55" t="s">
        <v>921</v>
      </c>
      <c r="C127" s="55" t="s">
        <v>428</v>
      </c>
      <c r="D127" s="55" t="s">
        <v>429</v>
      </c>
      <c r="E127" s="55" t="s">
        <v>213</v>
      </c>
      <c r="F127" s="55" t="s">
        <v>683</v>
      </c>
      <c r="G127" s="55" t="s">
        <v>638</v>
      </c>
      <c r="H127" s="62">
        <v>43200</v>
      </c>
      <c r="I127" s="62">
        <v>40</v>
      </c>
      <c r="J127" s="62">
        <v>35</v>
      </c>
      <c r="K127" s="63">
        <v>4531.2</v>
      </c>
      <c r="L127" s="63">
        <v>3964.8</v>
      </c>
      <c r="M127" s="62">
        <v>25</v>
      </c>
      <c r="N127" s="62">
        <v>20</v>
      </c>
      <c r="O127" s="63">
        <v>2832</v>
      </c>
      <c r="P127" s="63">
        <v>2265.6</v>
      </c>
      <c r="Q127" s="62">
        <v>30</v>
      </c>
      <c r="R127" s="62">
        <v>0</v>
      </c>
      <c r="S127" s="63">
        <v>3398.4</v>
      </c>
      <c r="T127" s="63">
        <v>0</v>
      </c>
      <c r="U127" s="55" t="s">
        <v>1113</v>
      </c>
    </row>
    <row r="128" spans="1:21" ht="15">
      <c r="A128" s="55" t="s">
        <v>860</v>
      </c>
      <c r="B128" s="55" t="s">
        <v>921</v>
      </c>
      <c r="C128" s="55" t="s">
        <v>664</v>
      </c>
      <c r="D128" s="55" t="s">
        <v>706</v>
      </c>
      <c r="E128" s="55" t="s">
        <v>213</v>
      </c>
      <c r="F128" s="55" t="s">
        <v>683</v>
      </c>
      <c r="G128" s="55" t="s">
        <v>638</v>
      </c>
      <c r="H128" s="62">
        <v>25200</v>
      </c>
      <c r="I128" s="62">
        <v>3701</v>
      </c>
      <c r="J128" s="62">
        <v>3702</v>
      </c>
      <c r="K128" s="63">
        <v>760148.39</v>
      </c>
      <c r="L128" s="63">
        <v>760353.78</v>
      </c>
      <c r="M128" s="62">
        <v>3824</v>
      </c>
      <c r="N128" s="62">
        <v>2418</v>
      </c>
      <c r="O128" s="63">
        <v>785411.36</v>
      </c>
      <c r="P128" s="63">
        <v>496633.02</v>
      </c>
      <c r="Q128" s="62">
        <v>4510</v>
      </c>
      <c r="R128" s="62">
        <v>0</v>
      </c>
      <c r="S128" s="63">
        <v>926308.9</v>
      </c>
      <c r="T128" s="63">
        <v>0</v>
      </c>
      <c r="U128" s="55" t="s">
        <v>1114</v>
      </c>
    </row>
    <row r="129" spans="1:21" ht="15">
      <c r="A129" s="55" t="s">
        <v>860</v>
      </c>
      <c r="B129" s="55" t="s">
        <v>921</v>
      </c>
      <c r="C129" s="55" t="s">
        <v>818</v>
      </c>
      <c r="D129" s="55" t="s">
        <v>819</v>
      </c>
      <c r="E129" s="55" t="s">
        <v>213</v>
      </c>
      <c r="F129" s="55" t="s">
        <v>683</v>
      </c>
      <c r="G129" s="55" t="s">
        <v>638</v>
      </c>
      <c r="H129" s="62">
        <v>14700</v>
      </c>
      <c r="I129" s="62">
        <v>11373</v>
      </c>
      <c r="J129" s="62">
        <v>11372</v>
      </c>
      <c r="K129" s="63">
        <v>1478148.81</v>
      </c>
      <c r="L129" s="63">
        <v>1478018.84</v>
      </c>
      <c r="M129" s="62">
        <v>10882</v>
      </c>
      <c r="N129" s="62">
        <v>6814</v>
      </c>
      <c r="O129" s="63">
        <v>1414333.54</v>
      </c>
      <c r="P129" s="63">
        <v>885615.58</v>
      </c>
      <c r="Q129" s="62">
        <v>12380</v>
      </c>
      <c r="R129" s="62">
        <v>0</v>
      </c>
      <c r="S129" s="63">
        <v>1609028.6</v>
      </c>
      <c r="T129" s="63">
        <v>0</v>
      </c>
      <c r="U129" s="55" t="s">
        <v>1115</v>
      </c>
    </row>
    <row r="130" spans="1:21" ht="15">
      <c r="A130" s="55" t="s">
        <v>860</v>
      </c>
      <c r="B130" s="55" t="s">
        <v>921</v>
      </c>
      <c r="C130" s="55" t="s">
        <v>665</v>
      </c>
      <c r="D130" s="55" t="s">
        <v>706</v>
      </c>
      <c r="E130" s="55" t="s">
        <v>213</v>
      </c>
      <c r="F130" s="55" t="s">
        <v>683</v>
      </c>
      <c r="G130" s="55" t="s">
        <v>638</v>
      </c>
      <c r="H130" s="62">
        <v>25200</v>
      </c>
      <c r="I130" s="62">
        <v>4811</v>
      </c>
      <c r="J130" s="62">
        <v>4850</v>
      </c>
      <c r="K130" s="63">
        <v>935595.17</v>
      </c>
      <c r="L130" s="63">
        <v>943179.5</v>
      </c>
      <c r="M130" s="62">
        <v>7257</v>
      </c>
      <c r="N130" s="62">
        <v>4658</v>
      </c>
      <c r="O130" s="63">
        <v>1411268.79</v>
      </c>
      <c r="P130" s="63">
        <v>905841.26</v>
      </c>
      <c r="Q130" s="62">
        <v>5134</v>
      </c>
      <c r="R130" s="62">
        <v>0</v>
      </c>
      <c r="S130" s="63">
        <v>998408.98</v>
      </c>
      <c r="T130" s="63">
        <v>0</v>
      </c>
      <c r="U130" s="55" t="s">
        <v>1116</v>
      </c>
    </row>
    <row r="131" spans="1:21" ht="15">
      <c r="A131" s="55" t="s">
        <v>860</v>
      </c>
      <c r="B131" s="55" t="s">
        <v>921</v>
      </c>
      <c r="C131" s="55" t="s">
        <v>564</v>
      </c>
      <c r="D131" s="55" t="s">
        <v>565</v>
      </c>
      <c r="E131" s="55" t="s">
        <v>213</v>
      </c>
      <c r="F131" s="55" t="s">
        <v>683</v>
      </c>
      <c r="G131" s="55" t="s">
        <v>638</v>
      </c>
      <c r="H131" s="62">
        <v>0</v>
      </c>
      <c r="I131" s="62">
        <v>130</v>
      </c>
      <c r="J131" s="62">
        <v>130</v>
      </c>
      <c r="K131" s="63">
        <v>9379.5</v>
      </c>
      <c r="L131" s="63">
        <v>9379.5</v>
      </c>
      <c r="M131" s="62">
        <v>80</v>
      </c>
      <c r="N131" s="62">
        <v>50</v>
      </c>
      <c r="O131" s="63">
        <v>5772</v>
      </c>
      <c r="P131" s="63">
        <v>3607.5</v>
      </c>
      <c r="Q131" s="62">
        <v>80</v>
      </c>
      <c r="R131" s="62">
        <v>0</v>
      </c>
      <c r="S131" s="63">
        <v>5772</v>
      </c>
      <c r="T131" s="63">
        <v>0</v>
      </c>
      <c r="U131" s="55" t="s">
        <v>1117</v>
      </c>
    </row>
    <row r="132" spans="1:21" ht="15">
      <c r="A132" s="55" t="s">
        <v>860</v>
      </c>
      <c r="B132" s="55" t="s">
        <v>921</v>
      </c>
      <c r="C132" s="55" t="s">
        <v>820</v>
      </c>
      <c r="D132" s="55" t="s">
        <v>821</v>
      </c>
      <c r="E132" s="55" t="s">
        <v>213</v>
      </c>
      <c r="F132" s="55" t="s">
        <v>683</v>
      </c>
      <c r="G132" s="55" t="s">
        <v>638</v>
      </c>
      <c r="H132" s="62">
        <v>14700</v>
      </c>
      <c r="I132" s="62">
        <v>11371</v>
      </c>
      <c r="J132" s="62">
        <v>11324</v>
      </c>
      <c r="K132" s="63">
        <v>2548127.39</v>
      </c>
      <c r="L132" s="63">
        <v>2537595.16</v>
      </c>
      <c r="M132" s="62">
        <v>10874</v>
      </c>
      <c r="N132" s="62">
        <v>6724</v>
      </c>
      <c r="O132" s="63">
        <v>2436754.66</v>
      </c>
      <c r="P132" s="63">
        <v>1506781.16</v>
      </c>
      <c r="Q132" s="62">
        <v>12400</v>
      </c>
      <c r="R132" s="62">
        <v>0</v>
      </c>
      <c r="S132" s="63">
        <v>2778716</v>
      </c>
      <c r="T132" s="63">
        <v>0</v>
      </c>
      <c r="U132" s="55" t="s">
        <v>1118</v>
      </c>
    </row>
    <row r="133" spans="1:21" ht="15">
      <c r="A133" s="55" t="s">
        <v>860</v>
      </c>
      <c r="B133" s="55" t="s">
        <v>921</v>
      </c>
      <c r="C133" s="55" t="s">
        <v>487</v>
      </c>
      <c r="D133" s="55" t="s">
        <v>488</v>
      </c>
      <c r="E133" s="55" t="s">
        <v>213</v>
      </c>
      <c r="F133" s="55" t="s">
        <v>683</v>
      </c>
      <c r="G133" s="55" t="s">
        <v>638</v>
      </c>
      <c r="H133" s="62">
        <v>8925</v>
      </c>
      <c r="I133" s="62">
        <v>80</v>
      </c>
      <c r="J133" s="62">
        <v>80</v>
      </c>
      <c r="K133" s="63">
        <v>10180.799999999999</v>
      </c>
      <c r="L133" s="63">
        <v>10180.799999999999</v>
      </c>
      <c r="M133" s="62">
        <v>69</v>
      </c>
      <c r="N133" s="62">
        <v>40</v>
      </c>
      <c r="O133" s="63">
        <v>8780.94</v>
      </c>
      <c r="P133" s="63">
        <v>5090.3999999999996</v>
      </c>
      <c r="Q133" s="62">
        <v>133</v>
      </c>
      <c r="R133" s="62">
        <v>0</v>
      </c>
      <c r="S133" s="63">
        <v>16925.580000000002</v>
      </c>
      <c r="T133" s="63">
        <v>0</v>
      </c>
      <c r="U133" s="55" t="s">
        <v>1119</v>
      </c>
    </row>
    <row r="134" spans="1:21" ht="15">
      <c r="A134" s="55" t="s">
        <v>860</v>
      </c>
      <c r="B134" s="55" t="s">
        <v>921</v>
      </c>
      <c r="C134" s="55" t="s">
        <v>489</v>
      </c>
      <c r="D134" s="55" t="s">
        <v>488</v>
      </c>
      <c r="E134" s="55" t="s">
        <v>213</v>
      </c>
      <c r="F134" s="55" t="s">
        <v>683</v>
      </c>
      <c r="G134" s="55" t="s">
        <v>638</v>
      </c>
      <c r="H134" s="62">
        <v>8925</v>
      </c>
      <c r="I134" s="62">
        <v>9</v>
      </c>
      <c r="J134" s="62">
        <v>10</v>
      </c>
      <c r="K134" s="63">
        <v>1116.6300000000001</v>
      </c>
      <c r="L134" s="63">
        <v>1240.7</v>
      </c>
      <c r="M134" s="62">
        <v>19</v>
      </c>
      <c r="N134" s="62">
        <v>10</v>
      </c>
      <c r="O134" s="63">
        <v>2357.33</v>
      </c>
      <c r="P134" s="63">
        <v>1240.7</v>
      </c>
      <c r="Q134" s="62">
        <v>14</v>
      </c>
      <c r="R134" s="62">
        <v>0</v>
      </c>
      <c r="S134" s="63">
        <v>1736.98</v>
      </c>
      <c r="T134" s="63">
        <v>0</v>
      </c>
      <c r="U134" s="55" t="s">
        <v>1120</v>
      </c>
    </row>
    <row r="135" spans="1:21" ht="15">
      <c r="A135" s="55" t="s">
        <v>860</v>
      </c>
      <c r="B135" s="55" t="s">
        <v>921</v>
      </c>
      <c r="C135" s="55" t="s">
        <v>563</v>
      </c>
      <c r="D135" s="55" t="s">
        <v>492</v>
      </c>
      <c r="E135" s="55" t="s">
        <v>213</v>
      </c>
      <c r="F135" s="55" t="s">
        <v>683</v>
      </c>
      <c r="G135" s="55" t="s">
        <v>638</v>
      </c>
      <c r="H135" s="62">
        <v>8300</v>
      </c>
      <c r="I135" s="62">
        <v>1186</v>
      </c>
      <c r="J135" s="62">
        <v>1205</v>
      </c>
      <c r="K135" s="63">
        <v>155199.96</v>
      </c>
      <c r="L135" s="63">
        <v>157686.29999999999</v>
      </c>
      <c r="M135" s="62">
        <v>1367</v>
      </c>
      <c r="N135" s="62">
        <v>830</v>
      </c>
      <c r="O135" s="63">
        <v>178885.62</v>
      </c>
      <c r="P135" s="63">
        <v>108613.8</v>
      </c>
      <c r="Q135" s="62">
        <v>1500</v>
      </c>
      <c r="R135" s="62">
        <v>0</v>
      </c>
      <c r="S135" s="63">
        <v>196290</v>
      </c>
      <c r="T135" s="63">
        <v>0</v>
      </c>
      <c r="U135" s="55" t="s">
        <v>1121</v>
      </c>
    </row>
    <row r="136" spans="1:21" ht="15">
      <c r="A136" s="55" t="s">
        <v>860</v>
      </c>
      <c r="B136" s="55" t="s">
        <v>921</v>
      </c>
      <c r="C136" s="55" t="s">
        <v>491</v>
      </c>
      <c r="D136" s="55" t="s">
        <v>492</v>
      </c>
      <c r="E136" s="55" t="s">
        <v>213</v>
      </c>
      <c r="F136" s="55" t="s">
        <v>683</v>
      </c>
      <c r="G136" s="55" t="s">
        <v>638</v>
      </c>
      <c r="H136" s="62">
        <v>0</v>
      </c>
      <c r="I136" s="62">
        <v>4158</v>
      </c>
      <c r="J136" s="62">
        <v>4205</v>
      </c>
      <c r="K136" s="63">
        <v>553014</v>
      </c>
      <c r="L136" s="63">
        <v>559265</v>
      </c>
      <c r="M136" s="62">
        <v>4684</v>
      </c>
      <c r="N136" s="62">
        <v>2865</v>
      </c>
      <c r="O136" s="63">
        <v>622972</v>
      </c>
      <c r="P136" s="63">
        <v>381045</v>
      </c>
      <c r="Q136" s="62">
        <v>4128</v>
      </c>
      <c r="R136" s="62">
        <v>0</v>
      </c>
      <c r="S136" s="63">
        <v>549024</v>
      </c>
      <c r="T136" s="63">
        <v>0</v>
      </c>
      <c r="U136" s="55" t="s">
        <v>1122</v>
      </c>
    </row>
    <row r="137" spans="1:21" ht="15">
      <c r="A137" s="55" t="s">
        <v>860</v>
      </c>
      <c r="B137" s="55" t="s">
        <v>921</v>
      </c>
      <c r="C137" s="55" t="s">
        <v>666</v>
      </c>
      <c r="D137" s="55" t="s">
        <v>707</v>
      </c>
      <c r="E137" s="55" t="s">
        <v>213</v>
      </c>
      <c r="F137" s="55" t="s">
        <v>683</v>
      </c>
      <c r="G137" s="55" t="s">
        <v>638</v>
      </c>
      <c r="H137" s="62">
        <v>18900</v>
      </c>
      <c r="I137" s="62">
        <v>6856</v>
      </c>
      <c r="J137" s="62">
        <v>6810</v>
      </c>
      <c r="K137" s="63">
        <v>386746.96</v>
      </c>
      <c r="L137" s="63">
        <v>384152.1</v>
      </c>
      <c r="M137" s="62">
        <v>6528</v>
      </c>
      <c r="N137" s="62">
        <v>4014</v>
      </c>
      <c r="O137" s="63">
        <v>368244.47999999998</v>
      </c>
      <c r="P137" s="63">
        <v>226429.74</v>
      </c>
      <c r="Q137" s="62">
        <v>7486</v>
      </c>
      <c r="R137" s="62">
        <v>0</v>
      </c>
      <c r="S137" s="63">
        <v>422285.26</v>
      </c>
      <c r="T137" s="63">
        <v>0</v>
      </c>
      <c r="U137" s="55" t="s">
        <v>1123</v>
      </c>
    </row>
    <row r="138" spans="1:21" ht="15">
      <c r="A138" s="55" t="s">
        <v>860</v>
      </c>
      <c r="B138" s="55" t="s">
        <v>921</v>
      </c>
      <c r="C138" s="55" t="s">
        <v>667</v>
      </c>
      <c r="D138" s="55" t="s">
        <v>707</v>
      </c>
      <c r="E138" s="55" t="s">
        <v>213</v>
      </c>
      <c r="F138" s="55" t="s">
        <v>683</v>
      </c>
      <c r="G138" s="55" t="s">
        <v>638</v>
      </c>
      <c r="H138" s="62">
        <v>18900</v>
      </c>
      <c r="I138" s="62">
        <v>5328</v>
      </c>
      <c r="J138" s="62">
        <v>5400</v>
      </c>
      <c r="K138" s="63">
        <v>300552.48</v>
      </c>
      <c r="L138" s="63">
        <v>304614</v>
      </c>
      <c r="M138" s="62">
        <v>7453</v>
      </c>
      <c r="N138" s="62">
        <v>4530</v>
      </c>
      <c r="O138" s="63">
        <v>420423.73</v>
      </c>
      <c r="P138" s="63">
        <v>255537.3</v>
      </c>
      <c r="Q138" s="62">
        <v>6129</v>
      </c>
      <c r="R138" s="62">
        <v>0</v>
      </c>
      <c r="S138" s="63">
        <v>345736.89</v>
      </c>
      <c r="T138" s="63">
        <v>0</v>
      </c>
      <c r="U138" s="55" t="s">
        <v>1124</v>
      </c>
    </row>
    <row r="139" spans="1:21" ht="15">
      <c r="A139" s="55" t="s">
        <v>860</v>
      </c>
      <c r="B139" s="55" t="s">
        <v>921</v>
      </c>
      <c r="C139" s="55" t="s">
        <v>523</v>
      </c>
      <c r="D139" s="55" t="s">
        <v>524</v>
      </c>
      <c r="E139" s="55" t="s">
        <v>213</v>
      </c>
      <c r="F139" s="55" t="s">
        <v>683</v>
      </c>
      <c r="G139" s="55" t="s">
        <v>638</v>
      </c>
      <c r="H139" s="62">
        <v>29400</v>
      </c>
      <c r="I139" s="62">
        <v>89</v>
      </c>
      <c r="J139" s="62">
        <v>90</v>
      </c>
      <c r="K139" s="63">
        <v>1350.13</v>
      </c>
      <c r="L139" s="63">
        <v>1365.3</v>
      </c>
      <c r="M139" s="62">
        <v>88</v>
      </c>
      <c r="N139" s="62">
        <v>60</v>
      </c>
      <c r="O139" s="63">
        <v>1334.96</v>
      </c>
      <c r="P139" s="63">
        <v>910.2</v>
      </c>
      <c r="Q139" s="62">
        <v>147</v>
      </c>
      <c r="R139" s="62">
        <v>0</v>
      </c>
      <c r="S139" s="63">
        <v>2229.9899999999998</v>
      </c>
      <c r="T139" s="63">
        <v>0</v>
      </c>
      <c r="U139" s="55" t="s">
        <v>1125</v>
      </c>
    </row>
    <row r="140" spans="1:21" ht="15">
      <c r="A140" s="55" t="s">
        <v>860</v>
      </c>
      <c r="B140" s="55" t="s">
        <v>921</v>
      </c>
      <c r="C140" s="55" t="s">
        <v>493</v>
      </c>
      <c r="D140" s="55" t="s">
        <v>624</v>
      </c>
      <c r="E140" s="55" t="s">
        <v>213</v>
      </c>
      <c r="F140" s="55" t="s">
        <v>683</v>
      </c>
      <c r="G140" s="55" t="s">
        <v>638</v>
      </c>
      <c r="H140" s="62">
        <v>0</v>
      </c>
      <c r="I140" s="62">
        <v>1134</v>
      </c>
      <c r="J140" s="62">
        <v>1062</v>
      </c>
      <c r="K140" s="63">
        <v>31502.52</v>
      </c>
      <c r="L140" s="63">
        <v>29502.36</v>
      </c>
      <c r="M140" s="62">
        <v>642</v>
      </c>
      <c r="N140" s="62">
        <v>384</v>
      </c>
      <c r="O140" s="63">
        <v>17834.759999999998</v>
      </c>
      <c r="P140" s="63">
        <v>10667.52</v>
      </c>
      <c r="Q140" s="62">
        <v>806</v>
      </c>
      <c r="R140" s="62">
        <v>0</v>
      </c>
      <c r="S140" s="63">
        <v>22390.68</v>
      </c>
      <c r="T140" s="63">
        <v>0</v>
      </c>
      <c r="U140" s="55" t="s">
        <v>1126</v>
      </c>
    </row>
    <row r="141" spans="1:21" ht="15">
      <c r="A141" s="55" t="s">
        <v>860</v>
      </c>
      <c r="B141" s="55" t="s">
        <v>921</v>
      </c>
      <c r="C141" s="55" t="s">
        <v>556</v>
      </c>
      <c r="D141" s="55" t="s">
        <v>625</v>
      </c>
      <c r="E141" s="55" t="s">
        <v>213</v>
      </c>
      <c r="F141" s="55" t="s">
        <v>683</v>
      </c>
      <c r="G141" s="55" t="s">
        <v>638</v>
      </c>
      <c r="H141" s="62">
        <v>11400</v>
      </c>
      <c r="I141" s="62">
        <v>2449</v>
      </c>
      <c r="J141" s="62">
        <v>2430</v>
      </c>
      <c r="K141" s="63">
        <v>75527.16</v>
      </c>
      <c r="L141" s="63">
        <v>74941.2</v>
      </c>
      <c r="M141" s="62">
        <v>2841</v>
      </c>
      <c r="N141" s="62">
        <v>1740</v>
      </c>
      <c r="O141" s="63">
        <v>87616.44</v>
      </c>
      <c r="P141" s="63">
        <v>53661.599999999999</v>
      </c>
      <c r="Q141" s="62">
        <v>2638</v>
      </c>
      <c r="R141" s="62">
        <v>0</v>
      </c>
      <c r="S141" s="63">
        <v>81355.92</v>
      </c>
      <c r="T141" s="63">
        <v>0</v>
      </c>
      <c r="U141" s="55" t="s">
        <v>1127</v>
      </c>
    </row>
    <row r="142" spans="1:21" ht="15">
      <c r="A142" s="55" t="s">
        <v>860</v>
      </c>
      <c r="B142" s="55" t="s">
        <v>921</v>
      </c>
      <c r="C142" s="55" t="s">
        <v>663</v>
      </c>
      <c r="D142" s="55" t="s">
        <v>708</v>
      </c>
      <c r="E142" s="55" t="s">
        <v>213</v>
      </c>
      <c r="F142" s="55" t="s">
        <v>683</v>
      </c>
      <c r="G142" s="55" t="s">
        <v>638</v>
      </c>
      <c r="H142" s="62">
        <v>0</v>
      </c>
      <c r="I142" s="62">
        <v>12951</v>
      </c>
      <c r="J142" s="62">
        <v>12960</v>
      </c>
      <c r="K142" s="63">
        <v>188437.05</v>
      </c>
      <c r="L142" s="63">
        <v>188568</v>
      </c>
      <c r="M142" s="62">
        <v>14995</v>
      </c>
      <c r="N142" s="62">
        <v>9090</v>
      </c>
      <c r="O142" s="63">
        <v>218177.25</v>
      </c>
      <c r="P142" s="63">
        <v>132259.5</v>
      </c>
      <c r="Q142" s="62">
        <v>14426</v>
      </c>
      <c r="R142" s="62">
        <v>0</v>
      </c>
      <c r="S142" s="63">
        <v>209898.3</v>
      </c>
      <c r="T142" s="63">
        <v>0</v>
      </c>
      <c r="U142" s="55" t="s">
        <v>1128</v>
      </c>
    </row>
    <row r="143" spans="1:21" ht="15">
      <c r="A143" s="55" t="s">
        <v>861</v>
      </c>
      <c r="B143" s="55" t="s">
        <v>921</v>
      </c>
      <c r="C143" s="55" t="s">
        <v>428</v>
      </c>
      <c r="D143" s="55" t="s">
        <v>429</v>
      </c>
      <c r="E143" s="55" t="s">
        <v>213</v>
      </c>
      <c r="F143" s="55" t="s">
        <v>683</v>
      </c>
      <c r="G143" s="55" t="s">
        <v>638</v>
      </c>
      <c r="H143" s="62">
        <v>43200</v>
      </c>
      <c r="I143" s="62">
        <v>2720</v>
      </c>
      <c r="J143" s="62">
        <v>2725</v>
      </c>
      <c r="K143" s="63">
        <v>308121.59999999998</v>
      </c>
      <c r="L143" s="63">
        <v>308688</v>
      </c>
      <c r="M143" s="62">
        <v>4607</v>
      </c>
      <c r="N143" s="62">
        <v>3065</v>
      </c>
      <c r="O143" s="63">
        <v>521880.96</v>
      </c>
      <c r="P143" s="63">
        <v>347203.2</v>
      </c>
      <c r="Q143" s="62">
        <v>4233</v>
      </c>
      <c r="R143" s="62">
        <v>0</v>
      </c>
      <c r="S143" s="63">
        <v>479514.24</v>
      </c>
      <c r="T143" s="63">
        <v>0</v>
      </c>
      <c r="U143" s="55" t="s">
        <v>1113</v>
      </c>
    </row>
    <row r="144" spans="1:21" ht="15">
      <c r="A144" s="55" t="s">
        <v>861</v>
      </c>
      <c r="B144" s="55" t="s">
        <v>921</v>
      </c>
      <c r="C144" s="55" t="s">
        <v>893</v>
      </c>
      <c r="D144" s="55" t="s">
        <v>765</v>
      </c>
      <c r="E144" s="55" t="s">
        <v>213</v>
      </c>
      <c r="F144" s="55" t="s">
        <v>684</v>
      </c>
      <c r="G144" s="55" t="s">
        <v>638</v>
      </c>
      <c r="H144" s="62">
        <v>13800</v>
      </c>
      <c r="I144" s="62">
        <v>438</v>
      </c>
      <c r="J144" s="62">
        <v>444</v>
      </c>
      <c r="K144" s="63">
        <v>32144.82</v>
      </c>
      <c r="L144" s="63">
        <v>32585.16</v>
      </c>
      <c r="M144" s="62">
        <v>637</v>
      </c>
      <c r="N144" s="62">
        <v>420</v>
      </c>
      <c r="O144" s="63">
        <v>46749.43</v>
      </c>
      <c r="P144" s="63">
        <v>30823.8</v>
      </c>
      <c r="Q144" s="62">
        <v>654</v>
      </c>
      <c r="R144" s="62">
        <v>0</v>
      </c>
      <c r="S144" s="63">
        <v>47997.06</v>
      </c>
      <c r="T144" s="63">
        <v>0</v>
      </c>
      <c r="U144" s="55" t="s">
        <v>1129</v>
      </c>
    </row>
    <row r="145" spans="1:21" ht="15">
      <c r="A145" s="55" t="s">
        <v>861</v>
      </c>
      <c r="B145" s="55" t="s">
        <v>921</v>
      </c>
      <c r="C145" s="55" t="s">
        <v>564</v>
      </c>
      <c r="D145" s="55" t="s">
        <v>565</v>
      </c>
      <c r="E145" s="55" t="s">
        <v>213</v>
      </c>
      <c r="F145" s="55" t="s">
        <v>683</v>
      </c>
      <c r="G145" s="55" t="s">
        <v>638</v>
      </c>
      <c r="H145" s="62">
        <v>0</v>
      </c>
      <c r="I145" s="62">
        <v>11849</v>
      </c>
      <c r="J145" s="62">
        <v>11760</v>
      </c>
      <c r="K145" s="63">
        <v>854905.35</v>
      </c>
      <c r="L145" s="63">
        <v>848484</v>
      </c>
      <c r="M145" s="62">
        <v>11719</v>
      </c>
      <c r="N145" s="62">
        <v>7800</v>
      </c>
      <c r="O145" s="63">
        <v>845525.85</v>
      </c>
      <c r="P145" s="63">
        <v>562770</v>
      </c>
      <c r="Q145" s="62">
        <v>12084</v>
      </c>
      <c r="R145" s="62">
        <v>0</v>
      </c>
      <c r="S145" s="63">
        <v>871860.6</v>
      </c>
      <c r="T145" s="63">
        <v>0</v>
      </c>
      <c r="U145" s="55" t="s">
        <v>1117</v>
      </c>
    </row>
    <row r="146" spans="1:21" ht="15">
      <c r="A146" s="55" t="s">
        <v>861</v>
      </c>
      <c r="B146" s="55" t="s">
        <v>921</v>
      </c>
      <c r="C146" s="55" t="s">
        <v>1018</v>
      </c>
      <c r="D146" s="55" t="s">
        <v>1019</v>
      </c>
      <c r="E146" s="55" t="s">
        <v>213</v>
      </c>
      <c r="F146" s="55" t="s">
        <v>683</v>
      </c>
      <c r="G146" s="55" t="s">
        <v>638</v>
      </c>
      <c r="H146" s="62">
        <v>0</v>
      </c>
      <c r="I146" s="62">
        <v>0</v>
      </c>
      <c r="J146" s="62">
        <v>8</v>
      </c>
      <c r="K146" s="63">
        <v>0</v>
      </c>
      <c r="L146" s="63">
        <v>388.4</v>
      </c>
      <c r="M146" s="62">
        <v>0</v>
      </c>
      <c r="N146" s="62">
        <v>0</v>
      </c>
      <c r="O146" s="63">
        <v>0</v>
      </c>
      <c r="P146" s="63">
        <v>0</v>
      </c>
      <c r="Q146" s="62">
        <v>0</v>
      </c>
      <c r="R146" s="62">
        <v>0</v>
      </c>
      <c r="S146" s="63">
        <v>0</v>
      </c>
      <c r="T146" s="63">
        <v>0</v>
      </c>
      <c r="U146" s="55" t="s">
        <v>1130</v>
      </c>
    </row>
    <row r="147" spans="1:21" ht="15">
      <c r="A147" s="55" t="s">
        <v>862</v>
      </c>
      <c r="B147" s="55" t="s">
        <v>796</v>
      </c>
      <c r="C147" s="55" t="s">
        <v>527</v>
      </c>
      <c r="D147" s="55" t="s">
        <v>1016</v>
      </c>
      <c r="E147" s="55" t="s">
        <v>214</v>
      </c>
      <c r="F147" s="55" t="s">
        <v>683</v>
      </c>
      <c r="G147" s="55" t="s">
        <v>644</v>
      </c>
      <c r="H147" s="62">
        <v>0</v>
      </c>
      <c r="I147" s="62">
        <v>0</v>
      </c>
      <c r="J147" s="62">
        <v>0</v>
      </c>
      <c r="K147" s="63">
        <v>0</v>
      </c>
      <c r="L147" s="63">
        <v>0</v>
      </c>
      <c r="M147" s="62">
        <v>120</v>
      </c>
      <c r="N147" s="62">
        <v>120</v>
      </c>
      <c r="O147" s="63">
        <v>29810.400000000001</v>
      </c>
      <c r="P147" s="63">
        <v>29810.400000000001</v>
      </c>
      <c r="Q147" s="62">
        <v>0</v>
      </c>
      <c r="R147" s="62">
        <v>0</v>
      </c>
      <c r="S147" s="63">
        <v>0</v>
      </c>
      <c r="T147" s="63">
        <v>0</v>
      </c>
      <c r="U147" s="55" t="s">
        <v>527</v>
      </c>
    </row>
    <row r="148" spans="1:21" ht="15">
      <c r="A148" s="55" t="s">
        <v>862</v>
      </c>
      <c r="B148" s="55" t="s">
        <v>796</v>
      </c>
      <c r="C148" s="55" t="s">
        <v>238</v>
      </c>
      <c r="D148" s="55" t="s">
        <v>1131</v>
      </c>
      <c r="E148" s="55" t="s">
        <v>213</v>
      </c>
      <c r="F148" s="55" t="s">
        <v>683</v>
      </c>
      <c r="G148" s="55" t="s">
        <v>644</v>
      </c>
      <c r="H148" s="62">
        <v>0</v>
      </c>
      <c r="I148" s="62">
        <v>3</v>
      </c>
      <c r="J148" s="62">
        <v>3</v>
      </c>
      <c r="K148" s="63">
        <v>53.79</v>
      </c>
      <c r="L148" s="63">
        <v>53.79</v>
      </c>
      <c r="M148" s="62">
        <v>0</v>
      </c>
      <c r="N148" s="62">
        <v>0</v>
      </c>
      <c r="O148" s="63">
        <v>0</v>
      </c>
      <c r="P148" s="63">
        <v>0</v>
      </c>
      <c r="Q148" s="62">
        <v>4</v>
      </c>
      <c r="R148" s="62">
        <v>4</v>
      </c>
      <c r="S148" s="63">
        <v>71.72</v>
      </c>
      <c r="T148" s="63">
        <v>71.72</v>
      </c>
      <c r="U148" s="55" t="s">
        <v>1132</v>
      </c>
    </row>
    <row r="149" spans="1:21" ht="15">
      <c r="A149" s="55" t="s">
        <v>862</v>
      </c>
      <c r="B149" s="55" t="s">
        <v>796</v>
      </c>
      <c r="C149" s="55" t="s">
        <v>240</v>
      </c>
      <c r="D149" s="55" t="s">
        <v>241</v>
      </c>
      <c r="E149" s="55" t="s">
        <v>214</v>
      </c>
      <c r="F149" s="55" t="s">
        <v>683</v>
      </c>
      <c r="G149" s="55" t="s">
        <v>644</v>
      </c>
      <c r="H149" s="62">
        <v>0</v>
      </c>
      <c r="I149" s="62">
        <v>20</v>
      </c>
      <c r="J149" s="62">
        <v>18</v>
      </c>
      <c r="K149" s="63">
        <v>4055</v>
      </c>
      <c r="L149" s="63">
        <v>3649.5</v>
      </c>
      <c r="M149" s="62">
        <v>30</v>
      </c>
      <c r="N149" s="62">
        <v>25</v>
      </c>
      <c r="O149" s="63">
        <v>6082.5</v>
      </c>
      <c r="P149" s="63">
        <v>5068.75</v>
      </c>
      <c r="Q149" s="62">
        <v>0</v>
      </c>
      <c r="R149" s="62">
        <v>0</v>
      </c>
      <c r="S149" s="63">
        <v>0</v>
      </c>
      <c r="T149" s="63">
        <v>0</v>
      </c>
      <c r="U149" s="55" t="s">
        <v>240</v>
      </c>
    </row>
    <row r="150" spans="1:21" ht="15">
      <c r="A150" s="55" t="s">
        <v>862</v>
      </c>
      <c r="B150" s="55" t="s">
        <v>796</v>
      </c>
      <c r="C150" s="55" t="s">
        <v>242</v>
      </c>
      <c r="D150" s="55" t="s">
        <v>797</v>
      </c>
      <c r="E150" s="55" t="s">
        <v>214</v>
      </c>
      <c r="F150" s="55" t="s">
        <v>683</v>
      </c>
      <c r="G150" s="55" t="s">
        <v>644</v>
      </c>
      <c r="H150" s="62">
        <v>0</v>
      </c>
      <c r="I150" s="62">
        <v>0</v>
      </c>
      <c r="J150" s="62">
        <v>0</v>
      </c>
      <c r="K150" s="63">
        <v>0</v>
      </c>
      <c r="L150" s="63">
        <v>0</v>
      </c>
      <c r="M150" s="62">
        <v>2</v>
      </c>
      <c r="N150" s="62">
        <v>2</v>
      </c>
      <c r="O150" s="63">
        <v>127.3</v>
      </c>
      <c r="P150" s="63">
        <v>127.3</v>
      </c>
      <c r="Q150" s="62">
        <v>0</v>
      </c>
      <c r="R150" s="62">
        <v>0</v>
      </c>
      <c r="S150" s="63">
        <v>0</v>
      </c>
      <c r="T150" s="63">
        <v>0</v>
      </c>
      <c r="U150" s="55" t="s">
        <v>242</v>
      </c>
    </row>
    <row r="151" spans="1:21" ht="15">
      <c r="A151" s="55" t="s">
        <v>862</v>
      </c>
      <c r="B151" s="55" t="s">
        <v>796</v>
      </c>
      <c r="C151" s="55" t="s">
        <v>323</v>
      </c>
      <c r="D151" s="55" t="s">
        <v>1017</v>
      </c>
      <c r="E151" s="55" t="s">
        <v>214</v>
      </c>
      <c r="F151" s="55" t="s">
        <v>683</v>
      </c>
      <c r="G151" s="55" t="s">
        <v>644</v>
      </c>
      <c r="H151" s="62">
        <v>0</v>
      </c>
      <c r="I151" s="62">
        <v>0</v>
      </c>
      <c r="J151" s="62">
        <v>0</v>
      </c>
      <c r="K151" s="63">
        <v>0</v>
      </c>
      <c r="L151" s="63">
        <v>0</v>
      </c>
      <c r="M151" s="62">
        <v>10</v>
      </c>
      <c r="N151" s="62">
        <v>9</v>
      </c>
      <c r="O151" s="63">
        <v>2923.2</v>
      </c>
      <c r="P151" s="63">
        <v>2630.88</v>
      </c>
      <c r="Q151" s="62">
        <v>10</v>
      </c>
      <c r="R151" s="62">
        <v>2</v>
      </c>
      <c r="S151" s="63">
        <v>2923.2</v>
      </c>
      <c r="T151" s="63">
        <v>584.64</v>
      </c>
      <c r="U151" s="55" t="s">
        <v>323</v>
      </c>
    </row>
    <row r="152" spans="1:21" ht="15">
      <c r="A152" s="55" t="s">
        <v>862</v>
      </c>
      <c r="B152" s="55" t="s">
        <v>796</v>
      </c>
      <c r="C152" s="55" t="s">
        <v>381</v>
      </c>
      <c r="D152" s="55" t="s">
        <v>382</v>
      </c>
      <c r="E152" s="55" t="s">
        <v>214</v>
      </c>
      <c r="F152" s="55" t="s">
        <v>683</v>
      </c>
      <c r="G152" s="55" t="s">
        <v>644</v>
      </c>
      <c r="H152" s="62">
        <v>0</v>
      </c>
      <c r="I152" s="62">
        <v>3</v>
      </c>
      <c r="J152" s="62">
        <v>3</v>
      </c>
      <c r="K152" s="63">
        <v>737.91</v>
      </c>
      <c r="L152" s="63">
        <v>737.91</v>
      </c>
      <c r="M152" s="62">
        <v>0</v>
      </c>
      <c r="N152" s="62">
        <v>0</v>
      </c>
      <c r="O152" s="63">
        <v>0</v>
      </c>
      <c r="P152" s="63">
        <v>0</v>
      </c>
      <c r="Q152" s="62">
        <v>5</v>
      </c>
      <c r="R152" s="62">
        <v>5</v>
      </c>
      <c r="S152" s="63">
        <v>1229.8499999999999</v>
      </c>
      <c r="T152" s="63">
        <v>1229.8499999999999</v>
      </c>
      <c r="U152" s="55" t="s">
        <v>381</v>
      </c>
    </row>
    <row r="153" spans="1:21" ht="15">
      <c r="A153" s="55" t="s">
        <v>863</v>
      </c>
      <c r="B153" s="55" t="s">
        <v>607</v>
      </c>
      <c r="C153" s="55" t="s">
        <v>460</v>
      </c>
      <c r="D153" s="55" t="s">
        <v>656</v>
      </c>
      <c r="E153" s="55" t="s">
        <v>224</v>
      </c>
      <c r="F153" s="55" t="s">
        <v>683</v>
      </c>
      <c r="G153" s="55" t="s">
        <v>640</v>
      </c>
      <c r="H153" s="62">
        <v>0</v>
      </c>
      <c r="I153" s="62">
        <v>840</v>
      </c>
      <c r="J153" s="62">
        <v>1860</v>
      </c>
      <c r="K153" s="63">
        <v>9786</v>
      </c>
      <c r="L153" s="63">
        <v>21669</v>
      </c>
      <c r="M153" s="62">
        <v>1320</v>
      </c>
      <c r="N153" s="62">
        <v>1320</v>
      </c>
      <c r="O153" s="63">
        <v>15378</v>
      </c>
      <c r="P153" s="63">
        <v>15378</v>
      </c>
      <c r="Q153" s="62">
        <v>2280</v>
      </c>
      <c r="R153" s="62">
        <v>0</v>
      </c>
      <c r="S153" s="63">
        <v>26562</v>
      </c>
      <c r="T153" s="63">
        <v>0</v>
      </c>
      <c r="U153" s="55" t="s">
        <v>460</v>
      </c>
    </row>
    <row r="154" spans="1:21" ht="15">
      <c r="A154" s="55" t="s">
        <v>863</v>
      </c>
      <c r="B154" s="55" t="s">
        <v>607</v>
      </c>
      <c r="C154" s="55" t="s">
        <v>276</v>
      </c>
      <c r="D154" s="55" t="s">
        <v>691</v>
      </c>
      <c r="E154" s="55" t="s">
        <v>213</v>
      </c>
      <c r="F154" s="55" t="s">
        <v>683</v>
      </c>
      <c r="G154" s="55" t="s">
        <v>640</v>
      </c>
      <c r="H154" s="62">
        <v>0</v>
      </c>
      <c r="I154" s="62">
        <v>960</v>
      </c>
      <c r="J154" s="62">
        <v>0</v>
      </c>
      <c r="K154" s="63">
        <v>14160</v>
      </c>
      <c r="L154" s="63">
        <v>0</v>
      </c>
      <c r="M154" s="62">
        <v>80</v>
      </c>
      <c r="N154" s="62">
        <v>0</v>
      </c>
      <c r="O154" s="63">
        <v>1180</v>
      </c>
      <c r="P154" s="63">
        <v>0</v>
      </c>
      <c r="Q154" s="62">
        <v>160</v>
      </c>
      <c r="R154" s="62">
        <v>0</v>
      </c>
      <c r="S154" s="63">
        <v>2360</v>
      </c>
      <c r="T154" s="63">
        <v>0</v>
      </c>
      <c r="U154" s="55" t="s">
        <v>1133</v>
      </c>
    </row>
    <row r="155" spans="1:21" ht="15">
      <c r="A155" s="55" t="s">
        <v>863</v>
      </c>
      <c r="B155" s="55" t="s">
        <v>607</v>
      </c>
      <c r="C155" s="55" t="s">
        <v>232</v>
      </c>
      <c r="D155" s="55" t="s">
        <v>692</v>
      </c>
      <c r="E155" s="55" t="s">
        <v>213</v>
      </c>
      <c r="F155" s="55" t="s">
        <v>683</v>
      </c>
      <c r="G155" s="55" t="s">
        <v>640</v>
      </c>
      <c r="H155" s="62">
        <v>0</v>
      </c>
      <c r="I155" s="62">
        <v>560</v>
      </c>
      <c r="J155" s="62">
        <v>560</v>
      </c>
      <c r="K155" s="63">
        <v>8859.2000000000007</v>
      </c>
      <c r="L155" s="63">
        <v>8859.2000000000007</v>
      </c>
      <c r="M155" s="62">
        <v>0</v>
      </c>
      <c r="N155" s="62">
        <v>0</v>
      </c>
      <c r="O155" s="63">
        <v>0</v>
      </c>
      <c r="P155" s="63">
        <v>0</v>
      </c>
      <c r="Q155" s="62">
        <v>480</v>
      </c>
      <c r="R155" s="62">
        <v>0</v>
      </c>
      <c r="S155" s="63">
        <v>7593.6</v>
      </c>
      <c r="T155" s="63">
        <v>0</v>
      </c>
      <c r="U155" s="55" t="s">
        <v>1134</v>
      </c>
    </row>
    <row r="156" spans="1:21" ht="15">
      <c r="A156" s="55" t="s">
        <v>863</v>
      </c>
      <c r="B156" s="55" t="s">
        <v>607</v>
      </c>
      <c r="C156" s="55" t="s">
        <v>292</v>
      </c>
      <c r="D156" s="55" t="s">
        <v>798</v>
      </c>
      <c r="E156" s="55" t="s">
        <v>213</v>
      </c>
      <c r="F156" s="55" t="s">
        <v>683</v>
      </c>
      <c r="G156" s="55" t="s">
        <v>640</v>
      </c>
      <c r="H156" s="62">
        <v>0</v>
      </c>
      <c r="I156" s="62">
        <v>160</v>
      </c>
      <c r="J156" s="62">
        <v>0</v>
      </c>
      <c r="K156" s="63">
        <v>3316.8</v>
      </c>
      <c r="L156" s="63">
        <v>0</v>
      </c>
      <c r="M156" s="62">
        <v>160</v>
      </c>
      <c r="N156" s="62">
        <v>0</v>
      </c>
      <c r="O156" s="63">
        <v>3316.8</v>
      </c>
      <c r="P156" s="63">
        <v>0</v>
      </c>
      <c r="Q156" s="62">
        <v>80</v>
      </c>
      <c r="R156" s="62">
        <v>0</v>
      </c>
      <c r="S156" s="63">
        <v>1658.4</v>
      </c>
      <c r="T156" s="63">
        <v>0</v>
      </c>
      <c r="U156" s="55" t="s">
        <v>292</v>
      </c>
    </row>
    <row r="157" spans="1:21" ht="15">
      <c r="A157" s="55" t="s">
        <v>863</v>
      </c>
      <c r="B157" s="55" t="s">
        <v>607</v>
      </c>
      <c r="C157" s="55" t="s">
        <v>1004</v>
      </c>
      <c r="D157" s="55" t="s">
        <v>728</v>
      </c>
      <c r="E157" s="55" t="s">
        <v>213</v>
      </c>
      <c r="F157" s="55" t="s">
        <v>683</v>
      </c>
      <c r="G157" s="55" t="s">
        <v>640</v>
      </c>
      <c r="H157" s="62">
        <v>0</v>
      </c>
      <c r="I157" s="62">
        <v>0</v>
      </c>
      <c r="J157" s="62">
        <v>0</v>
      </c>
      <c r="K157" s="63">
        <v>0</v>
      </c>
      <c r="L157" s="63">
        <v>0</v>
      </c>
      <c r="M157" s="62">
        <v>0</v>
      </c>
      <c r="N157" s="62">
        <v>200</v>
      </c>
      <c r="O157" s="63">
        <v>0</v>
      </c>
      <c r="P157" s="63">
        <v>13818</v>
      </c>
      <c r="Q157" s="62">
        <v>0</v>
      </c>
      <c r="R157" s="62">
        <v>0</v>
      </c>
      <c r="S157" s="63">
        <v>0</v>
      </c>
      <c r="T157" s="63">
        <v>0</v>
      </c>
      <c r="U157" s="55" t="s">
        <v>1004</v>
      </c>
    </row>
    <row r="158" spans="1:21" ht="15">
      <c r="A158" s="55" t="s">
        <v>863</v>
      </c>
      <c r="B158" s="55" t="s">
        <v>607</v>
      </c>
      <c r="C158" s="55" t="s">
        <v>1005</v>
      </c>
      <c r="D158" s="55" t="s">
        <v>728</v>
      </c>
      <c r="E158" s="55" t="s">
        <v>213</v>
      </c>
      <c r="F158" s="55" t="s">
        <v>683</v>
      </c>
      <c r="G158" s="55" t="s">
        <v>640</v>
      </c>
      <c r="H158" s="62">
        <v>0</v>
      </c>
      <c r="I158" s="62">
        <v>0</v>
      </c>
      <c r="J158" s="62">
        <v>0</v>
      </c>
      <c r="K158" s="63">
        <v>0</v>
      </c>
      <c r="L158" s="63">
        <v>0</v>
      </c>
      <c r="M158" s="62">
        <v>0</v>
      </c>
      <c r="N158" s="62">
        <v>200</v>
      </c>
      <c r="O158" s="63">
        <v>0</v>
      </c>
      <c r="P158" s="63">
        <v>7884</v>
      </c>
      <c r="Q158" s="62">
        <v>0</v>
      </c>
      <c r="R158" s="62">
        <v>0</v>
      </c>
      <c r="S158" s="63">
        <v>0</v>
      </c>
      <c r="T158" s="63">
        <v>0</v>
      </c>
      <c r="U158" s="55" t="s">
        <v>1005</v>
      </c>
    </row>
    <row r="159" spans="1:21" ht="15">
      <c r="A159" s="55" t="s">
        <v>1135</v>
      </c>
      <c r="B159" s="55" t="s">
        <v>1136</v>
      </c>
      <c r="C159" s="67">
        <v>8983943860</v>
      </c>
      <c r="D159" s="55" t="s">
        <v>457</v>
      </c>
      <c r="E159" s="55" t="s">
        <v>213</v>
      </c>
      <c r="F159" s="55" t="s">
        <v>683</v>
      </c>
      <c r="G159" s="55" t="s">
        <v>638</v>
      </c>
      <c r="H159" s="62">
        <v>0</v>
      </c>
      <c r="I159" s="62">
        <v>0</v>
      </c>
      <c r="J159" s="62">
        <v>0</v>
      </c>
      <c r="K159" s="63">
        <v>0</v>
      </c>
      <c r="L159" s="63">
        <v>0</v>
      </c>
      <c r="M159" s="62">
        <v>0</v>
      </c>
      <c r="N159" s="62">
        <v>0</v>
      </c>
      <c r="O159" s="63">
        <v>0</v>
      </c>
      <c r="P159" s="63">
        <v>0</v>
      </c>
      <c r="Q159" s="62">
        <v>0</v>
      </c>
      <c r="R159" s="62">
        <v>0</v>
      </c>
      <c r="S159" s="63">
        <v>0</v>
      </c>
      <c r="T159" s="63">
        <v>0</v>
      </c>
      <c r="U159" s="55" t="s">
        <v>1137</v>
      </c>
    </row>
    <row r="160" spans="1:21" ht="15">
      <c r="A160" s="55" t="s">
        <v>1135</v>
      </c>
      <c r="B160" s="55" t="s">
        <v>1136</v>
      </c>
      <c r="C160" s="67">
        <v>8983947931</v>
      </c>
      <c r="D160" s="55" t="s">
        <v>568</v>
      </c>
      <c r="E160" s="55" t="s">
        <v>214</v>
      </c>
      <c r="F160" s="55" t="s">
        <v>683</v>
      </c>
      <c r="G160" s="55" t="s">
        <v>638</v>
      </c>
      <c r="H160" s="62">
        <v>0</v>
      </c>
      <c r="I160" s="62">
        <v>0</v>
      </c>
      <c r="J160" s="62">
        <v>10</v>
      </c>
      <c r="K160" s="63">
        <v>0</v>
      </c>
      <c r="L160" s="63">
        <v>632.70000000000005</v>
      </c>
      <c r="M160" s="62">
        <v>0</v>
      </c>
      <c r="N160" s="62">
        <v>0</v>
      </c>
      <c r="O160" s="63">
        <v>0</v>
      </c>
      <c r="P160" s="63">
        <v>0</v>
      </c>
      <c r="Q160" s="62">
        <v>0</v>
      </c>
      <c r="R160" s="62">
        <v>0</v>
      </c>
      <c r="S160" s="63">
        <v>0</v>
      </c>
      <c r="T160" s="63">
        <v>0</v>
      </c>
      <c r="U160" s="55" t="s">
        <v>1074</v>
      </c>
    </row>
    <row r="161" spans="1:21" ht="15">
      <c r="A161" s="55" t="s">
        <v>1138</v>
      </c>
      <c r="B161" s="55" t="s">
        <v>1139</v>
      </c>
      <c r="C161" s="55" t="s">
        <v>647</v>
      </c>
      <c r="D161" s="55" t="s">
        <v>1140</v>
      </c>
      <c r="E161" s="55" t="s">
        <v>215</v>
      </c>
      <c r="F161" s="55" t="s">
        <v>684</v>
      </c>
      <c r="G161" s="55" t="s">
        <v>640</v>
      </c>
      <c r="H161" s="62">
        <v>15600</v>
      </c>
      <c r="I161" s="62">
        <v>24</v>
      </c>
      <c r="J161" s="62">
        <v>24</v>
      </c>
      <c r="K161" s="63">
        <v>413.52</v>
      </c>
      <c r="L161" s="63">
        <v>413.52</v>
      </c>
      <c r="M161" s="62">
        <v>0</v>
      </c>
      <c r="N161" s="62">
        <v>0</v>
      </c>
      <c r="O161" s="63">
        <v>0</v>
      </c>
      <c r="P161" s="63">
        <v>0</v>
      </c>
      <c r="Q161" s="62">
        <v>0</v>
      </c>
      <c r="R161" s="62">
        <v>0</v>
      </c>
      <c r="S161" s="63">
        <v>0</v>
      </c>
      <c r="T161" s="63">
        <v>0</v>
      </c>
      <c r="U161" s="55" t="s">
        <v>647</v>
      </c>
    </row>
    <row r="162" spans="1:21" ht="15">
      <c r="A162" s="55" t="s">
        <v>864</v>
      </c>
      <c r="B162" s="55" t="s">
        <v>921</v>
      </c>
      <c r="C162" s="55" t="s">
        <v>219</v>
      </c>
      <c r="D162" s="55" t="s">
        <v>220</v>
      </c>
      <c r="E162" s="55" t="s">
        <v>214</v>
      </c>
      <c r="F162" s="55" t="s">
        <v>683</v>
      </c>
      <c r="G162" s="55" t="s">
        <v>644</v>
      </c>
      <c r="H162" s="62">
        <v>0</v>
      </c>
      <c r="I162" s="62">
        <v>260</v>
      </c>
      <c r="J162" s="62">
        <v>110</v>
      </c>
      <c r="K162" s="63">
        <v>38365.599999999999</v>
      </c>
      <c r="L162" s="63">
        <v>16231.6</v>
      </c>
      <c r="M162" s="62">
        <v>310</v>
      </c>
      <c r="N162" s="62">
        <v>170</v>
      </c>
      <c r="O162" s="63">
        <v>45743.6</v>
      </c>
      <c r="P162" s="63">
        <v>25085.200000000001</v>
      </c>
      <c r="Q162" s="62">
        <v>200</v>
      </c>
      <c r="R162" s="62">
        <v>170</v>
      </c>
      <c r="S162" s="63">
        <v>29512</v>
      </c>
      <c r="T162" s="63">
        <v>25085.200000000001</v>
      </c>
      <c r="U162" s="55" t="s">
        <v>219</v>
      </c>
    </row>
    <row r="163" spans="1:21" ht="15">
      <c r="A163" s="55" t="s">
        <v>864</v>
      </c>
      <c r="B163" s="55" t="s">
        <v>921</v>
      </c>
      <c r="C163" s="55" t="s">
        <v>221</v>
      </c>
      <c r="D163" s="55" t="s">
        <v>655</v>
      </c>
      <c r="E163" s="55" t="s">
        <v>214</v>
      </c>
      <c r="F163" s="55" t="s">
        <v>683</v>
      </c>
      <c r="G163" s="55" t="s">
        <v>644</v>
      </c>
      <c r="H163" s="62">
        <v>0</v>
      </c>
      <c r="I163" s="62">
        <v>180</v>
      </c>
      <c r="J163" s="62">
        <v>115</v>
      </c>
      <c r="K163" s="63">
        <v>39916.800000000003</v>
      </c>
      <c r="L163" s="63">
        <v>25502.400000000001</v>
      </c>
      <c r="M163" s="62">
        <v>190</v>
      </c>
      <c r="N163" s="62">
        <v>105</v>
      </c>
      <c r="O163" s="63">
        <v>42134.400000000001</v>
      </c>
      <c r="P163" s="63">
        <v>23284.799999999999</v>
      </c>
      <c r="Q163" s="62">
        <v>105</v>
      </c>
      <c r="R163" s="62">
        <v>140</v>
      </c>
      <c r="S163" s="63">
        <v>23284.799999999999</v>
      </c>
      <c r="T163" s="63">
        <v>31046.400000000001</v>
      </c>
      <c r="U163" s="55" t="s">
        <v>221</v>
      </c>
    </row>
    <row r="164" spans="1:21" ht="15">
      <c r="A164" s="55" t="s">
        <v>864</v>
      </c>
      <c r="B164" s="55" t="s">
        <v>921</v>
      </c>
      <c r="C164" s="55" t="s">
        <v>222</v>
      </c>
      <c r="D164" s="55" t="s">
        <v>865</v>
      </c>
      <c r="E164" s="55" t="s">
        <v>214</v>
      </c>
      <c r="F164" s="55" t="s">
        <v>683</v>
      </c>
      <c r="G164" s="55" t="s">
        <v>644</v>
      </c>
      <c r="H164" s="62">
        <v>0</v>
      </c>
      <c r="I164" s="62">
        <v>650</v>
      </c>
      <c r="J164" s="62">
        <v>458</v>
      </c>
      <c r="K164" s="63">
        <v>96128.5</v>
      </c>
      <c r="L164" s="63">
        <v>67733.62</v>
      </c>
      <c r="M164" s="62">
        <v>70</v>
      </c>
      <c r="N164" s="62">
        <v>173</v>
      </c>
      <c r="O164" s="63">
        <v>10352.299999999999</v>
      </c>
      <c r="P164" s="63">
        <v>25584.97</v>
      </c>
      <c r="Q164" s="62">
        <v>526</v>
      </c>
      <c r="R164" s="62">
        <v>526</v>
      </c>
      <c r="S164" s="63">
        <v>77790.14</v>
      </c>
      <c r="T164" s="63">
        <v>77790.14</v>
      </c>
      <c r="U164" s="55" t="s">
        <v>1141</v>
      </c>
    </row>
    <row r="165" spans="1:21" ht="15">
      <c r="A165" s="55" t="s">
        <v>864</v>
      </c>
      <c r="B165" s="55" t="s">
        <v>921</v>
      </c>
      <c r="C165" s="55" t="s">
        <v>217</v>
      </c>
      <c r="D165" s="55" t="s">
        <v>218</v>
      </c>
      <c r="E165" s="55" t="s">
        <v>214</v>
      </c>
      <c r="F165" s="55" t="s">
        <v>683</v>
      </c>
      <c r="G165" s="55" t="s">
        <v>644</v>
      </c>
      <c r="H165" s="62">
        <v>0</v>
      </c>
      <c r="I165" s="62">
        <v>80</v>
      </c>
      <c r="J165" s="62">
        <v>200</v>
      </c>
      <c r="K165" s="63">
        <v>19008</v>
      </c>
      <c r="L165" s="63">
        <v>47520</v>
      </c>
      <c r="M165" s="62">
        <v>90</v>
      </c>
      <c r="N165" s="62">
        <v>69</v>
      </c>
      <c r="O165" s="63">
        <v>21384</v>
      </c>
      <c r="P165" s="63">
        <v>16394.400000000001</v>
      </c>
      <c r="Q165" s="62">
        <v>80</v>
      </c>
      <c r="R165" s="62">
        <v>60</v>
      </c>
      <c r="S165" s="63">
        <v>19008</v>
      </c>
      <c r="T165" s="63">
        <v>14256</v>
      </c>
      <c r="U165" s="55" t="s">
        <v>1142</v>
      </c>
    </row>
    <row r="166" spans="1:21" ht="15">
      <c r="A166" s="55" t="s">
        <v>864</v>
      </c>
      <c r="B166" s="55" t="s">
        <v>921</v>
      </c>
      <c r="C166" s="55" t="s">
        <v>225</v>
      </c>
      <c r="D166" s="55" t="s">
        <v>226</v>
      </c>
      <c r="E166" s="55" t="s">
        <v>215</v>
      </c>
      <c r="F166" s="55" t="s">
        <v>683</v>
      </c>
      <c r="G166" s="55" t="s">
        <v>644</v>
      </c>
      <c r="H166" s="62">
        <v>0</v>
      </c>
      <c r="I166" s="62">
        <v>430</v>
      </c>
      <c r="J166" s="62">
        <v>230</v>
      </c>
      <c r="K166" s="63">
        <v>1019.1</v>
      </c>
      <c r="L166" s="63">
        <v>545.1</v>
      </c>
      <c r="M166" s="62">
        <v>630</v>
      </c>
      <c r="N166" s="62">
        <v>750</v>
      </c>
      <c r="O166" s="63">
        <v>1493.1</v>
      </c>
      <c r="P166" s="63">
        <v>1777.5</v>
      </c>
      <c r="Q166" s="62">
        <v>680</v>
      </c>
      <c r="R166" s="62">
        <v>60</v>
      </c>
      <c r="S166" s="63">
        <v>1611.6</v>
      </c>
      <c r="T166" s="63">
        <v>142.19999999999999</v>
      </c>
      <c r="U166" s="55" t="s">
        <v>225</v>
      </c>
    </row>
    <row r="167" spans="1:21" ht="15">
      <c r="A167" s="55" t="s">
        <v>864</v>
      </c>
      <c r="B167" s="55" t="s">
        <v>921</v>
      </c>
      <c r="C167" s="55" t="s">
        <v>428</v>
      </c>
      <c r="D167" s="55" t="s">
        <v>429</v>
      </c>
      <c r="E167" s="55" t="s">
        <v>213</v>
      </c>
      <c r="F167" s="55" t="s">
        <v>683</v>
      </c>
      <c r="G167" s="55" t="s">
        <v>644</v>
      </c>
      <c r="H167" s="62">
        <v>43200</v>
      </c>
      <c r="I167" s="62">
        <v>6</v>
      </c>
      <c r="J167" s="62">
        <v>8</v>
      </c>
      <c r="K167" s="63">
        <v>718.74</v>
      </c>
      <c r="L167" s="63">
        <v>958.32</v>
      </c>
      <c r="M167" s="62">
        <v>7</v>
      </c>
      <c r="N167" s="62">
        <v>11</v>
      </c>
      <c r="O167" s="63">
        <v>838.53</v>
      </c>
      <c r="P167" s="63">
        <v>1317.69</v>
      </c>
      <c r="Q167" s="62">
        <v>7</v>
      </c>
      <c r="R167" s="62">
        <v>0</v>
      </c>
      <c r="S167" s="63">
        <v>838.53</v>
      </c>
      <c r="T167" s="63">
        <v>0</v>
      </c>
      <c r="U167" s="55" t="s">
        <v>1143</v>
      </c>
    </row>
    <row r="168" spans="1:21" ht="15">
      <c r="A168" s="55" t="s">
        <v>864</v>
      </c>
      <c r="B168" s="55" t="s">
        <v>921</v>
      </c>
      <c r="C168" s="55" t="s">
        <v>316</v>
      </c>
      <c r="D168" s="55" t="s">
        <v>317</v>
      </c>
      <c r="E168" s="55" t="s">
        <v>213</v>
      </c>
      <c r="F168" s="55" t="s">
        <v>683</v>
      </c>
      <c r="G168" s="55" t="s">
        <v>644</v>
      </c>
      <c r="H168" s="62">
        <v>0</v>
      </c>
      <c r="I168" s="62">
        <v>10</v>
      </c>
      <c r="J168" s="62">
        <v>10</v>
      </c>
      <c r="K168" s="63">
        <v>384.3</v>
      </c>
      <c r="L168" s="63">
        <v>384.3</v>
      </c>
      <c r="M168" s="62">
        <v>7</v>
      </c>
      <c r="N168" s="62">
        <v>7</v>
      </c>
      <c r="O168" s="63">
        <v>269.01</v>
      </c>
      <c r="P168" s="63">
        <v>269.01</v>
      </c>
      <c r="Q168" s="62">
        <v>9</v>
      </c>
      <c r="R168" s="62">
        <v>9</v>
      </c>
      <c r="S168" s="63">
        <v>345.87</v>
      </c>
      <c r="T168" s="63">
        <v>345.87</v>
      </c>
      <c r="U168" s="55" t="s">
        <v>316</v>
      </c>
    </row>
    <row r="169" spans="1:21" ht="15">
      <c r="A169" s="55" t="s">
        <v>864</v>
      </c>
      <c r="B169" s="55" t="s">
        <v>921</v>
      </c>
      <c r="C169" s="55" t="s">
        <v>455</v>
      </c>
      <c r="D169" s="55" t="s">
        <v>756</v>
      </c>
      <c r="E169" s="55" t="s">
        <v>213</v>
      </c>
      <c r="F169" s="55" t="s">
        <v>683</v>
      </c>
      <c r="G169" s="55" t="s">
        <v>644</v>
      </c>
      <c r="H169" s="62">
        <v>0</v>
      </c>
      <c r="I169" s="62">
        <v>13</v>
      </c>
      <c r="J169" s="62">
        <v>27</v>
      </c>
      <c r="K169" s="63">
        <v>1752.66</v>
      </c>
      <c r="L169" s="63">
        <v>3640.14</v>
      </c>
      <c r="M169" s="62">
        <v>8</v>
      </c>
      <c r="N169" s="62">
        <v>8</v>
      </c>
      <c r="O169" s="63">
        <v>1078.56</v>
      </c>
      <c r="P169" s="63">
        <v>1078.56</v>
      </c>
      <c r="Q169" s="62">
        <v>0</v>
      </c>
      <c r="R169" s="62">
        <v>0</v>
      </c>
      <c r="S169" s="63">
        <v>0</v>
      </c>
      <c r="T169" s="63">
        <v>0</v>
      </c>
      <c r="U169" s="55" t="s">
        <v>455</v>
      </c>
    </row>
    <row r="170" spans="1:21" ht="15">
      <c r="A170" s="55" t="s">
        <v>864</v>
      </c>
      <c r="B170" s="55" t="s">
        <v>921</v>
      </c>
      <c r="C170" s="55" t="s">
        <v>513</v>
      </c>
      <c r="D170" s="55" t="s">
        <v>762</v>
      </c>
      <c r="E170" s="55" t="s">
        <v>213</v>
      </c>
      <c r="F170" s="55" t="s">
        <v>683</v>
      </c>
      <c r="G170" s="55" t="s">
        <v>644</v>
      </c>
      <c r="H170" s="62">
        <v>0</v>
      </c>
      <c r="I170" s="62">
        <v>0</v>
      </c>
      <c r="J170" s="62">
        <v>0</v>
      </c>
      <c r="K170" s="63">
        <v>0</v>
      </c>
      <c r="L170" s="63">
        <v>0</v>
      </c>
      <c r="M170" s="62">
        <v>0</v>
      </c>
      <c r="N170" s="62">
        <v>4</v>
      </c>
      <c r="O170" s="63">
        <v>0</v>
      </c>
      <c r="P170" s="63">
        <v>542.48</v>
      </c>
      <c r="Q170" s="62">
        <v>2</v>
      </c>
      <c r="R170" s="62">
        <v>2</v>
      </c>
      <c r="S170" s="63">
        <v>271.24</v>
      </c>
      <c r="T170" s="63">
        <v>271.24</v>
      </c>
      <c r="U170" s="55" t="s">
        <v>513</v>
      </c>
    </row>
    <row r="171" spans="1:21" ht="15">
      <c r="A171" s="55" t="s">
        <v>864</v>
      </c>
      <c r="B171" s="55" t="s">
        <v>921</v>
      </c>
      <c r="C171" s="55" t="s">
        <v>312</v>
      </c>
      <c r="D171" s="55" t="s">
        <v>752</v>
      </c>
      <c r="E171" s="55" t="s">
        <v>213</v>
      </c>
      <c r="F171" s="55" t="s">
        <v>683</v>
      </c>
      <c r="G171" s="55" t="s">
        <v>644</v>
      </c>
      <c r="H171" s="62">
        <v>0</v>
      </c>
      <c r="I171" s="62">
        <v>0</v>
      </c>
      <c r="J171" s="62">
        <v>0</v>
      </c>
      <c r="K171" s="63">
        <v>0</v>
      </c>
      <c r="L171" s="63">
        <v>0</v>
      </c>
      <c r="M171" s="62">
        <v>0</v>
      </c>
      <c r="N171" s="62">
        <v>0</v>
      </c>
      <c r="O171" s="63">
        <v>0</v>
      </c>
      <c r="P171" s="63">
        <v>0</v>
      </c>
      <c r="Q171" s="62">
        <v>2</v>
      </c>
      <c r="R171" s="62">
        <v>2</v>
      </c>
      <c r="S171" s="63">
        <v>189.28</v>
      </c>
      <c r="T171" s="63">
        <v>189.28</v>
      </c>
      <c r="U171" s="55" t="s">
        <v>312</v>
      </c>
    </row>
    <row r="172" spans="1:21" ht="15">
      <c r="A172" s="55" t="s">
        <v>864</v>
      </c>
      <c r="B172" s="55" t="s">
        <v>921</v>
      </c>
      <c r="C172" s="55" t="s">
        <v>373</v>
      </c>
      <c r="D172" s="55" t="s">
        <v>374</v>
      </c>
      <c r="E172" s="55" t="s">
        <v>213</v>
      </c>
      <c r="F172" s="55" t="s">
        <v>683</v>
      </c>
      <c r="G172" s="55" t="s">
        <v>644</v>
      </c>
      <c r="H172" s="62">
        <v>0</v>
      </c>
      <c r="I172" s="62">
        <v>3</v>
      </c>
      <c r="J172" s="62">
        <v>3</v>
      </c>
      <c r="K172" s="63">
        <v>559.79999999999995</v>
      </c>
      <c r="L172" s="63">
        <v>559.79999999999995</v>
      </c>
      <c r="M172" s="62">
        <v>0</v>
      </c>
      <c r="N172" s="62">
        <v>0</v>
      </c>
      <c r="O172" s="63">
        <v>0</v>
      </c>
      <c r="P172" s="63">
        <v>0</v>
      </c>
      <c r="Q172" s="62">
        <v>0</v>
      </c>
      <c r="R172" s="62">
        <v>1</v>
      </c>
      <c r="S172" s="63">
        <v>0</v>
      </c>
      <c r="T172" s="63">
        <v>186.6</v>
      </c>
      <c r="U172" s="55" t="s">
        <v>373</v>
      </c>
    </row>
    <row r="173" spans="1:21" ht="15">
      <c r="A173" s="55" t="s">
        <v>864</v>
      </c>
      <c r="B173" s="55" t="s">
        <v>921</v>
      </c>
      <c r="C173" s="55" t="s">
        <v>468</v>
      </c>
      <c r="D173" s="55" t="s">
        <v>626</v>
      </c>
      <c r="E173" s="55" t="s">
        <v>213</v>
      </c>
      <c r="F173" s="55" t="s">
        <v>683</v>
      </c>
      <c r="G173" s="55" t="s">
        <v>644</v>
      </c>
      <c r="H173" s="62">
        <v>0</v>
      </c>
      <c r="I173" s="62">
        <v>1</v>
      </c>
      <c r="J173" s="62">
        <v>0</v>
      </c>
      <c r="K173" s="63">
        <v>68.77</v>
      </c>
      <c r="L173" s="63">
        <v>0</v>
      </c>
      <c r="M173" s="62">
        <v>1</v>
      </c>
      <c r="N173" s="62">
        <v>0</v>
      </c>
      <c r="O173" s="63">
        <v>68.77</v>
      </c>
      <c r="P173" s="63">
        <v>0</v>
      </c>
      <c r="Q173" s="62">
        <v>1</v>
      </c>
      <c r="R173" s="62">
        <v>0</v>
      </c>
      <c r="S173" s="63">
        <v>68.77</v>
      </c>
      <c r="T173" s="63">
        <v>0</v>
      </c>
      <c r="U173" s="55" t="s">
        <v>1144</v>
      </c>
    </row>
    <row r="174" spans="1:21" ht="15">
      <c r="A174" s="55" t="s">
        <v>864</v>
      </c>
      <c r="B174" s="55" t="s">
        <v>921</v>
      </c>
      <c r="C174" s="55" t="s">
        <v>564</v>
      </c>
      <c r="D174" s="55" t="s">
        <v>565</v>
      </c>
      <c r="E174" s="55" t="s">
        <v>213</v>
      </c>
      <c r="F174" s="55" t="s">
        <v>683</v>
      </c>
      <c r="G174" s="55" t="s">
        <v>644</v>
      </c>
      <c r="H174" s="62">
        <v>0</v>
      </c>
      <c r="I174" s="62">
        <v>78</v>
      </c>
      <c r="J174" s="62">
        <v>47</v>
      </c>
      <c r="K174" s="63">
        <v>6131.58</v>
      </c>
      <c r="L174" s="63">
        <v>3694.67</v>
      </c>
      <c r="M174" s="62">
        <v>220</v>
      </c>
      <c r="N174" s="62">
        <v>206</v>
      </c>
      <c r="O174" s="63">
        <v>17294.2</v>
      </c>
      <c r="P174" s="63">
        <v>16193.66</v>
      </c>
      <c r="Q174" s="62">
        <v>79</v>
      </c>
      <c r="R174" s="62">
        <v>14</v>
      </c>
      <c r="S174" s="63">
        <v>6210.19</v>
      </c>
      <c r="T174" s="63">
        <v>1100.54</v>
      </c>
      <c r="U174" s="55" t="s">
        <v>1145</v>
      </c>
    </row>
    <row r="175" spans="1:21" ht="15">
      <c r="A175" s="55" t="s">
        <v>864</v>
      </c>
      <c r="B175" s="55" t="s">
        <v>921</v>
      </c>
      <c r="C175" s="55" t="s">
        <v>313</v>
      </c>
      <c r="D175" s="55" t="s">
        <v>314</v>
      </c>
      <c r="E175" s="55" t="s">
        <v>213</v>
      </c>
      <c r="F175" s="55" t="s">
        <v>683</v>
      </c>
      <c r="G175" s="55" t="s">
        <v>644</v>
      </c>
      <c r="H175" s="62">
        <v>0</v>
      </c>
      <c r="I175" s="62">
        <v>58</v>
      </c>
      <c r="J175" s="62">
        <v>58</v>
      </c>
      <c r="K175" s="63">
        <v>13141.64</v>
      </c>
      <c r="L175" s="63">
        <v>13141.64</v>
      </c>
      <c r="M175" s="62">
        <v>6</v>
      </c>
      <c r="N175" s="62">
        <v>71</v>
      </c>
      <c r="O175" s="63">
        <v>1359.48</v>
      </c>
      <c r="P175" s="63">
        <v>16087.18</v>
      </c>
      <c r="Q175" s="62">
        <v>84</v>
      </c>
      <c r="R175" s="62">
        <v>84</v>
      </c>
      <c r="S175" s="63">
        <v>19032.72</v>
      </c>
      <c r="T175" s="63">
        <v>19032.72</v>
      </c>
      <c r="U175" s="55" t="s">
        <v>313</v>
      </c>
    </row>
    <row r="176" spans="1:21" ht="15">
      <c r="A176" s="55" t="s">
        <v>864</v>
      </c>
      <c r="B176" s="55" t="s">
        <v>921</v>
      </c>
      <c r="C176" s="55" t="s">
        <v>477</v>
      </c>
      <c r="D176" s="55" t="s">
        <v>315</v>
      </c>
      <c r="E176" s="55" t="s">
        <v>213</v>
      </c>
      <c r="F176" s="55" t="s">
        <v>683</v>
      </c>
      <c r="G176" s="55" t="s">
        <v>644</v>
      </c>
      <c r="H176" s="62">
        <v>0</v>
      </c>
      <c r="I176" s="62">
        <v>115</v>
      </c>
      <c r="J176" s="62">
        <v>27</v>
      </c>
      <c r="K176" s="63">
        <v>18965.8</v>
      </c>
      <c r="L176" s="63">
        <v>4452.84</v>
      </c>
      <c r="M176" s="62">
        <v>77</v>
      </c>
      <c r="N176" s="62">
        <v>131</v>
      </c>
      <c r="O176" s="63">
        <v>12698.84</v>
      </c>
      <c r="P176" s="63">
        <v>21604.52</v>
      </c>
      <c r="Q176" s="62">
        <v>91</v>
      </c>
      <c r="R176" s="62">
        <v>0</v>
      </c>
      <c r="S176" s="63">
        <v>15007.72</v>
      </c>
      <c r="T176" s="63">
        <v>0</v>
      </c>
      <c r="U176" s="55" t="s">
        <v>477</v>
      </c>
    </row>
    <row r="177" spans="1:21" ht="15">
      <c r="A177" s="55" t="s">
        <v>864</v>
      </c>
      <c r="B177" s="55" t="s">
        <v>921</v>
      </c>
      <c r="C177" s="55" t="s">
        <v>473</v>
      </c>
      <c r="D177" s="55" t="s">
        <v>474</v>
      </c>
      <c r="E177" s="55" t="s">
        <v>213</v>
      </c>
      <c r="F177" s="55" t="s">
        <v>683</v>
      </c>
      <c r="G177" s="55" t="s">
        <v>644</v>
      </c>
      <c r="H177" s="62">
        <v>0</v>
      </c>
      <c r="I177" s="62">
        <v>340</v>
      </c>
      <c r="J177" s="62">
        <v>275</v>
      </c>
      <c r="K177" s="63">
        <v>56151</v>
      </c>
      <c r="L177" s="63">
        <v>45416.25</v>
      </c>
      <c r="M177" s="62">
        <v>220</v>
      </c>
      <c r="N177" s="62">
        <v>285</v>
      </c>
      <c r="O177" s="63">
        <v>36333</v>
      </c>
      <c r="P177" s="63">
        <v>47067.75</v>
      </c>
      <c r="Q177" s="62">
        <v>265</v>
      </c>
      <c r="R177" s="62">
        <v>25</v>
      </c>
      <c r="S177" s="63">
        <v>43764.75</v>
      </c>
      <c r="T177" s="63">
        <v>4128.75</v>
      </c>
      <c r="U177" s="55" t="s">
        <v>473</v>
      </c>
    </row>
    <row r="178" spans="1:21" ht="15">
      <c r="A178" s="55" t="s">
        <v>864</v>
      </c>
      <c r="B178" s="55" t="s">
        <v>921</v>
      </c>
      <c r="C178" s="55" t="s">
        <v>510</v>
      </c>
      <c r="D178" s="55" t="s">
        <v>315</v>
      </c>
      <c r="E178" s="55" t="s">
        <v>213</v>
      </c>
      <c r="F178" s="55" t="s">
        <v>683</v>
      </c>
      <c r="G178" s="55" t="s">
        <v>644</v>
      </c>
      <c r="H178" s="62">
        <v>0</v>
      </c>
      <c r="I178" s="62">
        <v>2</v>
      </c>
      <c r="J178" s="62">
        <v>4</v>
      </c>
      <c r="K178" s="63">
        <v>330.3</v>
      </c>
      <c r="L178" s="63">
        <v>660.6</v>
      </c>
      <c r="M178" s="62">
        <v>3</v>
      </c>
      <c r="N178" s="62">
        <v>3</v>
      </c>
      <c r="O178" s="63">
        <v>495.45</v>
      </c>
      <c r="P178" s="63">
        <v>495.45</v>
      </c>
      <c r="Q178" s="62">
        <v>0</v>
      </c>
      <c r="R178" s="62">
        <v>0</v>
      </c>
      <c r="S178" s="63">
        <v>0</v>
      </c>
      <c r="T178" s="63">
        <v>0</v>
      </c>
      <c r="U178" s="55" t="s">
        <v>1146</v>
      </c>
    </row>
    <row r="179" spans="1:21" ht="15">
      <c r="A179" s="55" t="s">
        <v>864</v>
      </c>
      <c r="B179" s="55" t="s">
        <v>921</v>
      </c>
      <c r="C179" s="55" t="s">
        <v>469</v>
      </c>
      <c r="D179" s="55" t="s">
        <v>470</v>
      </c>
      <c r="E179" s="55" t="s">
        <v>213</v>
      </c>
      <c r="F179" s="55" t="s">
        <v>683</v>
      </c>
      <c r="G179" s="55" t="s">
        <v>644</v>
      </c>
      <c r="H179" s="62">
        <v>0</v>
      </c>
      <c r="I179" s="62">
        <v>266</v>
      </c>
      <c r="J179" s="62">
        <v>278</v>
      </c>
      <c r="K179" s="63">
        <v>30222.92</v>
      </c>
      <c r="L179" s="63">
        <v>31586.36</v>
      </c>
      <c r="M179" s="62">
        <v>382</v>
      </c>
      <c r="N179" s="62">
        <v>501</v>
      </c>
      <c r="O179" s="63">
        <v>43402.84</v>
      </c>
      <c r="P179" s="63">
        <v>56923.62</v>
      </c>
      <c r="Q179" s="62">
        <v>386</v>
      </c>
      <c r="R179" s="62">
        <v>0</v>
      </c>
      <c r="S179" s="63">
        <v>43857.32</v>
      </c>
      <c r="T179" s="63">
        <v>0</v>
      </c>
      <c r="U179" s="55" t="s">
        <v>469</v>
      </c>
    </row>
    <row r="180" spans="1:21" ht="15">
      <c r="A180" s="55" t="s">
        <v>864</v>
      </c>
      <c r="B180" s="55" t="s">
        <v>921</v>
      </c>
      <c r="C180" s="55" t="s">
        <v>357</v>
      </c>
      <c r="D180" s="55" t="s">
        <v>686</v>
      </c>
      <c r="E180" s="55" t="s">
        <v>213</v>
      </c>
      <c r="F180" s="55" t="s">
        <v>683</v>
      </c>
      <c r="G180" s="55" t="s">
        <v>644</v>
      </c>
      <c r="H180" s="62">
        <v>0</v>
      </c>
      <c r="I180" s="62">
        <v>81</v>
      </c>
      <c r="J180" s="62">
        <v>81</v>
      </c>
      <c r="K180" s="63">
        <v>21067.29</v>
      </c>
      <c r="L180" s="63">
        <v>21067.29</v>
      </c>
      <c r="M180" s="62">
        <v>80</v>
      </c>
      <c r="N180" s="62">
        <v>109</v>
      </c>
      <c r="O180" s="63">
        <v>20807.2</v>
      </c>
      <c r="P180" s="63">
        <v>28349.81</v>
      </c>
      <c r="Q180" s="62">
        <v>99</v>
      </c>
      <c r="R180" s="62">
        <v>129</v>
      </c>
      <c r="S180" s="63">
        <v>25748.91</v>
      </c>
      <c r="T180" s="63">
        <v>33551.61</v>
      </c>
      <c r="U180" s="55" t="s">
        <v>357</v>
      </c>
    </row>
    <row r="181" spans="1:21" ht="15">
      <c r="A181" s="55" t="s">
        <v>864</v>
      </c>
      <c r="B181" s="55" t="s">
        <v>921</v>
      </c>
      <c r="C181" s="55" t="s">
        <v>394</v>
      </c>
      <c r="D181" s="55" t="s">
        <v>763</v>
      </c>
      <c r="E181" s="55" t="s">
        <v>213</v>
      </c>
      <c r="F181" s="55" t="s">
        <v>683</v>
      </c>
      <c r="G181" s="55" t="s">
        <v>644</v>
      </c>
      <c r="H181" s="62">
        <v>0</v>
      </c>
      <c r="I181" s="62">
        <v>3</v>
      </c>
      <c r="J181" s="62">
        <v>3</v>
      </c>
      <c r="K181" s="63">
        <v>625.62</v>
      </c>
      <c r="L181" s="63">
        <v>625.62</v>
      </c>
      <c r="M181" s="62">
        <v>3</v>
      </c>
      <c r="N181" s="62">
        <v>3</v>
      </c>
      <c r="O181" s="63">
        <v>625.62</v>
      </c>
      <c r="P181" s="63">
        <v>625.62</v>
      </c>
      <c r="Q181" s="62">
        <v>0</v>
      </c>
      <c r="R181" s="62">
        <v>0</v>
      </c>
      <c r="S181" s="63">
        <v>0</v>
      </c>
      <c r="T181" s="63">
        <v>0</v>
      </c>
      <c r="U181" s="55" t="s">
        <v>394</v>
      </c>
    </row>
    <row r="182" spans="1:21" ht="15">
      <c r="A182" s="55" t="s">
        <v>864</v>
      </c>
      <c r="B182" s="55" t="s">
        <v>921</v>
      </c>
      <c r="C182" s="55" t="s">
        <v>490</v>
      </c>
      <c r="D182" s="55" t="s">
        <v>764</v>
      </c>
      <c r="E182" s="55" t="s">
        <v>213</v>
      </c>
      <c r="F182" s="55" t="s">
        <v>683</v>
      </c>
      <c r="G182" s="55" t="s">
        <v>644</v>
      </c>
      <c r="H182" s="62">
        <v>0</v>
      </c>
      <c r="I182" s="62">
        <v>1</v>
      </c>
      <c r="J182" s="62">
        <v>0</v>
      </c>
      <c r="K182" s="63">
        <v>136.16</v>
      </c>
      <c r="L182" s="63">
        <v>0</v>
      </c>
      <c r="M182" s="62">
        <v>1</v>
      </c>
      <c r="N182" s="62">
        <v>0</v>
      </c>
      <c r="O182" s="63">
        <v>136.16</v>
      </c>
      <c r="P182" s="63">
        <v>0</v>
      </c>
      <c r="Q182" s="62">
        <v>0</v>
      </c>
      <c r="R182" s="62">
        <v>0</v>
      </c>
      <c r="S182" s="63">
        <v>0</v>
      </c>
      <c r="T182" s="63">
        <v>0</v>
      </c>
      <c r="U182" s="55" t="s">
        <v>490</v>
      </c>
    </row>
    <row r="183" spans="1:21" ht="15">
      <c r="A183" s="55" t="s">
        <v>864</v>
      </c>
      <c r="B183" s="55" t="s">
        <v>921</v>
      </c>
      <c r="C183" s="55" t="s">
        <v>228</v>
      </c>
      <c r="D183" s="55" t="s">
        <v>229</v>
      </c>
      <c r="E183" s="55" t="s">
        <v>213</v>
      </c>
      <c r="F183" s="55" t="s">
        <v>683</v>
      </c>
      <c r="G183" s="55" t="s">
        <v>644</v>
      </c>
      <c r="H183" s="62">
        <v>0</v>
      </c>
      <c r="I183" s="62">
        <v>8</v>
      </c>
      <c r="J183" s="62">
        <v>9</v>
      </c>
      <c r="K183" s="63">
        <v>1148.72</v>
      </c>
      <c r="L183" s="63">
        <v>1292.31</v>
      </c>
      <c r="M183" s="62">
        <v>55</v>
      </c>
      <c r="N183" s="62">
        <v>30</v>
      </c>
      <c r="O183" s="63">
        <v>7897.45</v>
      </c>
      <c r="P183" s="63">
        <v>4307.7</v>
      </c>
      <c r="Q183" s="62">
        <v>10</v>
      </c>
      <c r="R183" s="62">
        <v>10</v>
      </c>
      <c r="S183" s="63">
        <v>1435.9</v>
      </c>
      <c r="T183" s="63">
        <v>1435.9</v>
      </c>
      <c r="U183" s="55" t="s">
        <v>1147</v>
      </c>
    </row>
    <row r="184" spans="1:21" ht="15">
      <c r="A184" s="55" t="s">
        <v>864</v>
      </c>
      <c r="B184" s="55" t="s">
        <v>921</v>
      </c>
      <c r="C184" s="55" t="s">
        <v>866</v>
      </c>
      <c r="D184" s="55" t="s">
        <v>867</v>
      </c>
      <c r="E184" s="55" t="s">
        <v>213</v>
      </c>
      <c r="F184" s="55" t="s">
        <v>683</v>
      </c>
      <c r="G184" s="55" t="s">
        <v>644</v>
      </c>
      <c r="H184" s="62">
        <v>0</v>
      </c>
      <c r="I184" s="62">
        <v>0</v>
      </c>
      <c r="J184" s="62">
        <v>0</v>
      </c>
      <c r="K184" s="63">
        <v>0</v>
      </c>
      <c r="L184" s="63">
        <v>0</v>
      </c>
      <c r="M184" s="62">
        <v>0</v>
      </c>
      <c r="N184" s="62">
        <v>0</v>
      </c>
      <c r="O184" s="63">
        <v>0</v>
      </c>
      <c r="P184" s="63">
        <v>0</v>
      </c>
      <c r="Q184" s="62">
        <v>3</v>
      </c>
      <c r="R184" s="62">
        <v>3</v>
      </c>
      <c r="S184" s="63">
        <v>144.15</v>
      </c>
      <c r="T184" s="63">
        <v>144.15</v>
      </c>
      <c r="U184" s="55" t="s">
        <v>1148</v>
      </c>
    </row>
    <row r="185" spans="1:21" ht="15">
      <c r="A185" s="55" t="s">
        <v>864</v>
      </c>
      <c r="B185" s="55" t="s">
        <v>921</v>
      </c>
      <c r="C185" s="55" t="s">
        <v>822</v>
      </c>
      <c r="D185" s="55" t="s">
        <v>764</v>
      </c>
      <c r="E185" s="55" t="s">
        <v>213</v>
      </c>
      <c r="F185" s="55" t="s">
        <v>683</v>
      </c>
      <c r="G185" s="55" t="s">
        <v>644</v>
      </c>
      <c r="H185" s="62">
        <v>0</v>
      </c>
      <c r="I185" s="62">
        <v>0</v>
      </c>
      <c r="J185" s="62">
        <v>0</v>
      </c>
      <c r="K185" s="63">
        <v>0</v>
      </c>
      <c r="L185" s="63">
        <v>0</v>
      </c>
      <c r="M185" s="62">
        <v>1</v>
      </c>
      <c r="N185" s="62">
        <v>1</v>
      </c>
      <c r="O185" s="63">
        <v>29.11</v>
      </c>
      <c r="P185" s="63">
        <v>29.11</v>
      </c>
      <c r="Q185" s="62">
        <v>0</v>
      </c>
      <c r="R185" s="62">
        <v>0</v>
      </c>
      <c r="S185" s="63">
        <v>0</v>
      </c>
      <c r="T185" s="63">
        <v>0</v>
      </c>
      <c r="U185" s="55" t="s">
        <v>822</v>
      </c>
    </row>
    <row r="186" spans="1:21" ht="15">
      <c r="A186" s="55" t="s">
        <v>864</v>
      </c>
      <c r="B186" s="55" t="s">
        <v>921</v>
      </c>
      <c r="C186" s="55" t="s">
        <v>726</v>
      </c>
      <c r="D186" s="55" t="s">
        <v>765</v>
      </c>
      <c r="E186" s="55" t="s">
        <v>213</v>
      </c>
      <c r="F186" s="55" t="s">
        <v>683</v>
      </c>
      <c r="G186" s="55" t="s">
        <v>644</v>
      </c>
      <c r="H186" s="62">
        <v>0</v>
      </c>
      <c r="I186" s="62">
        <v>8</v>
      </c>
      <c r="J186" s="62">
        <v>8</v>
      </c>
      <c r="K186" s="63">
        <v>365.44</v>
      </c>
      <c r="L186" s="63">
        <v>365.44</v>
      </c>
      <c r="M186" s="62">
        <v>0</v>
      </c>
      <c r="N186" s="62">
        <v>0</v>
      </c>
      <c r="O186" s="63">
        <v>0</v>
      </c>
      <c r="P186" s="63">
        <v>0</v>
      </c>
      <c r="Q186" s="62">
        <v>1</v>
      </c>
      <c r="R186" s="62">
        <v>1</v>
      </c>
      <c r="S186" s="63">
        <v>45.68</v>
      </c>
      <c r="T186" s="63">
        <v>45.68</v>
      </c>
      <c r="U186" s="55" t="s">
        <v>1149</v>
      </c>
    </row>
    <row r="187" spans="1:21" ht="15">
      <c r="A187" s="55" t="s">
        <v>864</v>
      </c>
      <c r="B187" s="55" t="s">
        <v>921</v>
      </c>
      <c r="C187" s="55" t="s">
        <v>738</v>
      </c>
      <c r="D187" s="55" t="s">
        <v>765</v>
      </c>
      <c r="E187" s="55" t="s">
        <v>213</v>
      </c>
      <c r="F187" s="55" t="s">
        <v>683</v>
      </c>
      <c r="G187" s="55" t="s">
        <v>644</v>
      </c>
      <c r="H187" s="62">
        <v>0</v>
      </c>
      <c r="I187" s="62">
        <v>0</v>
      </c>
      <c r="J187" s="62">
        <v>0</v>
      </c>
      <c r="K187" s="63">
        <v>0</v>
      </c>
      <c r="L187" s="63">
        <v>0</v>
      </c>
      <c r="M187" s="62">
        <v>2</v>
      </c>
      <c r="N187" s="62">
        <v>2</v>
      </c>
      <c r="O187" s="63">
        <v>121.42</v>
      </c>
      <c r="P187" s="63">
        <v>121.42</v>
      </c>
      <c r="Q187" s="62">
        <v>0</v>
      </c>
      <c r="R187" s="62">
        <v>0</v>
      </c>
      <c r="S187" s="63">
        <v>0</v>
      </c>
      <c r="T187" s="63">
        <v>0</v>
      </c>
      <c r="U187" s="55" t="s">
        <v>1150</v>
      </c>
    </row>
    <row r="188" spans="1:21" ht="15">
      <c r="A188" s="55" t="s">
        <v>864</v>
      </c>
      <c r="B188" s="55" t="s">
        <v>921</v>
      </c>
      <c r="C188" s="55" t="s">
        <v>605</v>
      </c>
      <c r="D188" s="55" t="s">
        <v>606</v>
      </c>
      <c r="E188" s="55" t="s">
        <v>213</v>
      </c>
      <c r="F188" s="55" t="s">
        <v>683</v>
      </c>
      <c r="G188" s="55" t="s">
        <v>644</v>
      </c>
      <c r="H188" s="62">
        <v>0</v>
      </c>
      <c r="I188" s="62">
        <v>100</v>
      </c>
      <c r="J188" s="62">
        <v>60</v>
      </c>
      <c r="K188" s="63">
        <v>2005</v>
      </c>
      <c r="L188" s="63">
        <v>1203</v>
      </c>
      <c r="M188" s="62">
        <v>105</v>
      </c>
      <c r="N188" s="62">
        <v>100</v>
      </c>
      <c r="O188" s="63">
        <v>2105.25</v>
      </c>
      <c r="P188" s="63">
        <v>2005</v>
      </c>
      <c r="Q188" s="62">
        <v>95</v>
      </c>
      <c r="R188" s="62">
        <v>0</v>
      </c>
      <c r="S188" s="63">
        <v>1904.75</v>
      </c>
      <c r="T188" s="63">
        <v>0</v>
      </c>
      <c r="U188" s="55" t="s">
        <v>605</v>
      </c>
    </row>
    <row r="189" spans="1:21" ht="15">
      <c r="A189" s="55" t="s">
        <v>864</v>
      </c>
      <c r="B189" s="55" t="s">
        <v>921</v>
      </c>
      <c r="C189" s="55" t="s">
        <v>799</v>
      </c>
      <c r="D189" s="55" t="s">
        <v>800</v>
      </c>
      <c r="E189" s="55" t="s">
        <v>213</v>
      </c>
      <c r="F189" s="55" t="s">
        <v>683</v>
      </c>
      <c r="G189" s="55" t="s">
        <v>644</v>
      </c>
      <c r="H189" s="62">
        <v>0</v>
      </c>
      <c r="I189" s="62">
        <v>30</v>
      </c>
      <c r="J189" s="62">
        <v>30</v>
      </c>
      <c r="K189" s="63">
        <v>3300</v>
      </c>
      <c r="L189" s="63">
        <v>3300</v>
      </c>
      <c r="M189" s="62">
        <v>16</v>
      </c>
      <c r="N189" s="62">
        <v>30</v>
      </c>
      <c r="O189" s="63">
        <v>1760</v>
      </c>
      <c r="P189" s="63">
        <v>3300</v>
      </c>
      <c r="Q189" s="62">
        <v>39</v>
      </c>
      <c r="R189" s="62">
        <v>39</v>
      </c>
      <c r="S189" s="63">
        <v>4290</v>
      </c>
      <c r="T189" s="63">
        <v>4290</v>
      </c>
      <c r="U189" s="55" t="s">
        <v>1151</v>
      </c>
    </row>
    <row r="190" spans="1:21" ht="15">
      <c r="A190" s="55" t="s">
        <v>864</v>
      </c>
      <c r="B190" s="55" t="s">
        <v>921</v>
      </c>
      <c r="C190" s="55" t="s">
        <v>824</v>
      </c>
      <c r="D190" s="55" t="s">
        <v>800</v>
      </c>
      <c r="E190" s="55" t="s">
        <v>213</v>
      </c>
      <c r="F190" s="55" t="s">
        <v>683</v>
      </c>
      <c r="G190" s="55" t="s">
        <v>644</v>
      </c>
      <c r="H190" s="62">
        <v>0</v>
      </c>
      <c r="I190" s="62">
        <v>0</v>
      </c>
      <c r="J190" s="62">
        <v>0</v>
      </c>
      <c r="K190" s="63">
        <v>0</v>
      </c>
      <c r="L190" s="63">
        <v>0</v>
      </c>
      <c r="M190" s="62">
        <v>1</v>
      </c>
      <c r="N190" s="62">
        <v>1</v>
      </c>
      <c r="O190" s="63">
        <v>34.04</v>
      </c>
      <c r="P190" s="63">
        <v>34.04</v>
      </c>
      <c r="Q190" s="62">
        <v>0</v>
      </c>
      <c r="R190" s="62">
        <v>0</v>
      </c>
      <c r="S190" s="63">
        <v>0</v>
      </c>
      <c r="T190" s="63">
        <v>0</v>
      </c>
      <c r="U190" s="55" t="s">
        <v>824</v>
      </c>
    </row>
    <row r="191" spans="1:21" ht="15">
      <c r="A191" s="55" t="s">
        <v>864</v>
      </c>
      <c r="B191" s="55" t="s">
        <v>921</v>
      </c>
      <c r="C191" s="55" t="s">
        <v>727</v>
      </c>
      <c r="D191" s="55" t="s">
        <v>800</v>
      </c>
      <c r="E191" s="55" t="s">
        <v>213</v>
      </c>
      <c r="F191" s="55" t="s">
        <v>683</v>
      </c>
      <c r="G191" s="55" t="s">
        <v>644</v>
      </c>
      <c r="H191" s="62">
        <v>0</v>
      </c>
      <c r="I191" s="62">
        <v>10</v>
      </c>
      <c r="J191" s="62">
        <v>10</v>
      </c>
      <c r="K191" s="63">
        <v>221.3</v>
      </c>
      <c r="L191" s="63">
        <v>221.3</v>
      </c>
      <c r="M191" s="62">
        <v>9</v>
      </c>
      <c r="N191" s="62">
        <v>64</v>
      </c>
      <c r="O191" s="63">
        <v>199.17</v>
      </c>
      <c r="P191" s="63">
        <v>1416.32</v>
      </c>
      <c r="Q191" s="62">
        <v>29</v>
      </c>
      <c r="R191" s="62">
        <v>29</v>
      </c>
      <c r="S191" s="63">
        <v>641.77</v>
      </c>
      <c r="T191" s="63">
        <v>641.77</v>
      </c>
      <c r="U191" s="55" t="s">
        <v>1152</v>
      </c>
    </row>
    <row r="192" spans="1:21" ht="15">
      <c r="A192" s="55" t="s">
        <v>864</v>
      </c>
      <c r="B192" s="55" t="s">
        <v>921</v>
      </c>
      <c r="C192" s="55" t="s">
        <v>820</v>
      </c>
      <c r="D192" s="55" t="s">
        <v>821</v>
      </c>
      <c r="E192" s="55" t="s">
        <v>213</v>
      </c>
      <c r="F192" s="55" t="s">
        <v>683</v>
      </c>
      <c r="G192" s="55" t="s">
        <v>644</v>
      </c>
      <c r="H192" s="62">
        <v>14700</v>
      </c>
      <c r="I192" s="62">
        <v>6</v>
      </c>
      <c r="J192" s="62">
        <v>6</v>
      </c>
      <c r="K192" s="63">
        <v>1405.38</v>
      </c>
      <c r="L192" s="63">
        <v>1405.38</v>
      </c>
      <c r="M192" s="62">
        <v>6</v>
      </c>
      <c r="N192" s="62">
        <v>6</v>
      </c>
      <c r="O192" s="63">
        <v>1405.38</v>
      </c>
      <c r="P192" s="63">
        <v>1405.38</v>
      </c>
      <c r="Q192" s="62">
        <v>5</v>
      </c>
      <c r="R192" s="62">
        <v>5</v>
      </c>
      <c r="S192" s="63">
        <v>1171.1500000000001</v>
      </c>
      <c r="T192" s="63">
        <v>1171.1500000000001</v>
      </c>
      <c r="U192" s="55" t="s">
        <v>1153</v>
      </c>
    </row>
    <row r="193" spans="1:21" ht="15">
      <c r="A193" s="55" t="s">
        <v>864</v>
      </c>
      <c r="B193" s="55" t="s">
        <v>921</v>
      </c>
      <c r="C193" s="55" t="s">
        <v>507</v>
      </c>
      <c r="D193" s="55" t="s">
        <v>766</v>
      </c>
      <c r="E193" s="55" t="s">
        <v>213</v>
      </c>
      <c r="F193" s="55" t="s">
        <v>683</v>
      </c>
      <c r="G193" s="55" t="s">
        <v>644</v>
      </c>
      <c r="H193" s="62">
        <v>0</v>
      </c>
      <c r="I193" s="62">
        <v>0</v>
      </c>
      <c r="J193" s="62">
        <v>0</v>
      </c>
      <c r="K193" s="63">
        <v>0</v>
      </c>
      <c r="L193" s="63">
        <v>0</v>
      </c>
      <c r="M193" s="62">
        <v>0</v>
      </c>
      <c r="N193" s="62">
        <v>0</v>
      </c>
      <c r="O193" s="63">
        <v>0</v>
      </c>
      <c r="P193" s="63">
        <v>0</v>
      </c>
      <c r="Q193" s="62">
        <v>1</v>
      </c>
      <c r="R193" s="62">
        <v>1</v>
      </c>
      <c r="S193" s="63">
        <v>44.38</v>
      </c>
      <c r="T193" s="63">
        <v>44.38</v>
      </c>
      <c r="U193" s="55" t="s">
        <v>507</v>
      </c>
    </row>
    <row r="194" spans="1:21" ht="15">
      <c r="A194" s="55" t="s">
        <v>864</v>
      </c>
      <c r="B194" s="55" t="s">
        <v>921</v>
      </c>
      <c r="C194" s="55" t="s">
        <v>277</v>
      </c>
      <c r="D194" s="55" t="s">
        <v>741</v>
      </c>
      <c r="E194" s="55" t="s">
        <v>213</v>
      </c>
      <c r="F194" s="55" t="s">
        <v>683</v>
      </c>
      <c r="G194" s="55" t="s">
        <v>644</v>
      </c>
      <c r="H194" s="62">
        <v>0</v>
      </c>
      <c r="I194" s="62">
        <v>2</v>
      </c>
      <c r="J194" s="62">
        <v>2</v>
      </c>
      <c r="K194" s="63">
        <v>118.56</v>
      </c>
      <c r="L194" s="63">
        <v>118.56</v>
      </c>
      <c r="M194" s="62">
        <v>4</v>
      </c>
      <c r="N194" s="62">
        <v>4</v>
      </c>
      <c r="O194" s="63">
        <v>237.12</v>
      </c>
      <c r="P194" s="63">
        <v>237.12</v>
      </c>
      <c r="Q194" s="62">
        <v>1</v>
      </c>
      <c r="R194" s="62">
        <v>1</v>
      </c>
      <c r="S194" s="63">
        <v>59.28</v>
      </c>
      <c r="T194" s="63">
        <v>59.28</v>
      </c>
      <c r="U194" s="55" t="s">
        <v>277</v>
      </c>
    </row>
    <row r="195" spans="1:21" ht="15">
      <c r="A195" s="55" t="s">
        <v>864</v>
      </c>
      <c r="B195" s="55" t="s">
        <v>921</v>
      </c>
      <c r="C195" s="55" t="s">
        <v>663</v>
      </c>
      <c r="D195" s="55" t="s">
        <v>708</v>
      </c>
      <c r="E195" s="55" t="s">
        <v>213</v>
      </c>
      <c r="F195" s="55" t="s">
        <v>683</v>
      </c>
      <c r="G195" s="55" t="s">
        <v>644</v>
      </c>
      <c r="H195" s="62">
        <v>0</v>
      </c>
      <c r="I195" s="62">
        <v>24</v>
      </c>
      <c r="J195" s="62">
        <v>24</v>
      </c>
      <c r="K195" s="63">
        <v>402.96</v>
      </c>
      <c r="L195" s="63">
        <v>402.96</v>
      </c>
      <c r="M195" s="62">
        <v>12</v>
      </c>
      <c r="N195" s="62">
        <v>12</v>
      </c>
      <c r="O195" s="63">
        <v>201.48</v>
      </c>
      <c r="P195" s="63">
        <v>201.48</v>
      </c>
      <c r="Q195" s="62">
        <v>0</v>
      </c>
      <c r="R195" s="62">
        <v>0</v>
      </c>
      <c r="S195" s="63">
        <v>0</v>
      </c>
      <c r="T195" s="63">
        <v>0</v>
      </c>
      <c r="U195" s="55" t="s">
        <v>1154</v>
      </c>
    </row>
    <row r="196" spans="1:21" ht="15">
      <c r="A196" s="55" t="s">
        <v>864</v>
      </c>
      <c r="B196" s="55" t="s">
        <v>921</v>
      </c>
      <c r="C196" s="55" t="s">
        <v>476</v>
      </c>
      <c r="D196" s="55" t="s">
        <v>767</v>
      </c>
      <c r="E196" s="55" t="s">
        <v>224</v>
      </c>
      <c r="F196" s="55" t="s">
        <v>683</v>
      </c>
      <c r="G196" s="55" t="s">
        <v>644</v>
      </c>
      <c r="H196" s="62">
        <v>0</v>
      </c>
      <c r="I196" s="62">
        <v>1</v>
      </c>
      <c r="J196" s="62">
        <v>1</v>
      </c>
      <c r="K196" s="63">
        <v>48.86</v>
      </c>
      <c r="L196" s="63">
        <v>48.86</v>
      </c>
      <c r="M196" s="62">
        <v>1</v>
      </c>
      <c r="N196" s="62">
        <v>1</v>
      </c>
      <c r="O196" s="63">
        <v>48.86</v>
      </c>
      <c r="P196" s="63">
        <v>48.86</v>
      </c>
      <c r="Q196" s="62">
        <v>0</v>
      </c>
      <c r="R196" s="62">
        <v>0</v>
      </c>
      <c r="S196" s="63">
        <v>0</v>
      </c>
      <c r="T196" s="63">
        <v>0</v>
      </c>
      <c r="U196" s="55" t="s">
        <v>476</v>
      </c>
    </row>
    <row r="197" spans="1:21" ht="15">
      <c r="A197" s="55" t="s">
        <v>868</v>
      </c>
      <c r="B197" s="55" t="s">
        <v>921</v>
      </c>
      <c r="C197" s="55" t="s">
        <v>428</v>
      </c>
      <c r="D197" s="55" t="s">
        <v>429</v>
      </c>
      <c r="E197" s="55" t="s">
        <v>213</v>
      </c>
      <c r="F197" s="55" t="s">
        <v>683</v>
      </c>
      <c r="G197" s="55" t="s">
        <v>638</v>
      </c>
      <c r="H197" s="62">
        <v>43200</v>
      </c>
      <c r="I197" s="62">
        <v>460</v>
      </c>
      <c r="J197" s="62">
        <v>465</v>
      </c>
      <c r="K197" s="63">
        <v>52108.800000000003</v>
      </c>
      <c r="L197" s="63">
        <v>52675.199999999997</v>
      </c>
      <c r="M197" s="62">
        <v>650</v>
      </c>
      <c r="N197" s="62">
        <v>360</v>
      </c>
      <c r="O197" s="63">
        <v>73632</v>
      </c>
      <c r="P197" s="63">
        <v>40780.800000000003</v>
      </c>
      <c r="Q197" s="62">
        <v>310</v>
      </c>
      <c r="R197" s="62">
        <v>0</v>
      </c>
      <c r="S197" s="63">
        <v>35116.800000000003</v>
      </c>
      <c r="T197" s="63">
        <v>0</v>
      </c>
      <c r="U197" s="55" t="s">
        <v>1113</v>
      </c>
    </row>
    <row r="198" spans="1:21" ht="15">
      <c r="A198" s="55" t="s">
        <v>868</v>
      </c>
      <c r="B198" s="55" t="s">
        <v>921</v>
      </c>
      <c r="C198" s="55" t="s">
        <v>564</v>
      </c>
      <c r="D198" s="55" t="s">
        <v>565</v>
      </c>
      <c r="E198" s="55" t="s">
        <v>213</v>
      </c>
      <c r="F198" s="55" t="s">
        <v>683</v>
      </c>
      <c r="G198" s="55" t="s">
        <v>638</v>
      </c>
      <c r="H198" s="62">
        <v>0</v>
      </c>
      <c r="I198" s="62">
        <v>690</v>
      </c>
      <c r="J198" s="62">
        <v>680</v>
      </c>
      <c r="K198" s="63">
        <v>49783.5</v>
      </c>
      <c r="L198" s="63">
        <v>49062</v>
      </c>
      <c r="M198" s="62">
        <v>810</v>
      </c>
      <c r="N198" s="62">
        <v>523</v>
      </c>
      <c r="O198" s="63">
        <v>58441.5</v>
      </c>
      <c r="P198" s="63">
        <v>37734.449999999997</v>
      </c>
      <c r="Q198" s="62">
        <v>1100</v>
      </c>
      <c r="R198" s="62">
        <v>0</v>
      </c>
      <c r="S198" s="63">
        <v>79365</v>
      </c>
      <c r="T198" s="63">
        <v>0</v>
      </c>
      <c r="U198" s="55" t="s">
        <v>1117</v>
      </c>
    </row>
    <row r="199" spans="1:21" ht="15">
      <c r="A199" s="55" t="s">
        <v>869</v>
      </c>
      <c r="B199" s="55" t="s">
        <v>609</v>
      </c>
      <c r="C199" s="55" t="s">
        <v>482</v>
      </c>
      <c r="D199" s="55" t="s">
        <v>483</v>
      </c>
      <c r="E199" s="55" t="s">
        <v>213</v>
      </c>
      <c r="F199" s="55" t="s">
        <v>683</v>
      </c>
      <c r="G199" s="55" t="s">
        <v>640</v>
      </c>
      <c r="H199" s="62">
        <v>0</v>
      </c>
      <c r="I199" s="62">
        <v>900</v>
      </c>
      <c r="J199" s="62">
        <v>800</v>
      </c>
      <c r="K199" s="63">
        <v>75879</v>
      </c>
      <c r="L199" s="63">
        <v>67448</v>
      </c>
      <c r="M199" s="62">
        <v>1000</v>
      </c>
      <c r="N199" s="62">
        <v>1000</v>
      </c>
      <c r="O199" s="63">
        <v>84310</v>
      </c>
      <c r="P199" s="63">
        <v>84310</v>
      </c>
      <c r="Q199" s="62">
        <v>1026</v>
      </c>
      <c r="R199" s="62">
        <v>0</v>
      </c>
      <c r="S199" s="63">
        <v>86502.06</v>
      </c>
      <c r="T199" s="63">
        <v>0</v>
      </c>
      <c r="U199" s="55" t="s">
        <v>482</v>
      </c>
    </row>
    <row r="200" spans="1:21" ht="15">
      <c r="A200" s="55" t="s">
        <v>869</v>
      </c>
      <c r="B200" s="55" t="s">
        <v>609</v>
      </c>
      <c r="C200" s="55" t="s">
        <v>486</v>
      </c>
      <c r="D200" s="55" t="s">
        <v>483</v>
      </c>
      <c r="E200" s="55" t="s">
        <v>213</v>
      </c>
      <c r="F200" s="55" t="s">
        <v>683</v>
      </c>
      <c r="G200" s="55" t="s">
        <v>640</v>
      </c>
      <c r="H200" s="62">
        <v>0</v>
      </c>
      <c r="I200" s="62">
        <v>180</v>
      </c>
      <c r="J200" s="62">
        <v>180</v>
      </c>
      <c r="K200" s="63">
        <v>8519.4</v>
      </c>
      <c r="L200" s="63">
        <v>8519.4</v>
      </c>
      <c r="M200" s="62">
        <v>150</v>
      </c>
      <c r="N200" s="62">
        <v>150</v>
      </c>
      <c r="O200" s="63">
        <v>7099.5</v>
      </c>
      <c r="P200" s="63">
        <v>7099.5</v>
      </c>
      <c r="Q200" s="62">
        <v>317</v>
      </c>
      <c r="R200" s="62">
        <v>0</v>
      </c>
      <c r="S200" s="63">
        <v>15003.61</v>
      </c>
      <c r="T200" s="63">
        <v>0</v>
      </c>
      <c r="U200" s="55" t="s">
        <v>486</v>
      </c>
    </row>
    <row r="201" spans="1:21" ht="15">
      <c r="A201" s="55" t="s">
        <v>907</v>
      </c>
      <c r="B201" s="55" t="s">
        <v>593</v>
      </c>
      <c r="C201" s="55" t="s">
        <v>522</v>
      </c>
      <c r="D201" s="55" t="s">
        <v>1155</v>
      </c>
      <c r="E201" s="55" t="s">
        <v>215</v>
      </c>
      <c r="F201" s="55" t="s">
        <v>683</v>
      </c>
      <c r="G201" s="55" t="s">
        <v>644</v>
      </c>
      <c r="H201" s="62">
        <v>0</v>
      </c>
      <c r="I201" s="62">
        <v>0</v>
      </c>
      <c r="J201" s="62">
        <v>9</v>
      </c>
      <c r="K201" s="63">
        <v>0</v>
      </c>
      <c r="L201" s="63">
        <v>1105.6500000000001</v>
      </c>
      <c r="M201" s="62">
        <v>0</v>
      </c>
      <c r="N201" s="62">
        <v>15</v>
      </c>
      <c r="O201" s="63">
        <v>0</v>
      </c>
      <c r="P201" s="63">
        <v>1842.75</v>
      </c>
      <c r="Q201" s="62">
        <v>0</v>
      </c>
      <c r="R201" s="62">
        <v>0</v>
      </c>
      <c r="S201" s="63">
        <v>0</v>
      </c>
      <c r="T201" s="63">
        <v>0</v>
      </c>
      <c r="U201" s="55" t="s">
        <v>1156</v>
      </c>
    </row>
    <row r="202" spans="1:21" ht="15">
      <c r="A202" s="55" t="s">
        <v>907</v>
      </c>
      <c r="B202" s="55" t="s">
        <v>593</v>
      </c>
      <c r="C202" s="55" t="s">
        <v>244</v>
      </c>
      <c r="D202" s="55" t="s">
        <v>870</v>
      </c>
      <c r="E202" s="55" t="s">
        <v>215</v>
      </c>
      <c r="F202" s="55" t="s">
        <v>683</v>
      </c>
      <c r="G202" s="55" t="s">
        <v>644</v>
      </c>
      <c r="H202" s="62">
        <v>0</v>
      </c>
      <c r="I202" s="62">
        <v>20</v>
      </c>
      <c r="J202" s="62">
        <v>50</v>
      </c>
      <c r="K202" s="63">
        <v>78.8</v>
      </c>
      <c r="L202" s="63">
        <v>197</v>
      </c>
      <c r="M202" s="62">
        <v>20</v>
      </c>
      <c r="N202" s="62">
        <v>231</v>
      </c>
      <c r="O202" s="63">
        <v>78.8</v>
      </c>
      <c r="P202" s="63">
        <v>910.14</v>
      </c>
      <c r="Q202" s="62">
        <v>0</v>
      </c>
      <c r="R202" s="62">
        <v>200</v>
      </c>
      <c r="S202" s="63">
        <v>0</v>
      </c>
      <c r="T202" s="63">
        <v>788</v>
      </c>
      <c r="U202" s="55" t="s">
        <v>1157</v>
      </c>
    </row>
    <row r="203" spans="1:21" ht="15">
      <c r="A203" s="55" t="s">
        <v>907</v>
      </c>
      <c r="B203" s="55" t="s">
        <v>593</v>
      </c>
      <c r="C203" s="55" t="s">
        <v>245</v>
      </c>
      <c r="D203" s="55" t="s">
        <v>1158</v>
      </c>
      <c r="E203" s="55" t="s">
        <v>215</v>
      </c>
      <c r="F203" s="55" t="s">
        <v>683</v>
      </c>
      <c r="G203" s="55" t="s">
        <v>644</v>
      </c>
      <c r="H203" s="62">
        <v>0</v>
      </c>
      <c r="I203" s="62">
        <v>0</v>
      </c>
      <c r="J203" s="62">
        <v>0</v>
      </c>
      <c r="K203" s="63">
        <v>0</v>
      </c>
      <c r="L203" s="63">
        <v>0</v>
      </c>
      <c r="M203" s="62">
        <v>0</v>
      </c>
      <c r="N203" s="62">
        <v>40</v>
      </c>
      <c r="O203" s="63">
        <v>0</v>
      </c>
      <c r="P203" s="63">
        <v>134.4</v>
      </c>
      <c r="Q203" s="62">
        <v>0</v>
      </c>
      <c r="R203" s="62">
        <v>0</v>
      </c>
      <c r="S203" s="63">
        <v>0</v>
      </c>
      <c r="T203" s="63">
        <v>0</v>
      </c>
      <c r="U203" s="55" t="s">
        <v>1159</v>
      </c>
    </row>
    <row r="204" spans="1:21" ht="15">
      <c r="A204" s="55" t="s">
        <v>871</v>
      </c>
      <c r="B204" s="55" t="s">
        <v>921</v>
      </c>
      <c r="C204" s="55" t="s">
        <v>428</v>
      </c>
      <c r="D204" s="55" t="s">
        <v>429</v>
      </c>
      <c r="E204" s="55" t="s">
        <v>213</v>
      </c>
      <c r="F204" s="55" t="s">
        <v>683</v>
      </c>
      <c r="G204" s="55" t="s">
        <v>638</v>
      </c>
      <c r="H204" s="62">
        <v>43200</v>
      </c>
      <c r="I204" s="62">
        <v>1315</v>
      </c>
      <c r="J204" s="62">
        <v>1315</v>
      </c>
      <c r="K204" s="63">
        <v>148963.20000000001</v>
      </c>
      <c r="L204" s="63">
        <v>148963.20000000001</v>
      </c>
      <c r="M204" s="62">
        <v>1140</v>
      </c>
      <c r="N204" s="62">
        <v>730</v>
      </c>
      <c r="O204" s="63">
        <v>129139.2</v>
      </c>
      <c r="P204" s="63">
        <v>82694.399999999994</v>
      </c>
      <c r="Q204" s="62">
        <v>1100</v>
      </c>
      <c r="R204" s="62">
        <v>0</v>
      </c>
      <c r="S204" s="63">
        <v>124608</v>
      </c>
      <c r="T204" s="63">
        <v>0</v>
      </c>
      <c r="U204" s="55" t="s">
        <v>1113</v>
      </c>
    </row>
    <row r="205" spans="1:21" ht="15">
      <c r="A205" s="55" t="s">
        <v>871</v>
      </c>
      <c r="B205" s="55" t="s">
        <v>921</v>
      </c>
      <c r="C205" s="55" t="s">
        <v>818</v>
      </c>
      <c r="D205" s="55" t="s">
        <v>819</v>
      </c>
      <c r="E205" s="55" t="s">
        <v>213</v>
      </c>
      <c r="F205" s="55" t="s">
        <v>683</v>
      </c>
      <c r="G205" s="55" t="s">
        <v>638</v>
      </c>
      <c r="H205" s="62">
        <v>14700</v>
      </c>
      <c r="I205" s="62">
        <v>490</v>
      </c>
      <c r="J205" s="62">
        <v>480</v>
      </c>
      <c r="K205" s="63">
        <v>63685.3</v>
      </c>
      <c r="L205" s="63">
        <v>62385.599999999999</v>
      </c>
      <c r="M205" s="62">
        <v>20</v>
      </c>
      <c r="N205" s="62">
        <v>20</v>
      </c>
      <c r="O205" s="63">
        <v>2599.4</v>
      </c>
      <c r="P205" s="63">
        <v>2599.4</v>
      </c>
      <c r="Q205" s="62">
        <v>140</v>
      </c>
      <c r="R205" s="62">
        <v>0</v>
      </c>
      <c r="S205" s="63">
        <v>18195.8</v>
      </c>
      <c r="T205" s="63">
        <v>0</v>
      </c>
      <c r="U205" s="55" t="s">
        <v>1115</v>
      </c>
    </row>
    <row r="206" spans="1:21" ht="15">
      <c r="A206" s="55" t="s">
        <v>871</v>
      </c>
      <c r="B206" s="55" t="s">
        <v>921</v>
      </c>
      <c r="C206" s="55" t="s">
        <v>564</v>
      </c>
      <c r="D206" s="55" t="s">
        <v>565</v>
      </c>
      <c r="E206" s="55" t="s">
        <v>213</v>
      </c>
      <c r="F206" s="55" t="s">
        <v>683</v>
      </c>
      <c r="G206" s="55" t="s">
        <v>638</v>
      </c>
      <c r="H206" s="62">
        <v>0</v>
      </c>
      <c r="I206" s="62">
        <v>20670</v>
      </c>
      <c r="J206" s="62">
        <v>20650</v>
      </c>
      <c r="K206" s="63">
        <v>1491340.5</v>
      </c>
      <c r="L206" s="63">
        <v>1489897.5</v>
      </c>
      <c r="M206" s="62">
        <v>17300</v>
      </c>
      <c r="N206" s="62">
        <v>11010</v>
      </c>
      <c r="O206" s="63">
        <v>1248195</v>
      </c>
      <c r="P206" s="63">
        <v>794371.5</v>
      </c>
      <c r="Q206" s="62">
        <v>17080</v>
      </c>
      <c r="R206" s="62">
        <v>0</v>
      </c>
      <c r="S206" s="63">
        <v>1232322</v>
      </c>
      <c r="T206" s="63">
        <v>0</v>
      </c>
      <c r="U206" s="55" t="s">
        <v>1117</v>
      </c>
    </row>
    <row r="207" spans="1:21" ht="15">
      <c r="A207" s="55" t="s">
        <v>871</v>
      </c>
      <c r="B207" s="55" t="s">
        <v>921</v>
      </c>
      <c r="C207" s="55" t="s">
        <v>953</v>
      </c>
      <c r="D207" s="55" t="s">
        <v>819</v>
      </c>
      <c r="E207" s="55" t="s">
        <v>213</v>
      </c>
      <c r="F207" s="55" t="s">
        <v>683</v>
      </c>
      <c r="G207" s="55" t="s">
        <v>638</v>
      </c>
      <c r="H207" s="62">
        <v>0</v>
      </c>
      <c r="I207" s="62">
        <v>5020</v>
      </c>
      <c r="J207" s="62">
        <v>5020</v>
      </c>
      <c r="K207" s="63">
        <v>351098.8</v>
      </c>
      <c r="L207" s="63">
        <v>351098.8</v>
      </c>
      <c r="M207" s="62">
        <v>6180</v>
      </c>
      <c r="N207" s="62">
        <v>3920</v>
      </c>
      <c r="O207" s="63">
        <v>432229.2</v>
      </c>
      <c r="P207" s="63">
        <v>274164.8</v>
      </c>
      <c r="Q207" s="62">
        <v>6100</v>
      </c>
      <c r="R207" s="62">
        <v>0</v>
      </c>
      <c r="S207" s="63">
        <v>426634</v>
      </c>
      <c r="T207" s="63">
        <v>0</v>
      </c>
      <c r="U207" s="55" t="s">
        <v>1160</v>
      </c>
    </row>
    <row r="208" spans="1:21" ht="15">
      <c r="A208" s="55" t="s">
        <v>871</v>
      </c>
      <c r="B208" s="55" t="s">
        <v>921</v>
      </c>
      <c r="C208" s="55" t="s">
        <v>820</v>
      </c>
      <c r="D208" s="55" t="s">
        <v>821</v>
      </c>
      <c r="E208" s="55" t="s">
        <v>213</v>
      </c>
      <c r="F208" s="55" t="s">
        <v>683</v>
      </c>
      <c r="G208" s="55" t="s">
        <v>638</v>
      </c>
      <c r="H208" s="62">
        <v>14700</v>
      </c>
      <c r="I208" s="62">
        <v>474</v>
      </c>
      <c r="J208" s="62">
        <v>468</v>
      </c>
      <c r="K208" s="63">
        <v>106218.66</v>
      </c>
      <c r="L208" s="63">
        <v>104874.12</v>
      </c>
      <c r="M208" s="62">
        <v>18</v>
      </c>
      <c r="N208" s="62">
        <v>18</v>
      </c>
      <c r="O208" s="63">
        <v>4033.62</v>
      </c>
      <c r="P208" s="63">
        <v>4033.62</v>
      </c>
      <c r="Q208" s="62">
        <v>144</v>
      </c>
      <c r="R208" s="62">
        <v>0</v>
      </c>
      <c r="S208" s="63">
        <v>32268.959999999999</v>
      </c>
      <c r="T208" s="63">
        <v>0</v>
      </c>
      <c r="U208" s="55" t="s">
        <v>1118</v>
      </c>
    </row>
    <row r="209" spans="1:21" ht="15">
      <c r="A209" s="55" t="s">
        <v>871</v>
      </c>
      <c r="B209" s="55" t="s">
        <v>921</v>
      </c>
      <c r="C209" s="55" t="s">
        <v>954</v>
      </c>
      <c r="D209" s="55" t="s">
        <v>974</v>
      </c>
      <c r="E209" s="55" t="s">
        <v>213</v>
      </c>
      <c r="F209" s="55" t="s">
        <v>683</v>
      </c>
      <c r="G209" s="55" t="s">
        <v>638</v>
      </c>
      <c r="H209" s="62">
        <v>14700</v>
      </c>
      <c r="I209" s="62">
        <v>3032</v>
      </c>
      <c r="J209" s="62">
        <v>3036</v>
      </c>
      <c r="K209" s="63">
        <v>1070659.8400000001</v>
      </c>
      <c r="L209" s="63">
        <v>1072072.32</v>
      </c>
      <c r="M209" s="62">
        <v>3180</v>
      </c>
      <c r="N209" s="62">
        <v>2028</v>
      </c>
      <c r="O209" s="63">
        <v>1122921.6000000001</v>
      </c>
      <c r="P209" s="63">
        <v>716127.36</v>
      </c>
      <c r="Q209" s="62">
        <v>3432</v>
      </c>
      <c r="R209" s="62">
        <v>0</v>
      </c>
      <c r="S209" s="63">
        <v>1211907.8400000001</v>
      </c>
      <c r="T209" s="63">
        <v>0</v>
      </c>
      <c r="U209" s="55" t="s">
        <v>1161</v>
      </c>
    </row>
    <row r="210" spans="1:21" ht="15">
      <c r="A210" s="55" t="s">
        <v>871</v>
      </c>
      <c r="B210" s="55" t="s">
        <v>921</v>
      </c>
      <c r="C210" s="55" t="s">
        <v>955</v>
      </c>
      <c r="D210" s="55" t="s">
        <v>974</v>
      </c>
      <c r="E210" s="55" t="s">
        <v>213</v>
      </c>
      <c r="F210" s="55" t="s">
        <v>683</v>
      </c>
      <c r="G210" s="55" t="s">
        <v>638</v>
      </c>
      <c r="H210" s="62">
        <v>18000</v>
      </c>
      <c r="I210" s="62">
        <v>1932</v>
      </c>
      <c r="J210" s="62">
        <v>1948</v>
      </c>
      <c r="K210" s="63">
        <v>1085532.8400000001</v>
      </c>
      <c r="L210" s="63">
        <v>1094522.76</v>
      </c>
      <c r="M210" s="62">
        <v>2812</v>
      </c>
      <c r="N210" s="62">
        <v>1772</v>
      </c>
      <c r="O210" s="63">
        <v>1579978.44</v>
      </c>
      <c r="P210" s="63">
        <v>995633.64</v>
      </c>
      <c r="Q210" s="62">
        <v>2676</v>
      </c>
      <c r="R210" s="62">
        <v>0</v>
      </c>
      <c r="S210" s="63">
        <v>1503564.12</v>
      </c>
      <c r="T210" s="63">
        <v>0</v>
      </c>
      <c r="U210" s="55" t="s">
        <v>1162</v>
      </c>
    </row>
    <row r="211" spans="1:21" ht="15">
      <c r="A211" s="55" t="s">
        <v>871</v>
      </c>
      <c r="B211" s="55" t="s">
        <v>921</v>
      </c>
      <c r="C211" s="55" t="s">
        <v>1018</v>
      </c>
      <c r="D211" s="55" t="s">
        <v>1019</v>
      </c>
      <c r="E211" s="55" t="s">
        <v>213</v>
      </c>
      <c r="F211" s="55" t="s">
        <v>683</v>
      </c>
      <c r="G211" s="55" t="s">
        <v>638</v>
      </c>
      <c r="H211" s="62">
        <v>0</v>
      </c>
      <c r="I211" s="62">
        <v>0</v>
      </c>
      <c r="J211" s="62">
        <v>2</v>
      </c>
      <c r="K211" s="63">
        <v>0</v>
      </c>
      <c r="L211" s="63">
        <v>97.1</v>
      </c>
      <c r="M211" s="62">
        <v>0</v>
      </c>
      <c r="N211" s="62">
        <v>0</v>
      </c>
      <c r="O211" s="63">
        <v>0</v>
      </c>
      <c r="P211" s="63">
        <v>0</v>
      </c>
      <c r="Q211" s="62">
        <v>50</v>
      </c>
      <c r="R211" s="62">
        <v>0</v>
      </c>
      <c r="S211" s="63">
        <v>2427.5</v>
      </c>
      <c r="T211" s="63">
        <v>0</v>
      </c>
      <c r="U211" s="55" t="s">
        <v>1130</v>
      </c>
    </row>
    <row r="212" spans="1:21" ht="15">
      <c r="A212" s="55" t="s">
        <v>872</v>
      </c>
      <c r="B212" s="55" t="s">
        <v>921</v>
      </c>
      <c r="C212" s="55" t="s">
        <v>428</v>
      </c>
      <c r="D212" s="55" t="s">
        <v>429</v>
      </c>
      <c r="E212" s="55" t="s">
        <v>213</v>
      </c>
      <c r="F212" s="55" t="s">
        <v>683</v>
      </c>
      <c r="G212" s="55" t="s">
        <v>638</v>
      </c>
      <c r="H212" s="62">
        <v>43200</v>
      </c>
      <c r="I212" s="62">
        <v>5069</v>
      </c>
      <c r="J212" s="62">
        <v>5135</v>
      </c>
      <c r="K212" s="63">
        <v>574216.31999999995</v>
      </c>
      <c r="L212" s="63">
        <v>581692.80000000005</v>
      </c>
      <c r="M212" s="62">
        <v>7927</v>
      </c>
      <c r="N212" s="62">
        <v>5130</v>
      </c>
      <c r="O212" s="63">
        <v>897970.56</v>
      </c>
      <c r="P212" s="63">
        <v>581126.40000000002</v>
      </c>
      <c r="Q212" s="62">
        <v>7747</v>
      </c>
      <c r="R212" s="62">
        <v>0</v>
      </c>
      <c r="S212" s="63">
        <v>877580.16</v>
      </c>
      <c r="T212" s="63">
        <v>0</v>
      </c>
      <c r="U212" s="55" t="s">
        <v>1113</v>
      </c>
    </row>
    <row r="213" spans="1:21" ht="15">
      <c r="A213" s="55" t="s">
        <v>872</v>
      </c>
      <c r="B213" s="55" t="s">
        <v>921</v>
      </c>
      <c r="C213" s="55" t="s">
        <v>564</v>
      </c>
      <c r="D213" s="55" t="s">
        <v>565</v>
      </c>
      <c r="E213" s="55" t="s">
        <v>213</v>
      </c>
      <c r="F213" s="55" t="s">
        <v>683</v>
      </c>
      <c r="G213" s="55" t="s">
        <v>638</v>
      </c>
      <c r="H213" s="62">
        <v>0</v>
      </c>
      <c r="I213" s="62">
        <v>11876</v>
      </c>
      <c r="J213" s="62">
        <v>11880</v>
      </c>
      <c r="K213" s="63">
        <v>856853.4</v>
      </c>
      <c r="L213" s="63">
        <v>857142</v>
      </c>
      <c r="M213" s="62">
        <v>9778</v>
      </c>
      <c r="N213" s="62">
        <v>6360</v>
      </c>
      <c r="O213" s="63">
        <v>705482.7</v>
      </c>
      <c r="P213" s="63">
        <v>458874</v>
      </c>
      <c r="Q213" s="62">
        <v>9488</v>
      </c>
      <c r="R213" s="62">
        <v>0</v>
      </c>
      <c r="S213" s="63">
        <v>684559.2</v>
      </c>
      <c r="T213" s="63">
        <v>0</v>
      </c>
      <c r="U213" s="55" t="s">
        <v>1117</v>
      </c>
    </row>
    <row r="214" spans="1:21" ht="15">
      <c r="A214" s="55" t="s">
        <v>872</v>
      </c>
      <c r="B214" s="55" t="s">
        <v>921</v>
      </c>
      <c r="C214" s="55" t="s">
        <v>1018</v>
      </c>
      <c r="D214" s="55" t="s">
        <v>1019</v>
      </c>
      <c r="E214" s="55" t="s">
        <v>213</v>
      </c>
      <c r="F214" s="55" t="s">
        <v>683</v>
      </c>
      <c r="G214" s="55" t="s">
        <v>638</v>
      </c>
      <c r="H214" s="62">
        <v>0</v>
      </c>
      <c r="I214" s="62">
        <v>0</v>
      </c>
      <c r="J214" s="62">
        <v>0</v>
      </c>
      <c r="K214" s="63">
        <v>0</v>
      </c>
      <c r="L214" s="63">
        <v>0</v>
      </c>
      <c r="M214" s="62">
        <v>10</v>
      </c>
      <c r="N214" s="62">
        <v>10</v>
      </c>
      <c r="O214" s="63">
        <v>485.5</v>
      </c>
      <c r="P214" s="63">
        <v>485.5</v>
      </c>
      <c r="Q214" s="62">
        <v>0</v>
      </c>
      <c r="R214" s="62">
        <v>0</v>
      </c>
      <c r="S214" s="63">
        <v>0</v>
      </c>
      <c r="T214" s="63">
        <v>0</v>
      </c>
      <c r="U214" s="55" t="s">
        <v>1130</v>
      </c>
    </row>
    <row r="215" spans="1:21" ht="15">
      <c r="A215" s="55" t="s">
        <v>872</v>
      </c>
      <c r="B215" s="55" t="s">
        <v>921</v>
      </c>
      <c r="C215" s="55" t="s">
        <v>961</v>
      </c>
      <c r="D215" s="55" t="s">
        <v>624</v>
      </c>
      <c r="E215" s="55" t="s">
        <v>213</v>
      </c>
      <c r="F215" s="55" t="s">
        <v>683</v>
      </c>
      <c r="G215" s="55" t="s">
        <v>638</v>
      </c>
      <c r="H215" s="62">
        <v>22800</v>
      </c>
      <c r="I215" s="62">
        <v>4425</v>
      </c>
      <c r="J215" s="62">
        <v>4520</v>
      </c>
      <c r="K215" s="63">
        <v>178194.75</v>
      </c>
      <c r="L215" s="63">
        <v>182020.4</v>
      </c>
      <c r="M215" s="62">
        <v>7740</v>
      </c>
      <c r="N215" s="62">
        <v>5040</v>
      </c>
      <c r="O215" s="63">
        <v>311689.8</v>
      </c>
      <c r="P215" s="63">
        <v>202960.8</v>
      </c>
      <c r="Q215" s="62">
        <v>7226</v>
      </c>
      <c r="R215" s="62">
        <v>0</v>
      </c>
      <c r="S215" s="63">
        <v>290991.02</v>
      </c>
      <c r="T215" s="63">
        <v>0</v>
      </c>
      <c r="U215" s="55" t="s">
        <v>1163</v>
      </c>
    </row>
    <row r="216" spans="1:21" ht="15">
      <c r="A216" s="55" t="s">
        <v>927</v>
      </c>
      <c r="B216" s="55" t="s">
        <v>921</v>
      </c>
      <c r="C216" s="55" t="s">
        <v>428</v>
      </c>
      <c r="D216" s="55" t="s">
        <v>429</v>
      </c>
      <c r="E216" s="55" t="s">
        <v>213</v>
      </c>
      <c r="F216" s="55" t="s">
        <v>683</v>
      </c>
      <c r="G216" s="55" t="s">
        <v>638</v>
      </c>
      <c r="H216" s="62">
        <v>43200</v>
      </c>
      <c r="I216" s="62">
        <v>0</v>
      </c>
      <c r="J216" s="62">
        <v>0</v>
      </c>
      <c r="K216" s="63">
        <v>0</v>
      </c>
      <c r="L216" s="63">
        <v>0</v>
      </c>
      <c r="M216" s="62">
        <v>0</v>
      </c>
      <c r="N216" s="62">
        <v>3</v>
      </c>
      <c r="O216" s="63">
        <v>0</v>
      </c>
      <c r="P216" s="63">
        <v>339.84</v>
      </c>
      <c r="Q216" s="62">
        <v>0</v>
      </c>
      <c r="R216" s="62">
        <v>0</v>
      </c>
      <c r="S216" s="63">
        <v>0</v>
      </c>
      <c r="T216" s="63">
        <v>0</v>
      </c>
      <c r="U216" s="55" t="s">
        <v>1143</v>
      </c>
    </row>
    <row r="217" spans="1:21" ht="15">
      <c r="A217" s="55" t="s">
        <v>927</v>
      </c>
      <c r="B217" s="55" t="s">
        <v>921</v>
      </c>
      <c r="C217" s="55" t="s">
        <v>564</v>
      </c>
      <c r="D217" s="55" t="s">
        <v>565</v>
      </c>
      <c r="E217" s="55" t="s">
        <v>213</v>
      </c>
      <c r="F217" s="55" t="s">
        <v>683</v>
      </c>
      <c r="G217" s="55" t="s">
        <v>638</v>
      </c>
      <c r="H217" s="62">
        <v>0</v>
      </c>
      <c r="I217" s="62">
        <v>0</v>
      </c>
      <c r="J217" s="62">
        <v>0</v>
      </c>
      <c r="K217" s="63">
        <v>0</v>
      </c>
      <c r="L217" s="63">
        <v>0</v>
      </c>
      <c r="M217" s="62">
        <v>0</v>
      </c>
      <c r="N217" s="62">
        <v>0</v>
      </c>
      <c r="O217" s="63">
        <v>0</v>
      </c>
      <c r="P217" s="63">
        <v>0</v>
      </c>
      <c r="Q217" s="62">
        <v>0</v>
      </c>
      <c r="R217" s="62">
        <v>5</v>
      </c>
      <c r="S217" s="63">
        <v>0</v>
      </c>
      <c r="T217" s="63">
        <v>360.75</v>
      </c>
      <c r="U217" s="55" t="s">
        <v>1145</v>
      </c>
    </row>
    <row r="218" spans="1:21" ht="15">
      <c r="A218" s="55" t="s">
        <v>1020</v>
      </c>
      <c r="B218" s="55" t="s">
        <v>826</v>
      </c>
      <c r="C218" s="55" t="s">
        <v>511</v>
      </c>
      <c r="D218" s="55" t="s">
        <v>1021</v>
      </c>
      <c r="E218" s="55" t="s">
        <v>213</v>
      </c>
      <c r="F218" s="55" t="s">
        <v>683</v>
      </c>
      <c r="G218" s="55" t="s">
        <v>640</v>
      </c>
      <c r="H218" s="62">
        <v>0</v>
      </c>
      <c r="I218" s="62">
        <v>0</v>
      </c>
      <c r="J218" s="62">
        <v>0</v>
      </c>
      <c r="K218" s="63">
        <v>0</v>
      </c>
      <c r="L218" s="63">
        <v>0</v>
      </c>
      <c r="M218" s="62">
        <v>1000</v>
      </c>
      <c r="N218" s="62">
        <v>1000</v>
      </c>
      <c r="O218" s="63">
        <v>15150</v>
      </c>
      <c r="P218" s="63">
        <v>15150</v>
      </c>
      <c r="Q218" s="62">
        <v>1000</v>
      </c>
      <c r="R218" s="62">
        <v>1000</v>
      </c>
      <c r="S218" s="63">
        <v>15150</v>
      </c>
      <c r="T218" s="63">
        <v>15150</v>
      </c>
      <c r="U218" s="55" t="s">
        <v>511</v>
      </c>
    </row>
    <row r="219" spans="1:21" ht="15">
      <c r="A219" s="55" t="s">
        <v>1020</v>
      </c>
      <c r="B219" s="55" t="s">
        <v>826</v>
      </c>
      <c r="C219" s="55" t="s">
        <v>538</v>
      </c>
      <c r="D219" s="55" t="s">
        <v>1021</v>
      </c>
      <c r="E219" s="55" t="s">
        <v>213</v>
      </c>
      <c r="F219" s="55" t="s">
        <v>683</v>
      </c>
      <c r="G219" s="55" t="s">
        <v>640</v>
      </c>
      <c r="H219" s="62">
        <v>0</v>
      </c>
      <c r="I219" s="62">
        <v>0</v>
      </c>
      <c r="J219" s="62">
        <v>0</v>
      </c>
      <c r="K219" s="63">
        <v>0</v>
      </c>
      <c r="L219" s="63">
        <v>0</v>
      </c>
      <c r="M219" s="62">
        <v>3000</v>
      </c>
      <c r="N219" s="62">
        <v>3000</v>
      </c>
      <c r="O219" s="63">
        <v>49290</v>
      </c>
      <c r="P219" s="63">
        <v>49290</v>
      </c>
      <c r="Q219" s="62">
        <v>3000</v>
      </c>
      <c r="R219" s="62">
        <v>3000</v>
      </c>
      <c r="S219" s="63">
        <v>49290</v>
      </c>
      <c r="T219" s="63">
        <v>49290</v>
      </c>
      <c r="U219" s="55" t="s">
        <v>538</v>
      </c>
    </row>
    <row r="220" spans="1:21" ht="15">
      <c r="A220" s="55" t="s">
        <v>873</v>
      </c>
      <c r="B220" s="55" t="s">
        <v>960</v>
      </c>
      <c r="C220" s="55" t="s">
        <v>746</v>
      </c>
      <c r="D220" s="55" t="s">
        <v>728</v>
      </c>
      <c r="E220" s="55" t="s">
        <v>213</v>
      </c>
      <c r="F220" s="55" t="s">
        <v>683</v>
      </c>
      <c r="G220" s="55" t="s">
        <v>643</v>
      </c>
      <c r="H220" s="62">
        <v>0</v>
      </c>
      <c r="I220" s="62">
        <v>390</v>
      </c>
      <c r="J220" s="62">
        <v>390</v>
      </c>
      <c r="K220" s="63">
        <v>18209.099999999999</v>
      </c>
      <c r="L220" s="63">
        <v>18209.099999999999</v>
      </c>
      <c r="M220" s="62">
        <v>270</v>
      </c>
      <c r="N220" s="62">
        <v>270</v>
      </c>
      <c r="O220" s="63">
        <v>12606.3</v>
      </c>
      <c r="P220" s="63">
        <v>12606.3</v>
      </c>
      <c r="Q220" s="62">
        <v>60</v>
      </c>
      <c r="R220" s="62">
        <v>60</v>
      </c>
      <c r="S220" s="63">
        <v>2801.4</v>
      </c>
      <c r="T220" s="63">
        <v>2801.4</v>
      </c>
      <c r="U220" s="55" t="s">
        <v>1164</v>
      </c>
    </row>
    <row r="221" spans="1:21" ht="15">
      <c r="A221" s="55" t="s">
        <v>873</v>
      </c>
      <c r="B221" s="55" t="s">
        <v>960</v>
      </c>
      <c r="C221" s="55" t="s">
        <v>557</v>
      </c>
      <c r="D221" s="55" t="s">
        <v>728</v>
      </c>
      <c r="E221" s="55" t="s">
        <v>213</v>
      </c>
      <c r="F221" s="55" t="s">
        <v>683</v>
      </c>
      <c r="G221" s="55" t="s">
        <v>643</v>
      </c>
      <c r="H221" s="62">
        <v>0</v>
      </c>
      <c r="I221" s="62">
        <v>1050</v>
      </c>
      <c r="J221" s="62">
        <v>1050</v>
      </c>
      <c r="K221" s="63">
        <v>38745</v>
      </c>
      <c r="L221" s="63">
        <v>38745</v>
      </c>
      <c r="M221" s="62">
        <v>1500</v>
      </c>
      <c r="N221" s="62">
        <v>1860</v>
      </c>
      <c r="O221" s="63">
        <v>55350</v>
      </c>
      <c r="P221" s="63">
        <v>68634</v>
      </c>
      <c r="Q221" s="62">
        <v>2160</v>
      </c>
      <c r="R221" s="62">
        <v>2160</v>
      </c>
      <c r="S221" s="63">
        <v>79704</v>
      </c>
      <c r="T221" s="63">
        <v>79704</v>
      </c>
      <c r="U221" s="55" t="s">
        <v>1165</v>
      </c>
    </row>
    <row r="222" spans="1:21" ht="15">
      <c r="A222" s="55" t="s">
        <v>898</v>
      </c>
      <c r="B222" s="55" t="s">
        <v>630</v>
      </c>
      <c r="C222" s="55" t="s">
        <v>383</v>
      </c>
      <c r="D222" s="55" t="s">
        <v>384</v>
      </c>
      <c r="E222" s="55" t="s">
        <v>224</v>
      </c>
      <c r="F222" s="55" t="s">
        <v>683</v>
      </c>
      <c r="G222" s="55" t="s">
        <v>638</v>
      </c>
      <c r="H222" s="62">
        <v>28350</v>
      </c>
      <c r="I222" s="62">
        <v>488</v>
      </c>
      <c r="J222" s="62">
        <v>0</v>
      </c>
      <c r="K222" s="63">
        <v>15938.08</v>
      </c>
      <c r="L222" s="63">
        <v>0</v>
      </c>
      <c r="M222" s="62">
        <v>452</v>
      </c>
      <c r="N222" s="62">
        <v>0</v>
      </c>
      <c r="O222" s="63">
        <v>14762.32</v>
      </c>
      <c r="P222" s="63">
        <v>0</v>
      </c>
      <c r="Q222" s="62">
        <v>452</v>
      </c>
      <c r="R222" s="62">
        <v>192</v>
      </c>
      <c r="S222" s="63">
        <v>14762.32</v>
      </c>
      <c r="T222" s="63">
        <v>6270.72</v>
      </c>
      <c r="U222" s="55" t="s">
        <v>1166</v>
      </c>
    </row>
    <row r="223" spans="1:21" ht="15">
      <c r="A223" s="55" t="s">
        <v>1167</v>
      </c>
      <c r="B223" s="55" t="s">
        <v>593</v>
      </c>
      <c r="C223" s="55" t="s">
        <v>478</v>
      </c>
      <c r="D223" s="55" t="s">
        <v>1060</v>
      </c>
      <c r="E223" s="55" t="s">
        <v>213</v>
      </c>
      <c r="F223" s="55" t="s">
        <v>683</v>
      </c>
      <c r="G223" s="55" t="s">
        <v>644</v>
      </c>
      <c r="H223" s="62">
        <v>0</v>
      </c>
      <c r="I223" s="62">
        <v>0</v>
      </c>
      <c r="J223" s="62">
        <v>23</v>
      </c>
      <c r="K223" s="63">
        <v>0</v>
      </c>
      <c r="L223" s="63">
        <v>14177.66</v>
      </c>
      <c r="M223" s="62">
        <v>0</v>
      </c>
      <c r="N223" s="62">
        <v>0</v>
      </c>
      <c r="O223" s="63">
        <v>0</v>
      </c>
      <c r="P223" s="63">
        <v>0</v>
      </c>
      <c r="Q223" s="62">
        <v>0</v>
      </c>
      <c r="R223" s="62">
        <v>0</v>
      </c>
      <c r="S223" s="63">
        <v>0</v>
      </c>
      <c r="T223" s="63">
        <v>0</v>
      </c>
      <c r="U223" s="55" t="s">
        <v>1168</v>
      </c>
    </row>
    <row r="224" spans="1:21" ht="15">
      <c r="A224" s="55" t="s">
        <v>1169</v>
      </c>
      <c r="B224" s="55" t="s">
        <v>1170</v>
      </c>
      <c r="C224" s="55" t="s">
        <v>566</v>
      </c>
      <c r="D224" s="55" t="s">
        <v>1171</v>
      </c>
      <c r="E224" s="55" t="s">
        <v>213</v>
      </c>
      <c r="F224" s="55" t="s">
        <v>683</v>
      </c>
      <c r="G224" s="55" t="s">
        <v>643</v>
      </c>
      <c r="H224" s="62">
        <v>0</v>
      </c>
      <c r="I224" s="62">
        <v>0</v>
      </c>
      <c r="J224" s="62">
        <v>0</v>
      </c>
      <c r="K224" s="63">
        <v>0</v>
      </c>
      <c r="L224" s="63">
        <v>0</v>
      </c>
      <c r="M224" s="62">
        <v>0</v>
      </c>
      <c r="N224" s="62">
        <v>50</v>
      </c>
      <c r="O224" s="63">
        <v>0</v>
      </c>
      <c r="P224" s="63">
        <v>323</v>
      </c>
      <c r="Q224" s="62">
        <v>0</v>
      </c>
      <c r="R224" s="62">
        <v>0</v>
      </c>
      <c r="S224" s="63">
        <v>0</v>
      </c>
      <c r="T224" s="63">
        <v>0</v>
      </c>
      <c r="U224" s="55" t="s">
        <v>1172</v>
      </c>
    </row>
    <row r="225" spans="1:21" ht="15">
      <c r="A225" s="55" t="s">
        <v>874</v>
      </c>
      <c r="B225" s="55" t="s">
        <v>1014</v>
      </c>
      <c r="C225" s="67">
        <v>1511720971</v>
      </c>
      <c r="D225" s="55" t="s">
        <v>681</v>
      </c>
      <c r="E225" s="55" t="s">
        <v>224</v>
      </c>
      <c r="F225" s="55" t="s">
        <v>683</v>
      </c>
      <c r="G225" s="55" t="s">
        <v>644</v>
      </c>
      <c r="H225" s="62">
        <v>12600</v>
      </c>
      <c r="I225" s="62">
        <v>0</v>
      </c>
      <c r="J225" s="62">
        <v>0</v>
      </c>
      <c r="K225" s="63">
        <v>0</v>
      </c>
      <c r="L225" s="63">
        <v>0</v>
      </c>
      <c r="M225" s="62">
        <v>0</v>
      </c>
      <c r="N225" s="62">
        <v>0</v>
      </c>
      <c r="O225" s="63">
        <v>0</v>
      </c>
      <c r="P225" s="63">
        <v>0</v>
      </c>
      <c r="Q225" s="62">
        <v>0</v>
      </c>
      <c r="R225" s="62">
        <v>0</v>
      </c>
      <c r="S225" s="63">
        <v>0</v>
      </c>
      <c r="T225" s="63">
        <v>0</v>
      </c>
      <c r="U225" s="55" t="s">
        <v>1080</v>
      </c>
    </row>
    <row r="226" spans="1:21" ht="15">
      <c r="A226" s="55" t="s">
        <v>874</v>
      </c>
      <c r="B226" s="55" t="s">
        <v>1014</v>
      </c>
      <c r="C226" s="67">
        <v>8978760470</v>
      </c>
      <c r="D226" s="55" t="s">
        <v>457</v>
      </c>
      <c r="E226" s="55" t="s">
        <v>213</v>
      </c>
      <c r="F226" s="55" t="s">
        <v>683</v>
      </c>
      <c r="G226" s="55" t="s">
        <v>644</v>
      </c>
      <c r="H226" s="62">
        <v>16800</v>
      </c>
      <c r="I226" s="62">
        <v>20</v>
      </c>
      <c r="J226" s="62">
        <v>22</v>
      </c>
      <c r="K226" s="63">
        <v>6591</v>
      </c>
      <c r="L226" s="63">
        <v>7250.1</v>
      </c>
      <c r="M226" s="62">
        <v>21</v>
      </c>
      <c r="N226" s="62">
        <v>0</v>
      </c>
      <c r="O226" s="63">
        <v>6920.55</v>
      </c>
      <c r="P226" s="63">
        <v>0</v>
      </c>
      <c r="Q226" s="62">
        <v>17</v>
      </c>
      <c r="R226" s="62">
        <v>45</v>
      </c>
      <c r="S226" s="63">
        <v>5602.35</v>
      </c>
      <c r="T226" s="63">
        <v>14829.75</v>
      </c>
      <c r="U226" s="55" t="s">
        <v>1091</v>
      </c>
    </row>
    <row r="227" spans="1:21" ht="15">
      <c r="A227" s="55" t="s">
        <v>874</v>
      </c>
      <c r="B227" s="55" t="s">
        <v>1014</v>
      </c>
      <c r="C227" s="67">
        <v>8983943812</v>
      </c>
      <c r="D227" s="55" t="s">
        <v>457</v>
      </c>
      <c r="E227" s="55" t="s">
        <v>213</v>
      </c>
      <c r="F227" s="55" t="s">
        <v>683</v>
      </c>
      <c r="G227" s="55" t="s">
        <v>644</v>
      </c>
      <c r="H227" s="62">
        <v>6300</v>
      </c>
      <c r="I227" s="62">
        <v>42</v>
      </c>
      <c r="J227" s="62">
        <v>58</v>
      </c>
      <c r="K227" s="63">
        <v>13090.56</v>
      </c>
      <c r="L227" s="63">
        <v>18077.439999999999</v>
      </c>
      <c r="M227" s="62">
        <v>42</v>
      </c>
      <c r="N227" s="62">
        <v>61</v>
      </c>
      <c r="O227" s="63">
        <v>13090.56</v>
      </c>
      <c r="P227" s="63">
        <v>19012.48</v>
      </c>
      <c r="Q227" s="62">
        <v>38</v>
      </c>
      <c r="R227" s="62">
        <v>81</v>
      </c>
      <c r="S227" s="63">
        <v>11843.84</v>
      </c>
      <c r="T227" s="63">
        <v>25246.080000000002</v>
      </c>
      <c r="U227" s="55" t="s">
        <v>1072</v>
      </c>
    </row>
    <row r="228" spans="1:21" ht="15">
      <c r="A228" s="55" t="s">
        <v>874</v>
      </c>
      <c r="B228" s="55" t="s">
        <v>1014</v>
      </c>
      <c r="C228" s="67">
        <v>8983943851</v>
      </c>
      <c r="D228" s="55" t="s">
        <v>457</v>
      </c>
      <c r="E228" s="55" t="s">
        <v>213</v>
      </c>
      <c r="F228" s="55" t="s">
        <v>683</v>
      </c>
      <c r="G228" s="55" t="s">
        <v>644</v>
      </c>
      <c r="H228" s="62">
        <v>6900</v>
      </c>
      <c r="I228" s="62">
        <v>6</v>
      </c>
      <c r="J228" s="62">
        <v>1</v>
      </c>
      <c r="K228" s="63">
        <v>1496.82</v>
      </c>
      <c r="L228" s="63">
        <v>249.47</v>
      </c>
      <c r="M228" s="62">
        <v>15</v>
      </c>
      <c r="N228" s="62">
        <v>57</v>
      </c>
      <c r="O228" s="63">
        <v>3742.05</v>
      </c>
      <c r="P228" s="63">
        <v>14219.79</v>
      </c>
      <c r="Q228" s="62">
        <v>16</v>
      </c>
      <c r="R228" s="62">
        <v>110</v>
      </c>
      <c r="S228" s="63">
        <v>3991.52</v>
      </c>
      <c r="T228" s="63">
        <v>27441.7</v>
      </c>
      <c r="U228" s="55" t="s">
        <v>1093</v>
      </c>
    </row>
    <row r="229" spans="1:21" ht="15">
      <c r="A229" s="55" t="s">
        <v>874</v>
      </c>
      <c r="B229" s="55" t="s">
        <v>1014</v>
      </c>
      <c r="C229" s="67">
        <v>8983943860</v>
      </c>
      <c r="D229" s="55" t="s">
        <v>457</v>
      </c>
      <c r="E229" s="55" t="s">
        <v>213</v>
      </c>
      <c r="F229" s="55" t="s">
        <v>683</v>
      </c>
      <c r="G229" s="55" t="s">
        <v>644</v>
      </c>
      <c r="H229" s="62">
        <v>0</v>
      </c>
      <c r="I229" s="62">
        <v>0</v>
      </c>
      <c r="J229" s="62">
        <v>7</v>
      </c>
      <c r="K229" s="63">
        <v>0</v>
      </c>
      <c r="L229" s="63">
        <v>2172.73</v>
      </c>
      <c r="M229" s="62">
        <v>0</v>
      </c>
      <c r="N229" s="62">
        <v>0</v>
      </c>
      <c r="O229" s="63">
        <v>0</v>
      </c>
      <c r="P229" s="63">
        <v>0</v>
      </c>
      <c r="Q229" s="62">
        <v>0</v>
      </c>
      <c r="R229" s="62">
        <v>0</v>
      </c>
      <c r="S229" s="63">
        <v>0</v>
      </c>
      <c r="T229" s="63">
        <v>0</v>
      </c>
      <c r="U229" s="55" t="s">
        <v>1137</v>
      </c>
    </row>
    <row r="230" spans="1:21" ht="15">
      <c r="A230" s="55" t="s">
        <v>874</v>
      </c>
      <c r="B230" s="55" t="s">
        <v>1014</v>
      </c>
      <c r="C230" s="67">
        <v>8983943862</v>
      </c>
      <c r="D230" s="55" t="s">
        <v>457</v>
      </c>
      <c r="E230" s="55" t="s">
        <v>213</v>
      </c>
      <c r="F230" s="55" t="s">
        <v>683</v>
      </c>
      <c r="G230" s="55" t="s">
        <v>644</v>
      </c>
      <c r="H230" s="62">
        <v>15975</v>
      </c>
      <c r="I230" s="62">
        <v>0</v>
      </c>
      <c r="J230" s="62">
        <v>0</v>
      </c>
      <c r="K230" s="63">
        <v>0</v>
      </c>
      <c r="L230" s="63">
        <v>0</v>
      </c>
      <c r="M230" s="62">
        <v>34</v>
      </c>
      <c r="N230" s="62">
        <v>34</v>
      </c>
      <c r="O230" s="63">
        <v>11664.38</v>
      </c>
      <c r="P230" s="63">
        <v>11664.38</v>
      </c>
      <c r="Q230" s="62">
        <v>29</v>
      </c>
      <c r="R230" s="62">
        <v>8</v>
      </c>
      <c r="S230" s="63">
        <v>9949.0300000000007</v>
      </c>
      <c r="T230" s="63">
        <v>2744.56</v>
      </c>
      <c r="U230" s="55" t="s">
        <v>1073</v>
      </c>
    </row>
    <row r="231" spans="1:21" ht="15">
      <c r="A231" s="55" t="s">
        <v>874</v>
      </c>
      <c r="B231" s="55" t="s">
        <v>1014</v>
      </c>
      <c r="C231" s="67">
        <v>8983947931</v>
      </c>
      <c r="D231" s="55" t="s">
        <v>568</v>
      </c>
      <c r="E231" s="55" t="s">
        <v>214</v>
      </c>
      <c r="F231" s="55" t="s">
        <v>683</v>
      </c>
      <c r="G231" s="55" t="s">
        <v>644</v>
      </c>
      <c r="H231" s="62">
        <v>0</v>
      </c>
      <c r="I231" s="62">
        <v>15</v>
      </c>
      <c r="J231" s="62">
        <v>66</v>
      </c>
      <c r="K231" s="63">
        <v>967.2</v>
      </c>
      <c r="L231" s="63">
        <v>4255.68</v>
      </c>
      <c r="M231" s="62">
        <v>16</v>
      </c>
      <c r="N231" s="62">
        <v>30</v>
      </c>
      <c r="O231" s="63">
        <v>1031.68</v>
      </c>
      <c r="P231" s="63">
        <v>1934.4</v>
      </c>
      <c r="Q231" s="62">
        <v>28</v>
      </c>
      <c r="R231" s="62">
        <v>12</v>
      </c>
      <c r="S231" s="63">
        <v>1805.44</v>
      </c>
      <c r="T231" s="63">
        <v>773.76</v>
      </c>
      <c r="U231" s="55" t="s">
        <v>1074</v>
      </c>
    </row>
    <row r="232" spans="1:21" ht="15">
      <c r="A232" s="55" t="s">
        <v>874</v>
      </c>
      <c r="B232" s="55" t="s">
        <v>1014</v>
      </c>
      <c r="C232" s="67">
        <v>8983954210</v>
      </c>
      <c r="D232" s="55" t="s">
        <v>568</v>
      </c>
      <c r="E232" s="55" t="s">
        <v>214</v>
      </c>
      <c r="F232" s="55" t="s">
        <v>683</v>
      </c>
      <c r="G232" s="55" t="s">
        <v>644</v>
      </c>
      <c r="H232" s="62">
        <v>47250</v>
      </c>
      <c r="I232" s="62">
        <v>4</v>
      </c>
      <c r="J232" s="62">
        <v>2</v>
      </c>
      <c r="K232" s="63">
        <v>365.68</v>
      </c>
      <c r="L232" s="63">
        <v>182.84</v>
      </c>
      <c r="M232" s="62">
        <v>7</v>
      </c>
      <c r="N232" s="62">
        <v>5</v>
      </c>
      <c r="O232" s="63">
        <v>639.94000000000005</v>
      </c>
      <c r="P232" s="63">
        <v>457.1</v>
      </c>
      <c r="Q232" s="62">
        <v>5</v>
      </c>
      <c r="R232" s="62">
        <v>4</v>
      </c>
      <c r="S232" s="63">
        <v>457.1</v>
      </c>
      <c r="T232" s="63">
        <v>365.68</v>
      </c>
      <c r="U232" s="55" t="s">
        <v>1075</v>
      </c>
    </row>
    <row r="233" spans="1:21" ht="15">
      <c r="A233" s="55" t="s">
        <v>874</v>
      </c>
      <c r="B233" s="55" t="s">
        <v>1014</v>
      </c>
      <c r="C233" s="55" t="s">
        <v>415</v>
      </c>
      <c r="D233" s="55" t="s">
        <v>416</v>
      </c>
      <c r="E233" s="55" t="s">
        <v>214</v>
      </c>
      <c r="F233" s="55" t="s">
        <v>683</v>
      </c>
      <c r="G233" s="55" t="s">
        <v>644</v>
      </c>
      <c r="H233" s="62">
        <v>0</v>
      </c>
      <c r="I233" s="62">
        <v>2</v>
      </c>
      <c r="J233" s="62">
        <v>0</v>
      </c>
      <c r="K233" s="63">
        <v>263.54000000000002</v>
      </c>
      <c r="L233" s="63">
        <v>0</v>
      </c>
      <c r="M233" s="62">
        <v>6</v>
      </c>
      <c r="N233" s="62">
        <v>13</v>
      </c>
      <c r="O233" s="63">
        <v>790.62</v>
      </c>
      <c r="P233" s="63">
        <v>1713.01</v>
      </c>
      <c r="Q233" s="62">
        <v>6</v>
      </c>
      <c r="R233" s="62">
        <v>7</v>
      </c>
      <c r="S233" s="63">
        <v>790.62</v>
      </c>
      <c r="T233" s="63">
        <v>922.39</v>
      </c>
      <c r="U233" s="55" t="s">
        <v>1094</v>
      </c>
    </row>
    <row r="234" spans="1:21" ht="15">
      <c r="A234" s="55" t="s">
        <v>874</v>
      </c>
      <c r="B234" s="55" t="s">
        <v>1014</v>
      </c>
      <c r="C234" s="55" t="s">
        <v>418</v>
      </c>
      <c r="D234" s="55" t="s">
        <v>419</v>
      </c>
      <c r="E234" s="55" t="s">
        <v>214</v>
      </c>
      <c r="F234" s="55" t="s">
        <v>683</v>
      </c>
      <c r="G234" s="55" t="s">
        <v>644</v>
      </c>
      <c r="H234" s="62">
        <v>0</v>
      </c>
      <c r="I234" s="62">
        <v>15</v>
      </c>
      <c r="J234" s="62">
        <v>23</v>
      </c>
      <c r="K234" s="63">
        <v>1211.0999999999999</v>
      </c>
      <c r="L234" s="63">
        <v>1857.02</v>
      </c>
      <c r="M234" s="62">
        <v>16</v>
      </c>
      <c r="N234" s="62">
        <v>18</v>
      </c>
      <c r="O234" s="63">
        <v>1291.8399999999999</v>
      </c>
      <c r="P234" s="63">
        <v>1453.32</v>
      </c>
      <c r="Q234" s="62">
        <v>14</v>
      </c>
      <c r="R234" s="62">
        <v>6</v>
      </c>
      <c r="S234" s="63">
        <v>1130.3599999999999</v>
      </c>
      <c r="T234" s="63">
        <v>484.44</v>
      </c>
      <c r="U234" s="55" t="s">
        <v>1095</v>
      </c>
    </row>
    <row r="235" spans="1:21" ht="15">
      <c r="A235" s="55" t="s">
        <v>874</v>
      </c>
      <c r="B235" s="55" t="s">
        <v>1014</v>
      </c>
      <c r="C235" s="55" t="s">
        <v>554</v>
      </c>
      <c r="D235" s="55" t="s">
        <v>555</v>
      </c>
      <c r="E235" s="55" t="s">
        <v>214</v>
      </c>
      <c r="F235" s="55" t="s">
        <v>683</v>
      </c>
      <c r="G235" s="55" t="s">
        <v>644</v>
      </c>
      <c r="H235" s="62">
        <v>0</v>
      </c>
      <c r="I235" s="62">
        <v>62</v>
      </c>
      <c r="J235" s="62">
        <v>121</v>
      </c>
      <c r="K235" s="63">
        <v>2088.7800000000002</v>
      </c>
      <c r="L235" s="63">
        <v>4076.49</v>
      </c>
      <c r="M235" s="62">
        <v>64</v>
      </c>
      <c r="N235" s="62">
        <v>102</v>
      </c>
      <c r="O235" s="63">
        <v>2156.16</v>
      </c>
      <c r="P235" s="63">
        <v>3436.38</v>
      </c>
      <c r="Q235" s="62">
        <v>54</v>
      </c>
      <c r="R235" s="62">
        <v>15</v>
      </c>
      <c r="S235" s="63">
        <v>1819.26</v>
      </c>
      <c r="T235" s="63">
        <v>505.35</v>
      </c>
      <c r="U235" s="55" t="s">
        <v>1096</v>
      </c>
    </row>
    <row r="236" spans="1:21" ht="15">
      <c r="A236" s="55" t="s">
        <v>874</v>
      </c>
      <c r="B236" s="55" t="s">
        <v>1014</v>
      </c>
      <c r="C236" s="55" t="s">
        <v>456</v>
      </c>
      <c r="D236" s="55" t="s">
        <v>457</v>
      </c>
      <c r="E236" s="55" t="s">
        <v>213</v>
      </c>
      <c r="F236" s="55" t="s">
        <v>683</v>
      </c>
      <c r="G236" s="55" t="s">
        <v>644</v>
      </c>
      <c r="H236" s="62">
        <v>0</v>
      </c>
      <c r="I236" s="62">
        <v>128</v>
      </c>
      <c r="J236" s="62">
        <v>138</v>
      </c>
      <c r="K236" s="63">
        <v>48152.32</v>
      </c>
      <c r="L236" s="63">
        <v>51914.22</v>
      </c>
      <c r="M236" s="62">
        <v>174</v>
      </c>
      <c r="N236" s="62">
        <v>259</v>
      </c>
      <c r="O236" s="63">
        <v>65457.06</v>
      </c>
      <c r="P236" s="63">
        <v>97433.21</v>
      </c>
      <c r="Q236" s="62">
        <v>134</v>
      </c>
      <c r="R236" s="62">
        <v>58</v>
      </c>
      <c r="S236" s="63">
        <v>50409.46</v>
      </c>
      <c r="T236" s="63">
        <v>21819.02</v>
      </c>
      <c r="U236" s="55" t="s">
        <v>1076</v>
      </c>
    </row>
    <row r="237" spans="1:21" ht="15">
      <c r="A237" s="55" t="s">
        <v>874</v>
      </c>
      <c r="B237" s="55" t="s">
        <v>1014</v>
      </c>
      <c r="C237" s="55" t="s">
        <v>464</v>
      </c>
      <c r="D237" s="55" t="s">
        <v>465</v>
      </c>
      <c r="E237" s="55" t="s">
        <v>224</v>
      </c>
      <c r="F237" s="55" t="s">
        <v>683</v>
      </c>
      <c r="G237" s="55" t="s">
        <v>644</v>
      </c>
      <c r="H237" s="62">
        <v>0</v>
      </c>
      <c r="I237" s="62">
        <v>142</v>
      </c>
      <c r="J237" s="62">
        <v>278</v>
      </c>
      <c r="K237" s="63">
        <v>1096.24</v>
      </c>
      <c r="L237" s="63">
        <v>2146.16</v>
      </c>
      <c r="M237" s="62">
        <v>151</v>
      </c>
      <c r="N237" s="62">
        <v>310</v>
      </c>
      <c r="O237" s="63">
        <v>1165.72</v>
      </c>
      <c r="P237" s="63">
        <v>2393.1999999999998</v>
      </c>
      <c r="Q237" s="62">
        <v>134</v>
      </c>
      <c r="R237" s="62">
        <v>0</v>
      </c>
      <c r="S237" s="63">
        <v>1034.48</v>
      </c>
      <c r="T237" s="63">
        <v>0</v>
      </c>
      <c r="U237" s="55" t="s">
        <v>464</v>
      </c>
    </row>
    <row r="238" spans="1:21" ht="15">
      <c r="A238" s="55" t="s">
        <v>874</v>
      </c>
      <c r="B238" s="55" t="s">
        <v>1014</v>
      </c>
      <c r="C238" s="55" t="s">
        <v>1173</v>
      </c>
      <c r="D238" s="55" t="s">
        <v>1174</v>
      </c>
      <c r="E238" s="55" t="s">
        <v>214</v>
      </c>
      <c r="F238" s="55" t="s">
        <v>683</v>
      </c>
      <c r="G238" s="55" t="s">
        <v>644</v>
      </c>
      <c r="H238" s="62">
        <v>0</v>
      </c>
      <c r="I238" s="62">
        <v>0</v>
      </c>
      <c r="J238" s="62">
        <v>27</v>
      </c>
      <c r="K238" s="63">
        <v>0</v>
      </c>
      <c r="L238" s="63">
        <v>3032.91</v>
      </c>
      <c r="M238" s="62">
        <v>0</v>
      </c>
      <c r="N238" s="62">
        <v>0</v>
      </c>
      <c r="O238" s="63">
        <v>0</v>
      </c>
      <c r="P238" s="63">
        <v>0</v>
      </c>
      <c r="Q238" s="62">
        <v>0</v>
      </c>
      <c r="R238" s="62">
        <v>0</v>
      </c>
      <c r="S238" s="63">
        <v>0</v>
      </c>
      <c r="T238" s="63">
        <v>0</v>
      </c>
      <c r="U238" s="55" t="s">
        <v>1173</v>
      </c>
    </row>
    <row r="239" spans="1:21" ht="15">
      <c r="A239" s="55" t="s">
        <v>874</v>
      </c>
      <c r="B239" s="55" t="s">
        <v>1014</v>
      </c>
      <c r="C239" s="55" t="s">
        <v>261</v>
      </c>
      <c r="D239" s="55" t="s">
        <v>757</v>
      </c>
      <c r="E239" s="55" t="s">
        <v>214</v>
      </c>
      <c r="F239" s="55" t="s">
        <v>683</v>
      </c>
      <c r="G239" s="55" t="s">
        <v>644</v>
      </c>
      <c r="H239" s="62">
        <v>0</v>
      </c>
      <c r="I239" s="62">
        <v>10</v>
      </c>
      <c r="J239" s="62">
        <v>0</v>
      </c>
      <c r="K239" s="63">
        <v>998.4</v>
      </c>
      <c r="L239" s="63">
        <v>0</v>
      </c>
      <c r="M239" s="62">
        <v>14</v>
      </c>
      <c r="N239" s="62">
        <v>0</v>
      </c>
      <c r="O239" s="63">
        <v>1397.76</v>
      </c>
      <c r="P239" s="63">
        <v>0</v>
      </c>
      <c r="Q239" s="62">
        <v>11</v>
      </c>
      <c r="R239" s="62">
        <v>0</v>
      </c>
      <c r="S239" s="63">
        <v>1098.24</v>
      </c>
      <c r="T239" s="63">
        <v>0</v>
      </c>
      <c r="U239" s="55" t="s">
        <v>1175</v>
      </c>
    </row>
    <row r="240" spans="1:21" ht="15">
      <c r="A240" s="55" t="s">
        <v>874</v>
      </c>
      <c r="B240" s="55" t="s">
        <v>1014</v>
      </c>
      <c r="C240" s="55" t="s">
        <v>481</v>
      </c>
      <c r="D240" s="55" t="s">
        <v>899</v>
      </c>
      <c r="E240" s="55" t="s">
        <v>214</v>
      </c>
      <c r="F240" s="55" t="s">
        <v>683</v>
      </c>
      <c r="G240" s="55" t="s">
        <v>644</v>
      </c>
      <c r="H240" s="62">
        <v>0</v>
      </c>
      <c r="I240" s="62">
        <v>96</v>
      </c>
      <c r="J240" s="62">
        <v>100</v>
      </c>
      <c r="K240" s="63">
        <v>8236.7999999999993</v>
      </c>
      <c r="L240" s="63">
        <v>8580</v>
      </c>
      <c r="M240" s="62">
        <v>115</v>
      </c>
      <c r="N240" s="62">
        <v>250</v>
      </c>
      <c r="O240" s="63">
        <v>9867</v>
      </c>
      <c r="P240" s="63">
        <v>21450</v>
      </c>
      <c r="Q240" s="62">
        <v>92</v>
      </c>
      <c r="R240" s="62">
        <v>0</v>
      </c>
      <c r="S240" s="63">
        <v>7893.6</v>
      </c>
      <c r="T240" s="63">
        <v>0</v>
      </c>
      <c r="U240" s="55" t="s">
        <v>481</v>
      </c>
    </row>
    <row r="241" spans="1:21" ht="15">
      <c r="A241" s="55" t="s">
        <v>874</v>
      </c>
      <c r="B241" s="55" t="s">
        <v>1014</v>
      </c>
      <c r="C241" s="55" t="s">
        <v>310</v>
      </c>
      <c r="D241" s="55" t="s">
        <v>311</v>
      </c>
      <c r="E241" s="55" t="s">
        <v>224</v>
      </c>
      <c r="F241" s="55" t="s">
        <v>683</v>
      </c>
      <c r="G241" s="55" t="s">
        <v>644</v>
      </c>
      <c r="H241" s="62">
        <v>0</v>
      </c>
      <c r="I241" s="62">
        <v>14302</v>
      </c>
      <c r="J241" s="62">
        <v>9740</v>
      </c>
      <c r="K241" s="63">
        <v>113414.86</v>
      </c>
      <c r="L241" s="63">
        <v>77238.2</v>
      </c>
      <c r="M241" s="62">
        <v>8797</v>
      </c>
      <c r="N241" s="62">
        <v>12640</v>
      </c>
      <c r="O241" s="63">
        <v>69760.210000000006</v>
      </c>
      <c r="P241" s="63">
        <v>100235.2</v>
      </c>
      <c r="Q241" s="62">
        <v>7031</v>
      </c>
      <c r="R241" s="62">
        <v>7745</v>
      </c>
      <c r="S241" s="63">
        <v>55755.83</v>
      </c>
      <c r="T241" s="63">
        <v>61417.85</v>
      </c>
      <c r="U241" s="55" t="s">
        <v>1079</v>
      </c>
    </row>
    <row r="242" spans="1:21" ht="15">
      <c r="A242" s="55" t="s">
        <v>874</v>
      </c>
      <c r="B242" s="55" t="s">
        <v>1014</v>
      </c>
      <c r="C242" s="55" t="s">
        <v>308</v>
      </c>
      <c r="D242" s="55" t="s">
        <v>895</v>
      </c>
      <c r="E242" s="55" t="s">
        <v>214</v>
      </c>
      <c r="F242" s="55" t="s">
        <v>683</v>
      </c>
      <c r="G242" s="55" t="s">
        <v>644</v>
      </c>
      <c r="H242" s="62">
        <v>0</v>
      </c>
      <c r="I242" s="62">
        <v>52</v>
      </c>
      <c r="J242" s="62">
        <v>0</v>
      </c>
      <c r="K242" s="63">
        <v>4978.4799999999996</v>
      </c>
      <c r="L242" s="63">
        <v>0</v>
      </c>
      <c r="M242" s="62">
        <v>52</v>
      </c>
      <c r="N242" s="62">
        <v>50</v>
      </c>
      <c r="O242" s="63">
        <v>4978.4799999999996</v>
      </c>
      <c r="P242" s="63">
        <v>4787</v>
      </c>
      <c r="Q242" s="62">
        <v>2</v>
      </c>
      <c r="R242" s="62">
        <v>0</v>
      </c>
      <c r="S242" s="63">
        <v>191.48</v>
      </c>
      <c r="T242" s="63">
        <v>0</v>
      </c>
      <c r="U242" s="55" t="s">
        <v>308</v>
      </c>
    </row>
    <row r="243" spans="1:21" ht="15">
      <c r="A243" s="55" t="s">
        <v>874</v>
      </c>
      <c r="B243" s="55" t="s">
        <v>1014</v>
      </c>
      <c r="C243" s="55" t="s">
        <v>567</v>
      </c>
      <c r="D243" s="55" t="s">
        <v>658</v>
      </c>
      <c r="E243" s="55" t="s">
        <v>214</v>
      </c>
      <c r="F243" s="55" t="s">
        <v>683</v>
      </c>
      <c r="G243" s="55" t="s">
        <v>644</v>
      </c>
      <c r="H243" s="62">
        <v>51300</v>
      </c>
      <c r="I243" s="62">
        <v>5</v>
      </c>
      <c r="J243" s="62">
        <v>45</v>
      </c>
      <c r="K243" s="63">
        <v>522.15</v>
      </c>
      <c r="L243" s="63">
        <v>4699.3500000000004</v>
      </c>
      <c r="M243" s="62">
        <v>12</v>
      </c>
      <c r="N243" s="62">
        <v>30</v>
      </c>
      <c r="O243" s="63">
        <v>1253.1600000000001</v>
      </c>
      <c r="P243" s="63">
        <v>3132.9</v>
      </c>
      <c r="Q243" s="62">
        <v>20</v>
      </c>
      <c r="R243" s="62">
        <v>0</v>
      </c>
      <c r="S243" s="63">
        <v>2088.6</v>
      </c>
      <c r="T243" s="63">
        <v>0</v>
      </c>
      <c r="U243" s="55" t="s">
        <v>1077</v>
      </c>
    </row>
    <row r="244" spans="1:21" ht="15">
      <c r="A244" s="55" t="s">
        <v>874</v>
      </c>
      <c r="B244" s="55" t="s">
        <v>1014</v>
      </c>
      <c r="C244" s="55" t="s">
        <v>391</v>
      </c>
      <c r="D244" s="55" t="s">
        <v>392</v>
      </c>
      <c r="E244" s="55" t="s">
        <v>214</v>
      </c>
      <c r="F244" s="55" t="s">
        <v>683</v>
      </c>
      <c r="G244" s="55" t="s">
        <v>644</v>
      </c>
      <c r="H244" s="62">
        <v>0</v>
      </c>
      <c r="I244" s="62">
        <v>0</v>
      </c>
      <c r="J244" s="62">
        <v>15</v>
      </c>
      <c r="K244" s="63">
        <v>0</v>
      </c>
      <c r="L244" s="63">
        <v>1219.3499999999999</v>
      </c>
      <c r="M244" s="62">
        <v>0</v>
      </c>
      <c r="N244" s="62">
        <v>0</v>
      </c>
      <c r="O244" s="63">
        <v>0</v>
      </c>
      <c r="P244" s="63">
        <v>0</v>
      </c>
      <c r="Q244" s="62">
        <v>0</v>
      </c>
      <c r="R244" s="62">
        <v>0</v>
      </c>
      <c r="S244" s="63">
        <v>0</v>
      </c>
      <c r="T244" s="63">
        <v>0</v>
      </c>
      <c r="U244" s="55" t="s">
        <v>1078</v>
      </c>
    </row>
    <row r="245" spans="1:21" ht="15">
      <c r="A245" s="55" t="s">
        <v>874</v>
      </c>
      <c r="B245" s="55" t="s">
        <v>1014</v>
      </c>
      <c r="C245" s="55" t="s">
        <v>396</v>
      </c>
      <c r="D245" s="55" t="s">
        <v>397</v>
      </c>
      <c r="E245" s="55" t="s">
        <v>214</v>
      </c>
      <c r="F245" s="55" t="s">
        <v>683</v>
      </c>
      <c r="G245" s="55" t="s">
        <v>644</v>
      </c>
      <c r="H245" s="62">
        <v>0</v>
      </c>
      <c r="I245" s="62">
        <v>12</v>
      </c>
      <c r="J245" s="62">
        <v>6</v>
      </c>
      <c r="K245" s="63">
        <v>1248.48</v>
      </c>
      <c r="L245" s="63">
        <v>624.24</v>
      </c>
      <c r="M245" s="62">
        <v>6</v>
      </c>
      <c r="N245" s="62">
        <v>14</v>
      </c>
      <c r="O245" s="63">
        <v>624.24</v>
      </c>
      <c r="P245" s="63">
        <v>1456.56</v>
      </c>
      <c r="Q245" s="62">
        <v>12</v>
      </c>
      <c r="R245" s="62">
        <v>12</v>
      </c>
      <c r="S245" s="63">
        <v>1248.48</v>
      </c>
      <c r="T245" s="63">
        <v>1248.48</v>
      </c>
      <c r="U245" s="55" t="s">
        <v>1098</v>
      </c>
    </row>
    <row r="246" spans="1:21" ht="15">
      <c r="A246" s="55" t="s">
        <v>874</v>
      </c>
      <c r="B246" s="55" t="s">
        <v>1014</v>
      </c>
      <c r="C246" s="55" t="s">
        <v>503</v>
      </c>
      <c r="D246" s="55" t="s">
        <v>827</v>
      </c>
      <c r="E246" s="55" t="s">
        <v>213</v>
      </c>
      <c r="F246" s="55" t="s">
        <v>683</v>
      </c>
      <c r="G246" s="55" t="s">
        <v>644</v>
      </c>
      <c r="H246" s="62">
        <v>0</v>
      </c>
      <c r="I246" s="62">
        <v>0</v>
      </c>
      <c r="J246" s="62">
        <v>0</v>
      </c>
      <c r="K246" s="63">
        <v>0</v>
      </c>
      <c r="L246" s="63">
        <v>0</v>
      </c>
      <c r="M246" s="62">
        <v>0</v>
      </c>
      <c r="N246" s="62">
        <v>0</v>
      </c>
      <c r="O246" s="63">
        <v>0</v>
      </c>
      <c r="P246" s="63">
        <v>0</v>
      </c>
      <c r="Q246" s="62">
        <v>4</v>
      </c>
      <c r="R246" s="62">
        <v>0</v>
      </c>
      <c r="S246" s="63">
        <v>3201.6</v>
      </c>
      <c r="T246" s="63">
        <v>0</v>
      </c>
      <c r="U246" s="55" t="s">
        <v>1176</v>
      </c>
    </row>
    <row r="247" spans="1:21" ht="15">
      <c r="A247" s="55" t="s">
        <v>874</v>
      </c>
      <c r="B247" s="55" t="s">
        <v>1014</v>
      </c>
      <c r="C247" s="55" t="s">
        <v>499</v>
      </c>
      <c r="D247" s="55" t="s">
        <v>815</v>
      </c>
      <c r="E247" s="55" t="s">
        <v>213</v>
      </c>
      <c r="F247" s="55" t="s">
        <v>683</v>
      </c>
      <c r="G247" s="55" t="s">
        <v>644</v>
      </c>
      <c r="H247" s="62">
        <v>0</v>
      </c>
      <c r="I247" s="62">
        <v>0</v>
      </c>
      <c r="J247" s="62">
        <v>45</v>
      </c>
      <c r="K247" s="63">
        <v>0</v>
      </c>
      <c r="L247" s="63">
        <v>15594.75</v>
      </c>
      <c r="M247" s="62">
        <v>22</v>
      </c>
      <c r="N247" s="62">
        <v>188</v>
      </c>
      <c r="O247" s="63">
        <v>7624.1</v>
      </c>
      <c r="P247" s="63">
        <v>65151.4</v>
      </c>
      <c r="Q247" s="62">
        <v>56</v>
      </c>
      <c r="R247" s="62">
        <v>25</v>
      </c>
      <c r="S247" s="63">
        <v>19406.8</v>
      </c>
      <c r="T247" s="63">
        <v>8663.75</v>
      </c>
      <c r="U247" s="55" t="s">
        <v>1177</v>
      </c>
    </row>
    <row r="248" spans="1:21" ht="15">
      <c r="A248" s="55" t="s">
        <v>875</v>
      </c>
      <c r="B248" s="55" t="s">
        <v>689</v>
      </c>
      <c r="C248" s="55" t="s">
        <v>679</v>
      </c>
      <c r="D248" s="55" t="s">
        <v>709</v>
      </c>
      <c r="E248" s="55" t="s">
        <v>213</v>
      </c>
      <c r="F248" s="55" t="s">
        <v>683</v>
      </c>
      <c r="G248" s="55" t="s">
        <v>640</v>
      </c>
      <c r="H248" s="62">
        <v>0</v>
      </c>
      <c r="I248" s="62">
        <v>9000</v>
      </c>
      <c r="J248" s="62">
        <v>9000</v>
      </c>
      <c r="K248" s="63">
        <v>158400</v>
      </c>
      <c r="L248" s="63">
        <v>158400</v>
      </c>
      <c r="M248" s="62">
        <v>10800</v>
      </c>
      <c r="N248" s="62">
        <v>10000</v>
      </c>
      <c r="O248" s="63">
        <v>190080</v>
      </c>
      <c r="P248" s="63">
        <v>176000</v>
      </c>
      <c r="Q248" s="62">
        <v>9400</v>
      </c>
      <c r="R248" s="62">
        <v>0</v>
      </c>
      <c r="S248" s="63">
        <v>165440</v>
      </c>
      <c r="T248" s="63">
        <v>0</v>
      </c>
      <c r="U248" s="55" t="s">
        <v>1178</v>
      </c>
    </row>
    <row r="249" spans="1:21" ht="15">
      <c r="A249" s="55" t="s">
        <v>875</v>
      </c>
      <c r="B249" s="55" t="s">
        <v>689</v>
      </c>
      <c r="C249" s="55" t="s">
        <v>952</v>
      </c>
      <c r="D249" s="55" t="s">
        <v>801</v>
      </c>
      <c r="E249" s="55" t="s">
        <v>213</v>
      </c>
      <c r="F249" s="55" t="s">
        <v>683</v>
      </c>
      <c r="G249" s="55" t="s">
        <v>640</v>
      </c>
      <c r="H249" s="62">
        <v>0</v>
      </c>
      <c r="I249" s="62">
        <v>40</v>
      </c>
      <c r="J249" s="62">
        <v>80</v>
      </c>
      <c r="K249" s="63">
        <v>727.6</v>
      </c>
      <c r="L249" s="63">
        <v>1455.2</v>
      </c>
      <c r="M249" s="62">
        <v>60</v>
      </c>
      <c r="N249" s="62">
        <v>60</v>
      </c>
      <c r="O249" s="63">
        <v>1091.4000000000001</v>
      </c>
      <c r="P249" s="63">
        <v>1091.4000000000001</v>
      </c>
      <c r="Q249" s="62">
        <v>60</v>
      </c>
      <c r="R249" s="62">
        <v>0</v>
      </c>
      <c r="S249" s="63">
        <v>1091.4000000000001</v>
      </c>
      <c r="T249" s="63">
        <v>0</v>
      </c>
      <c r="U249" s="55" t="s">
        <v>1179</v>
      </c>
    </row>
    <row r="250" spans="1:21" ht="15">
      <c r="A250" s="55" t="s">
        <v>875</v>
      </c>
      <c r="B250" s="55" t="s">
        <v>689</v>
      </c>
      <c r="C250" s="55" t="s">
        <v>690</v>
      </c>
      <c r="D250" s="55" t="s">
        <v>801</v>
      </c>
      <c r="E250" s="55" t="s">
        <v>213</v>
      </c>
      <c r="F250" s="55" t="s">
        <v>683</v>
      </c>
      <c r="G250" s="55" t="s">
        <v>640</v>
      </c>
      <c r="H250" s="62">
        <v>0</v>
      </c>
      <c r="I250" s="62">
        <v>9954</v>
      </c>
      <c r="J250" s="62">
        <v>9954</v>
      </c>
      <c r="K250" s="63">
        <v>309469.86</v>
      </c>
      <c r="L250" s="63">
        <v>309469.86</v>
      </c>
      <c r="M250" s="62">
        <v>11232</v>
      </c>
      <c r="N250" s="62">
        <v>10620</v>
      </c>
      <c r="O250" s="63">
        <v>349202.88</v>
      </c>
      <c r="P250" s="63">
        <v>330175.8</v>
      </c>
      <c r="Q250" s="62">
        <v>12132</v>
      </c>
      <c r="R250" s="62">
        <v>0</v>
      </c>
      <c r="S250" s="63">
        <v>377183.88</v>
      </c>
      <c r="T250" s="63">
        <v>0</v>
      </c>
      <c r="U250" s="55" t="s">
        <v>1180</v>
      </c>
    </row>
    <row r="251" spans="1:21" ht="15">
      <c r="A251" s="55" t="s">
        <v>875</v>
      </c>
      <c r="B251" s="55" t="s">
        <v>689</v>
      </c>
      <c r="C251" s="55" t="s">
        <v>962</v>
      </c>
      <c r="D251" s="55" t="s">
        <v>801</v>
      </c>
      <c r="E251" s="55" t="s">
        <v>213</v>
      </c>
      <c r="F251" s="55" t="s">
        <v>683</v>
      </c>
      <c r="G251" s="55" t="s">
        <v>640</v>
      </c>
      <c r="H251" s="62">
        <v>0</v>
      </c>
      <c r="I251" s="62">
        <v>18</v>
      </c>
      <c r="J251" s="62">
        <v>18</v>
      </c>
      <c r="K251" s="63">
        <v>559.62</v>
      </c>
      <c r="L251" s="63">
        <v>559.62</v>
      </c>
      <c r="M251" s="62">
        <v>18</v>
      </c>
      <c r="N251" s="62">
        <v>18</v>
      </c>
      <c r="O251" s="63">
        <v>559.62</v>
      </c>
      <c r="P251" s="63">
        <v>559.62</v>
      </c>
      <c r="Q251" s="62">
        <v>18</v>
      </c>
      <c r="R251" s="62">
        <v>0</v>
      </c>
      <c r="S251" s="63">
        <v>559.62</v>
      </c>
      <c r="T251" s="63">
        <v>0</v>
      </c>
      <c r="U251" s="55" t="s">
        <v>690</v>
      </c>
    </row>
    <row r="252" spans="1:21" ht="15">
      <c r="A252" s="55" t="s">
        <v>875</v>
      </c>
      <c r="B252" s="55" t="s">
        <v>689</v>
      </c>
      <c r="C252" s="55" t="s">
        <v>802</v>
      </c>
      <c r="D252" s="55" t="s">
        <v>688</v>
      </c>
      <c r="E252" s="55" t="s">
        <v>213</v>
      </c>
      <c r="F252" s="55" t="s">
        <v>683</v>
      </c>
      <c r="G252" s="55" t="s">
        <v>640</v>
      </c>
      <c r="H252" s="62">
        <v>0</v>
      </c>
      <c r="I252" s="62">
        <v>3900</v>
      </c>
      <c r="J252" s="62">
        <v>3360</v>
      </c>
      <c r="K252" s="63">
        <v>118677</v>
      </c>
      <c r="L252" s="63">
        <v>102244.8</v>
      </c>
      <c r="M252" s="62">
        <v>3180</v>
      </c>
      <c r="N252" s="62">
        <v>3180</v>
      </c>
      <c r="O252" s="63">
        <v>96767.4</v>
      </c>
      <c r="P252" s="63">
        <v>96767.4</v>
      </c>
      <c r="Q252" s="62">
        <v>4620</v>
      </c>
      <c r="R252" s="62">
        <v>0</v>
      </c>
      <c r="S252" s="63">
        <v>140586.6</v>
      </c>
      <c r="T252" s="63">
        <v>0</v>
      </c>
      <c r="U252" s="55" t="s">
        <v>802</v>
      </c>
    </row>
    <row r="253" spans="1:21" ht="15">
      <c r="A253" s="55" t="s">
        <v>875</v>
      </c>
      <c r="B253" s="55" t="s">
        <v>689</v>
      </c>
      <c r="C253" s="55" t="s">
        <v>1181</v>
      </c>
      <c r="D253" s="55" t="s">
        <v>801</v>
      </c>
      <c r="E253" s="55" t="s">
        <v>213</v>
      </c>
      <c r="F253" s="55" t="s">
        <v>683</v>
      </c>
      <c r="G253" s="55" t="s">
        <v>640</v>
      </c>
      <c r="H253" s="62">
        <v>0</v>
      </c>
      <c r="I253" s="62">
        <v>0</v>
      </c>
      <c r="J253" s="62">
        <v>0</v>
      </c>
      <c r="K253" s="63">
        <v>0</v>
      </c>
      <c r="L253" s="63">
        <v>0</v>
      </c>
      <c r="M253" s="62">
        <v>0</v>
      </c>
      <c r="N253" s="62">
        <v>30</v>
      </c>
      <c r="O253" s="63">
        <v>0</v>
      </c>
      <c r="P253" s="63">
        <v>912.9</v>
      </c>
      <c r="Q253" s="62">
        <v>0</v>
      </c>
      <c r="R253" s="62">
        <v>0</v>
      </c>
      <c r="S253" s="63">
        <v>0</v>
      </c>
      <c r="T253" s="63">
        <v>0</v>
      </c>
      <c r="U253" s="55" t="s">
        <v>1182</v>
      </c>
    </row>
    <row r="254" spans="1:21" ht="15">
      <c r="A254" s="55" t="s">
        <v>876</v>
      </c>
      <c r="B254" s="55" t="s">
        <v>604</v>
      </c>
      <c r="C254" s="55" t="s">
        <v>281</v>
      </c>
      <c r="D254" s="55" t="s">
        <v>282</v>
      </c>
      <c r="E254" s="55" t="s">
        <v>215</v>
      </c>
      <c r="F254" s="55" t="s">
        <v>683</v>
      </c>
      <c r="G254" s="55" t="s">
        <v>968</v>
      </c>
      <c r="H254" s="62">
        <v>0</v>
      </c>
      <c r="I254" s="62">
        <v>0</v>
      </c>
      <c r="J254" s="62">
        <v>0</v>
      </c>
      <c r="K254" s="63">
        <v>0</v>
      </c>
      <c r="L254" s="63">
        <v>0</v>
      </c>
      <c r="M254" s="62">
        <v>2655</v>
      </c>
      <c r="N254" s="62">
        <v>0</v>
      </c>
      <c r="O254" s="63">
        <v>2787.75</v>
      </c>
      <c r="P254" s="63">
        <v>0</v>
      </c>
      <c r="Q254" s="62">
        <v>2800</v>
      </c>
      <c r="R254" s="62">
        <v>2669</v>
      </c>
      <c r="S254" s="63">
        <v>2940</v>
      </c>
      <c r="T254" s="63">
        <v>2802.45</v>
      </c>
      <c r="U254" s="55" t="s">
        <v>1111</v>
      </c>
    </row>
    <row r="255" spans="1:21" ht="15">
      <c r="A255" s="55" t="s">
        <v>876</v>
      </c>
      <c r="B255" s="55" t="s">
        <v>604</v>
      </c>
      <c r="C255" s="55" t="s">
        <v>401</v>
      </c>
      <c r="D255" s="55" t="s">
        <v>402</v>
      </c>
      <c r="E255" s="55" t="s">
        <v>224</v>
      </c>
      <c r="F255" s="55" t="s">
        <v>683</v>
      </c>
      <c r="G255" s="55" t="s">
        <v>968</v>
      </c>
      <c r="H255" s="62">
        <v>0</v>
      </c>
      <c r="I255" s="62">
        <v>400</v>
      </c>
      <c r="J255" s="62">
        <v>0</v>
      </c>
      <c r="K255" s="63">
        <v>4128</v>
      </c>
      <c r="L255" s="63">
        <v>0</v>
      </c>
      <c r="M255" s="62">
        <v>312</v>
      </c>
      <c r="N255" s="62">
        <v>0</v>
      </c>
      <c r="O255" s="63">
        <v>3219.84</v>
      </c>
      <c r="P255" s="63">
        <v>0</v>
      </c>
      <c r="Q255" s="62">
        <v>0</v>
      </c>
      <c r="R255" s="62">
        <v>0</v>
      </c>
      <c r="S255" s="63">
        <v>0</v>
      </c>
      <c r="T255" s="63">
        <v>0</v>
      </c>
      <c r="U255" s="55" t="s">
        <v>1112</v>
      </c>
    </row>
    <row r="256" spans="1:21" ht="15">
      <c r="A256" s="55" t="s">
        <v>877</v>
      </c>
      <c r="B256" s="55" t="s">
        <v>602</v>
      </c>
      <c r="C256" s="55" t="s">
        <v>388</v>
      </c>
      <c r="D256" s="55" t="s">
        <v>742</v>
      </c>
      <c r="E256" s="55" t="s">
        <v>224</v>
      </c>
      <c r="F256" s="55" t="s">
        <v>683</v>
      </c>
      <c r="G256" s="55" t="s">
        <v>639</v>
      </c>
      <c r="H256" s="62">
        <v>0</v>
      </c>
      <c r="I256" s="62">
        <v>50</v>
      </c>
      <c r="J256" s="62">
        <v>0</v>
      </c>
      <c r="K256" s="63">
        <v>2440.5</v>
      </c>
      <c r="L256" s="63">
        <v>0</v>
      </c>
      <c r="M256" s="62">
        <v>50</v>
      </c>
      <c r="N256" s="62">
        <v>20</v>
      </c>
      <c r="O256" s="63">
        <v>2440.5</v>
      </c>
      <c r="P256" s="63">
        <v>976.2</v>
      </c>
      <c r="Q256" s="62">
        <v>50</v>
      </c>
      <c r="R256" s="62">
        <v>0</v>
      </c>
      <c r="S256" s="63">
        <v>2440.5</v>
      </c>
      <c r="T256" s="63">
        <v>0</v>
      </c>
      <c r="U256" s="55" t="s">
        <v>388</v>
      </c>
    </row>
    <row r="257" spans="1:21" ht="15">
      <c r="A257" s="55" t="s">
        <v>877</v>
      </c>
      <c r="B257" s="55" t="s">
        <v>602</v>
      </c>
      <c r="C257" s="55" t="s">
        <v>390</v>
      </c>
      <c r="D257" s="55" t="s">
        <v>743</v>
      </c>
      <c r="E257" s="55" t="s">
        <v>224</v>
      </c>
      <c r="F257" s="55" t="s">
        <v>683</v>
      </c>
      <c r="G257" s="55" t="s">
        <v>639</v>
      </c>
      <c r="H257" s="62">
        <v>0</v>
      </c>
      <c r="I257" s="62">
        <v>76</v>
      </c>
      <c r="J257" s="62">
        <v>70</v>
      </c>
      <c r="K257" s="63">
        <v>1617.28</v>
      </c>
      <c r="L257" s="63">
        <v>1489.6</v>
      </c>
      <c r="M257" s="62">
        <v>76</v>
      </c>
      <c r="N257" s="62">
        <v>90</v>
      </c>
      <c r="O257" s="63">
        <v>1617.28</v>
      </c>
      <c r="P257" s="63">
        <v>1915.2</v>
      </c>
      <c r="Q257" s="62">
        <v>76</v>
      </c>
      <c r="R257" s="62">
        <v>110</v>
      </c>
      <c r="S257" s="63">
        <v>1617.28</v>
      </c>
      <c r="T257" s="63">
        <v>2340.8000000000002</v>
      </c>
      <c r="U257" s="55" t="s">
        <v>390</v>
      </c>
    </row>
    <row r="258" spans="1:21" ht="15">
      <c r="A258" s="55" t="s">
        <v>877</v>
      </c>
      <c r="B258" s="55" t="s">
        <v>602</v>
      </c>
      <c r="C258" s="55" t="s">
        <v>279</v>
      </c>
      <c r="D258" s="55" t="s">
        <v>729</v>
      </c>
      <c r="E258" s="55" t="s">
        <v>224</v>
      </c>
      <c r="F258" s="55" t="s">
        <v>683</v>
      </c>
      <c r="G258" s="55" t="s">
        <v>639</v>
      </c>
      <c r="H258" s="62">
        <v>0</v>
      </c>
      <c r="I258" s="62">
        <v>172</v>
      </c>
      <c r="J258" s="62">
        <v>100</v>
      </c>
      <c r="K258" s="63">
        <v>3264.56</v>
      </c>
      <c r="L258" s="63">
        <v>1898</v>
      </c>
      <c r="M258" s="62">
        <v>172</v>
      </c>
      <c r="N258" s="62">
        <v>300</v>
      </c>
      <c r="O258" s="63">
        <v>3264.56</v>
      </c>
      <c r="P258" s="63">
        <v>5694</v>
      </c>
      <c r="Q258" s="62">
        <v>172</v>
      </c>
      <c r="R258" s="62">
        <v>200</v>
      </c>
      <c r="S258" s="63">
        <v>3264.56</v>
      </c>
      <c r="T258" s="63">
        <v>3796</v>
      </c>
      <c r="U258" s="55" t="s">
        <v>279</v>
      </c>
    </row>
    <row r="259" spans="1:21" ht="15">
      <c r="A259" s="55" t="s">
        <v>877</v>
      </c>
      <c r="B259" s="55" t="s">
        <v>602</v>
      </c>
      <c r="C259" s="55" t="s">
        <v>288</v>
      </c>
      <c r="D259" s="55" t="s">
        <v>744</v>
      </c>
      <c r="E259" s="55" t="s">
        <v>224</v>
      </c>
      <c r="F259" s="55" t="s">
        <v>683</v>
      </c>
      <c r="G259" s="55" t="s">
        <v>639</v>
      </c>
      <c r="H259" s="62">
        <v>0</v>
      </c>
      <c r="I259" s="62">
        <v>150</v>
      </c>
      <c r="J259" s="62">
        <v>0</v>
      </c>
      <c r="K259" s="63">
        <v>3714</v>
      </c>
      <c r="L259" s="63">
        <v>0</v>
      </c>
      <c r="M259" s="62">
        <v>150</v>
      </c>
      <c r="N259" s="62">
        <v>0</v>
      </c>
      <c r="O259" s="63">
        <v>3714</v>
      </c>
      <c r="P259" s="63">
        <v>0</v>
      </c>
      <c r="Q259" s="62">
        <v>150</v>
      </c>
      <c r="R259" s="62">
        <v>0</v>
      </c>
      <c r="S259" s="63">
        <v>3714</v>
      </c>
      <c r="T259" s="63">
        <v>0</v>
      </c>
      <c r="U259" s="55" t="s">
        <v>288</v>
      </c>
    </row>
    <row r="260" spans="1:21" ht="15">
      <c r="A260" s="55" t="s">
        <v>877</v>
      </c>
      <c r="B260" s="55" t="s">
        <v>602</v>
      </c>
      <c r="C260" s="55" t="s">
        <v>420</v>
      </c>
      <c r="D260" s="55" t="s">
        <v>421</v>
      </c>
      <c r="E260" s="55" t="s">
        <v>224</v>
      </c>
      <c r="F260" s="55" t="s">
        <v>683</v>
      </c>
      <c r="G260" s="55" t="s">
        <v>639</v>
      </c>
      <c r="H260" s="62">
        <v>0</v>
      </c>
      <c r="I260" s="62">
        <v>1</v>
      </c>
      <c r="J260" s="62">
        <v>0</v>
      </c>
      <c r="K260" s="63">
        <v>40.86</v>
      </c>
      <c r="L260" s="63">
        <v>0</v>
      </c>
      <c r="M260" s="62">
        <v>1</v>
      </c>
      <c r="N260" s="62">
        <v>0</v>
      </c>
      <c r="O260" s="63">
        <v>40.86</v>
      </c>
      <c r="P260" s="63">
        <v>0</v>
      </c>
      <c r="Q260" s="62">
        <v>1</v>
      </c>
      <c r="R260" s="62">
        <v>0</v>
      </c>
      <c r="S260" s="63">
        <v>40.86</v>
      </c>
      <c r="T260" s="63">
        <v>0</v>
      </c>
      <c r="U260" s="55" t="s">
        <v>1183</v>
      </c>
    </row>
    <row r="261" spans="1:21" ht="15">
      <c r="A261" s="55" t="s">
        <v>877</v>
      </c>
      <c r="B261" s="55" t="s">
        <v>602</v>
      </c>
      <c r="C261" s="55" t="s">
        <v>300</v>
      </c>
      <c r="D261" s="55" t="s">
        <v>687</v>
      </c>
      <c r="E261" s="55" t="s">
        <v>224</v>
      </c>
      <c r="F261" s="55" t="s">
        <v>683</v>
      </c>
      <c r="G261" s="55" t="s">
        <v>639</v>
      </c>
      <c r="H261" s="62">
        <v>0</v>
      </c>
      <c r="I261" s="62">
        <v>1500</v>
      </c>
      <c r="J261" s="62">
        <v>0</v>
      </c>
      <c r="K261" s="63">
        <v>37335</v>
      </c>
      <c r="L261" s="63">
        <v>0</v>
      </c>
      <c r="M261" s="62">
        <v>1500</v>
      </c>
      <c r="N261" s="62">
        <v>0</v>
      </c>
      <c r="O261" s="63">
        <v>37335</v>
      </c>
      <c r="P261" s="63">
        <v>0</v>
      </c>
      <c r="Q261" s="62">
        <v>1500</v>
      </c>
      <c r="R261" s="62">
        <v>0</v>
      </c>
      <c r="S261" s="63">
        <v>37335</v>
      </c>
      <c r="T261" s="63">
        <v>0</v>
      </c>
      <c r="U261" s="55" t="s">
        <v>300</v>
      </c>
    </row>
    <row r="262" spans="1:21" ht="15">
      <c r="A262" s="55" t="s">
        <v>877</v>
      </c>
      <c r="B262" s="55" t="s">
        <v>602</v>
      </c>
      <c r="C262" s="55" t="s">
        <v>352</v>
      </c>
      <c r="D262" s="55" t="s">
        <v>705</v>
      </c>
      <c r="E262" s="55" t="s">
        <v>224</v>
      </c>
      <c r="F262" s="55" t="s">
        <v>683</v>
      </c>
      <c r="G262" s="55" t="s">
        <v>639</v>
      </c>
      <c r="H262" s="62">
        <v>0</v>
      </c>
      <c r="I262" s="62">
        <v>87</v>
      </c>
      <c r="J262" s="62">
        <v>130</v>
      </c>
      <c r="K262" s="63">
        <v>2412.5100000000002</v>
      </c>
      <c r="L262" s="63">
        <v>3604.9</v>
      </c>
      <c r="M262" s="62">
        <v>87</v>
      </c>
      <c r="N262" s="62">
        <v>60</v>
      </c>
      <c r="O262" s="63">
        <v>2412.5100000000002</v>
      </c>
      <c r="P262" s="63">
        <v>1663.8</v>
      </c>
      <c r="Q262" s="62">
        <v>87</v>
      </c>
      <c r="R262" s="62">
        <v>180</v>
      </c>
      <c r="S262" s="63">
        <v>2412.5100000000002</v>
      </c>
      <c r="T262" s="63">
        <v>4991.3999999999996</v>
      </c>
      <c r="U262" s="55" t="s">
        <v>352</v>
      </c>
    </row>
    <row r="263" spans="1:21" ht="15">
      <c r="A263" s="55" t="s">
        <v>877</v>
      </c>
      <c r="B263" s="55" t="s">
        <v>602</v>
      </c>
      <c r="C263" s="55" t="s">
        <v>303</v>
      </c>
      <c r="D263" s="55" t="s">
        <v>808</v>
      </c>
      <c r="E263" s="55" t="s">
        <v>224</v>
      </c>
      <c r="F263" s="55" t="s">
        <v>683</v>
      </c>
      <c r="G263" s="55" t="s">
        <v>639</v>
      </c>
      <c r="H263" s="62">
        <v>0</v>
      </c>
      <c r="I263" s="62">
        <v>350</v>
      </c>
      <c r="J263" s="62">
        <v>0</v>
      </c>
      <c r="K263" s="63">
        <v>7021</v>
      </c>
      <c r="L263" s="63">
        <v>0</v>
      </c>
      <c r="M263" s="62">
        <v>350</v>
      </c>
      <c r="N263" s="62">
        <v>0</v>
      </c>
      <c r="O263" s="63">
        <v>7021</v>
      </c>
      <c r="P263" s="63">
        <v>0</v>
      </c>
      <c r="Q263" s="62">
        <v>350</v>
      </c>
      <c r="R263" s="62">
        <v>0</v>
      </c>
      <c r="S263" s="63">
        <v>7021</v>
      </c>
      <c r="T263" s="63">
        <v>0</v>
      </c>
      <c r="U263" s="55" t="s">
        <v>303</v>
      </c>
    </row>
    <row r="264" spans="1:21" ht="15">
      <c r="A264" s="55" t="s">
        <v>877</v>
      </c>
      <c r="B264" s="55" t="s">
        <v>602</v>
      </c>
      <c r="C264" s="55" t="s">
        <v>278</v>
      </c>
      <c r="D264" s="55" t="s">
        <v>730</v>
      </c>
      <c r="E264" s="55" t="s">
        <v>224</v>
      </c>
      <c r="F264" s="55" t="s">
        <v>683</v>
      </c>
      <c r="G264" s="55" t="s">
        <v>639</v>
      </c>
      <c r="H264" s="62">
        <v>0</v>
      </c>
      <c r="I264" s="62">
        <v>620</v>
      </c>
      <c r="J264" s="62">
        <v>700</v>
      </c>
      <c r="K264" s="63">
        <v>10440.799999999999</v>
      </c>
      <c r="L264" s="63">
        <v>11788</v>
      </c>
      <c r="M264" s="62">
        <v>620</v>
      </c>
      <c r="N264" s="62">
        <v>900</v>
      </c>
      <c r="O264" s="63">
        <v>10440.799999999999</v>
      </c>
      <c r="P264" s="63">
        <v>15156</v>
      </c>
      <c r="Q264" s="62">
        <v>620</v>
      </c>
      <c r="R264" s="62">
        <v>500</v>
      </c>
      <c r="S264" s="63">
        <v>10440.799999999999</v>
      </c>
      <c r="T264" s="63">
        <v>8420</v>
      </c>
      <c r="U264" s="55" t="s">
        <v>278</v>
      </c>
    </row>
    <row r="265" spans="1:21" ht="15">
      <c r="A265" s="55" t="s">
        <v>877</v>
      </c>
      <c r="B265" s="55" t="s">
        <v>602</v>
      </c>
      <c r="C265" s="55" t="s">
        <v>301</v>
      </c>
      <c r="D265" s="55" t="s">
        <v>302</v>
      </c>
      <c r="E265" s="55" t="s">
        <v>224</v>
      </c>
      <c r="F265" s="55" t="s">
        <v>683</v>
      </c>
      <c r="G265" s="55" t="s">
        <v>639</v>
      </c>
      <c r="H265" s="62">
        <v>0</v>
      </c>
      <c r="I265" s="62">
        <v>2000</v>
      </c>
      <c r="J265" s="62">
        <v>700</v>
      </c>
      <c r="K265" s="63">
        <v>55640</v>
      </c>
      <c r="L265" s="63">
        <v>19474</v>
      </c>
      <c r="M265" s="62">
        <v>2000</v>
      </c>
      <c r="N265" s="62">
        <v>1600</v>
      </c>
      <c r="O265" s="63">
        <v>55640</v>
      </c>
      <c r="P265" s="63">
        <v>44512</v>
      </c>
      <c r="Q265" s="62">
        <v>2000</v>
      </c>
      <c r="R265" s="62">
        <v>1700</v>
      </c>
      <c r="S265" s="63">
        <v>55640</v>
      </c>
      <c r="T265" s="63">
        <v>47294</v>
      </c>
      <c r="U265" s="55" t="s">
        <v>1184</v>
      </c>
    </row>
    <row r="266" spans="1:21" ht="15">
      <c r="A266" s="55" t="s">
        <v>877</v>
      </c>
      <c r="B266" s="55" t="s">
        <v>602</v>
      </c>
      <c r="C266" s="55" t="s">
        <v>350</v>
      </c>
      <c r="D266" s="55" t="s">
        <v>351</v>
      </c>
      <c r="E266" s="55" t="s">
        <v>224</v>
      </c>
      <c r="F266" s="55" t="s">
        <v>683</v>
      </c>
      <c r="G266" s="55" t="s">
        <v>639</v>
      </c>
      <c r="H266" s="62">
        <v>0</v>
      </c>
      <c r="I266" s="62">
        <v>0</v>
      </c>
      <c r="J266" s="62">
        <v>50</v>
      </c>
      <c r="K266" s="63">
        <v>0</v>
      </c>
      <c r="L266" s="63">
        <v>802</v>
      </c>
      <c r="M266" s="62">
        <v>0</v>
      </c>
      <c r="N266" s="62">
        <v>20</v>
      </c>
      <c r="O266" s="63">
        <v>0</v>
      </c>
      <c r="P266" s="63">
        <v>320.8</v>
      </c>
      <c r="Q266" s="62">
        <v>0</v>
      </c>
      <c r="R266" s="62">
        <v>0</v>
      </c>
      <c r="S266" s="63">
        <v>0</v>
      </c>
      <c r="T266" s="63">
        <v>0</v>
      </c>
      <c r="U266" s="55" t="s">
        <v>1185</v>
      </c>
    </row>
    <row r="267" spans="1:21" ht="15">
      <c r="A267" s="55" t="s">
        <v>877</v>
      </c>
      <c r="B267" s="55" t="s">
        <v>602</v>
      </c>
      <c r="C267" s="55" t="s">
        <v>403</v>
      </c>
      <c r="D267" s="55" t="s">
        <v>975</v>
      </c>
      <c r="E267" s="55" t="s">
        <v>224</v>
      </c>
      <c r="F267" s="55" t="s">
        <v>976</v>
      </c>
      <c r="G267" s="55" t="s">
        <v>639</v>
      </c>
      <c r="H267" s="62">
        <v>0</v>
      </c>
      <c r="I267" s="62">
        <v>16</v>
      </c>
      <c r="J267" s="62">
        <v>0</v>
      </c>
      <c r="K267" s="63">
        <v>293.27999999999997</v>
      </c>
      <c r="L267" s="63">
        <v>0</v>
      </c>
      <c r="M267" s="62">
        <v>16</v>
      </c>
      <c r="N267" s="62">
        <v>0</v>
      </c>
      <c r="O267" s="63">
        <v>293.27999999999997</v>
      </c>
      <c r="P267" s="63">
        <v>0</v>
      </c>
      <c r="Q267" s="62">
        <v>16</v>
      </c>
      <c r="R267" s="62">
        <v>0</v>
      </c>
      <c r="S267" s="63">
        <v>293.27999999999997</v>
      </c>
      <c r="T267" s="63">
        <v>0</v>
      </c>
      <c r="U267" s="55" t="s">
        <v>403</v>
      </c>
    </row>
    <row r="268" spans="1:21" ht="15">
      <c r="A268" s="55" t="s">
        <v>877</v>
      </c>
      <c r="B268" s="55" t="s">
        <v>602</v>
      </c>
      <c r="C268" s="55" t="s">
        <v>1186</v>
      </c>
      <c r="D268" s="55" t="s">
        <v>1187</v>
      </c>
      <c r="E268" s="55" t="s">
        <v>224</v>
      </c>
      <c r="F268" s="55" t="s">
        <v>683</v>
      </c>
      <c r="G268" s="55" t="s">
        <v>639</v>
      </c>
      <c r="H268" s="62">
        <v>0</v>
      </c>
      <c r="I268" s="62">
        <v>0</v>
      </c>
      <c r="J268" s="62">
        <v>0</v>
      </c>
      <c r="K268" s="63">
        <v>0</v>
      </c>
      <c r="L268" s="63">
        <v>0</v>
      </c>
      <c r="M268" s="62">
        <v>0</v>
      </c>
      <c r="N268" s="62">
        <v>0</v>
      </c>
      <c r="O268" s="63">
        <v>0</v>
      </c>
      <c r="P268" s="63">
        <v>0</v>
      </c>
      <c r="Q268" s="62">
        <v>0</v>
      </c>
      <c r="R268" s="62">
        <v>80</v>
      </c>
      <c r="S268" s="63">
        <v>0</v>
      </c>
      <c r="T268" s="63">
        <v>4246.3999999999996</v>
      </c>
      <c r="U268" s="55" t="s">
        <v>1186</v>
      </c>
    </row>
    <row r="269" spans="1:21" ht="15">
      <c r="A269" s="55" t="s">
        <v>877</v>
      </c>
      <c r="B269" s="55" t="s">
        <v>602</v>
      </c>
      <c r="C269" s="55" t="s">
        <v>289</v>
      </c>
      <c r="D269" s="55" t="s">
        <v>768</v>
      </c>
      <c r="E269" s="55" t="s">
        <v>213</v>
      </c>
      <c r="F269" s="55" t="s">
        <v>683</v>
      </c>
      <c r="G269" s="55" t="s">
        <v>639</v>
      </c>
      <c r="H269" s="62">
        <v>0</v>
      </c>
      <c r="I269" s="62">
        <v>0</v>
      </c>
      <c r="J269" s="62">
        <v>0</v>
      </c>
      <c r="K269" s="63">
        <v>0</v>
      </c>
      <c r="L269" s="63">
        <v>0</v>
      </c>
      <c r="M269" s="62">
        <v>0</v>
      </c>
      <c r="N269" s="62">
        <v>2</v>
      </c>
      <c r="O269" s="63">
        <v>0</v>
      </c>
      <c r="P269" s="63">
        <v>93.82</v>
      </c>
      <c r="Q269" s="62">
        <v>0</v>
      </c>
      <c r="R269" s="62">
        <v>0</v>
      </c>
      <c r="S269" s="63">
        <v>0</v>
      </c>
      <c r="T269" s="63">
        <v>0</v>
      </c>
      <c r="U269" s="55" t="s">
        <v>289</v>
      </c>
    </row>
    <row r="270" spans="1:21" ht="15">
      <c r="A270" s="55" t="s">
        <v>877</v>
      </c>
      <c r="B270" s="55" t="s">
        <v>602</v>
      </c>
      <c r="C270" s="55" t="s">
        <v>371</v>
      </c>
      <c r="D270" s="55" t="s">
        <v>372</v>
      </c>
      <c r="E270" s="55" t="s">
        <v>224</v>
      </c>
      <c r="F270" s="55" t="s">
        <v>683</v>
      </c>
      <c r="G270" s="55" t="s">
        <v>639</v>
      </c>
      <c r="H270" s="62">
        <v>0</v>
      </c>
      <c r="I270" s="62">
        <v>0</v>
      </c>
      <c r="J270" s="62">
        <v>10</v>
      </c>
      <c r="K270" s="63">
        <v>0</v>
      </c>
      <c r="L270" s="63">
        <v>284.39999999999998</v>
      </c>
      <c r="M270" s="62">
        <v>0</v>
      </c>
      <c r="N270" s="62">
        <v>20</v>
      </c>
      <c r="O270" s="63">
        <v>0</v>
      </c>
      <c r="P270" s="63">
        <v>568.79999999999995</v>
      </c>
      <c r="Q270" s="62">
        <v>0</v>
      </c>
      <c r="R270" s="62">
        <v>10</v>
      </c>
      <c r="S270" s="63">
        <v>0</v>
      </c>
      <c r="T270" s="63">
        <v>284.39999999999998</v>
      </c>
      <c r="U270" s="55" t="s">
        <v>1188</v>
      </c>
    </row>
    <row r="271" spans="1:21" ht="15">
      <c r="A271" s="55" t="s">
        <v>1189</v>
      </c>
      <c r="B271" s="55" t="s">
        <v>1190</v>
      </c>
      <c r="C271" s="55" t="s">
        <v>1191</v>
      </c>
      <c r="D271" s="55" t="s">
        <v>1192</v>
      </c>
      <c r="E271" s="55" t="s">
        <v>213</v>
      </c>
      <c r="F271" s="55" t="s">
        <v>683</v>
      </c>
      <c r="G271" s="55" t="s">
        <v>640</v>
      </c>
      <c r="H271" s="62">
        <v>0</v>
      </c>
      <c r="I271" s="62">
        <v>0</v>
      </c>
      <c r="J271" s="62">
        <v>76</v>
      </c>
      <c r="K271" s="63">
        <v>0</v>
      </c>
      <c r="L271" s="63">
        <v>3248.24</v>
      </c>
      <c r="M271" s="62">
        <v>0</v>
      </c>
      <c r="N271" s="62">
        <v>0</v>
      </c>
      <c r="O271" s="63">
        <v>0</v>
      </c>
      <c r="P271" s="63">
        <v>0</v>
      </c>
      <c r="Q271" s="62">
        <v>0</v>
      </c>
      <c r="R271" s="62">
        <v>0</v>
      </c>
      <c r="S271" s="63">
        <v>0</v>
      </c>
      <c r="T271" s="63">
        <v>0</v>
      </c>
      <c r="U271" s="55" t="s">
        <v>1193</v>
      </c>
    </row>
    <row r="272" spans="1:21" ht="15">
      <c r="A272" s="55" t="s">
        <v>984</v>
      </c>
      <c r="B272" s="55" t="s">
        <v>985</v>
      </c>
      <c r="C272" s="55" t="s">
        <v>972</v>
      </c>
      <c r="D272" s="55" t="s">
        <v>986</v>
      </c>
      <c r="E272" s="55" t="s">
        <v>213</v>
      </c>
      <c r="F272" s="55" t="s">
        <v>683</v>
      </c>
      <c r="G272" s="55" t="s">
        <v>643</v>
      </c>
      <c r="H272" s="62">
        <v>168000</v>
      </c>
      <c r="I272" s="62">
        <v>4000</v>
      </c>
      <c r="J272" s="62">
        <v>4000</v>
      </c>
      <c r="K272" s="63">
        <v>25760</v>
      </c>
      <c r="L272" s="63">
        <v>25760</v>
      </c>
      <c r="M272" s="62">
        <v>5000</v>
      </c>
      <c r="N272" s="62">
        <v>5000</v>
      </c>
      <c r="O272" s="63">
        <v>32200</v>
      </c>
      <c r="P272" s="63">
        <v>32200</v>
      </c>
      <c r="Q272" s="62">
        <v>9000</v>
      </c>
      <c r="R272" s="62">
        <v>9000</v>
      </c>
      <c r="S272" s="63">
        <v>57960</v>
      </c>
      <c r="T272" s="63">
        <v>57960</v>
      </c>
      <c r="U272" s="55" t="s">
        <v>1194</v>
      </c>
    </row>
    <row r="273" spans="1:21" ht="15">
      <c r="A273" s="55" t="s">
        <v>984</v>
      </c>
      <c r="B273" s="55" t="s">
        <v>985</v>
      </c>
      <c r="C273" s="55" t="s">
        <v>979</v>
      </c>
      <c r="D273" s="55" t="s">
        <v>986</v>
      </c>
      <c r="E273" s="55" t="s">
        <v>213</v>
      </c>
      <c r="F273" s="55" t="s">
        <v>684</v>
      </c>
      <c r="G273" s="55" t="s">
        <v>643</v>
      </c>
      <c r="H273" s="62">
        <v>168000</v>
      </c>
      <c r="I273" s="62">
        <v>3000</v>
      </c>
      <c r="J273" s="62">
        <v>3000</v>
      </c>
      <c r="K273" s="63">
        <v>19320</v>
      </c>
      <c r="L273" s="63">
        <v>19320</v>
      </c>
      <c r="M273" s="62">
        <v>4000</v>
      </c>
      <c r="N273" s="62">
        <v>5000</v>
      </c>
      <c r="O273" s="63">
        <v>25760</v>
      </c>
      <c r="P273" s="63">
        <v>32200</v>
      </c>
      <c r="Q273" s="62">
        <v>4000</v>
      </c>
      <c r="R273" s="62">
        <v>5000</v>
      </c>
      <c r="S273" s="63">
        <v>25760</v>
      </c>
      <c r="T273" s="63">
        <v>32200</v>
      </c>
      <c r="U273" s="55" t="s">
        <v>979</v>
      </c>
    </row>
    <row r="274" spans="1:21" ht="15">
      <c r="A274" s="55" t="s">
        <v>878</v>
      </c>
      <c r="B274" s="55" t="s">
        <v>610</v>
      </c>
      <c r="C274" s="67">
        <v>1511720971</v>
      </c>
      <c r="D274" s="55" t="s">
        <v>681</v>
      </c>
      <c r="E274" s="55" t="s">
        <v>224</v>
      </c>
      <c r="F274" s="55" t="s">
        <v>683</v>
      </c>
      <c r="G274" s="55" t="s">
        <v>638</v>
      </c>
      <c r="H274" s="62">
        <v>12600</v>
      </c>
      <c r="I274" s="62">
        <v>480</v>
      </c>
      <c r="J274" s="62">
        <v>480</v>
      </c>
      <c r="K274" s="63">
        <v>70881.600000000006</v>
      </c>
      <c r="L274" s="63">
        <v>70881.600000000006</v>
      </c>
      <c r="M274" s="62">
        <v>456</v>
      </c>
      <c r="N274" s="62">
        <v>456</v>
      </c>
      <c r="O274" s="63">
        <v>67337.52</v>
      </c>
      <c r="P274" s="63">
        <v>67337.52</v>
      </c>
      <c r="Q274" s="62">
        <v>840</v>
      </c>
      <c r="R274" s="62">
        <v>0</v>
      </c>
      <c r="S274" s="63">
        <v>124042.8</v>
      </c>
      <c r="T274" s="63">
        <v>0</v>
      </c>
      <c r="U274" s="55" t="s">
        <v>1080</v>
      </c>
    </row>
    <row r="275" spans="1:21" ht="15">
      <c r="A275" s="55" t="s">
        <v>878</v>
      </c>
      <c r="B275" s="55" t="s">
        <v>610</v>
      </c>
      <c r="C275" s="67">
        <v>8975579810</v>
      </c>
      <c r="D275" s="55" t="s">
        <v>737</v>
      </c>
      <c r="E275" s="55" t="s">
        <v>224</v>
      </c>
      <c r="F275" s="55" t="s">
        <v>683</v>
      </c>
      <c r="G275" s="55" t="s">
        <v>638</v>
      </c>
      <c r="H275" s="62">
        <v>0</v>
      </c>
      <c r="I275" s="62">
        <v>36</v>
      </c>
      <c r="J275" s="62">
        <v>36</v>
      </c>
      <c r="K275" s="63">
        <v>10517.04</v>
      </c>
      <c r="L275" s="63">
        <v>10517.04</v>
      </c>
      <c r="M275" s="62">
        <v>84</v>
      </c>
      <c r="N275" s="62">
        <v>84</v>
      </c>
      <c r="O275" s="63">
        <v>24539.759999999998</v>
      </c>
      <c r="P275" s="63">
        <v>24539.759999999998</v>
      </c>
      <c r="Q275" s="62">
        <v>120</v>
      </c>
      <c r="R275" s="62">
        <v>0</v>
      </c>
      <c r="S275" s="63">
        <v>35056.800000000003</v>
      </c>
      <c r="T275" s="63">
        <v>0</v>
      </c>
      <c r="U275" s="55" t="s">
        <v>1195</v>
      </c>
    </row>
    <row r="276" spans="1:21" ht="15">
      <c r="A276" s="55" t="s">
        <v>878</v>
      </c>
      <c r="B276" s="55" t="s">
        <v>610</v>
      </c>
      <c r="C276" s="55" t="s">
        <v>385</v>
      </c>
      <c r="D276" s="55" t="s">
        <v>386</v>
      </c>
      <c r="E276" s="55" t="s">
        <v>224</v>
      </c>
      <c r="F276" s="55" t="s">
        <v>683</v>
      </c>
      <c r="G276" s="55" t="s">
        <v>638</v>
      </c>
      <c r="H276" s="62">
        <v>15300</v>
      </c>
      <c r="I276" s="62">
        <v>144</v>
      </c>
      <c r="J276" s="62">
        <v>144</v>
      </c>
      <c r="K276" s="63">
        <v>5153.76</v>
      </c>
      <c r="L276" s="63">
        <v>5153.76</v>
      </c>
      <c r="M276" s="62">
        <v>0</v>
      </c>
      <c r="N276" s="62">
        <v>0</v>
      </c>
      <c r="O276" s="63">
        <v>0</v>
      </c>
      <c r="P276" s="63">
        <v>0</v>
      </c>
      <c r="Q276" s="62">
        <v>324</v>
      </c>
      <c r="R276" s="62">
        <v>0</v>
      </c>
      <c r="S276" s="63">
        <v>11595.96</v>
      </c>
      <c r="T276" s="63">
        <v>0</v>
      </c>
      <c r="U276" s="55" t="s">
        <v>385</v>
      </c>
    </row>
    <row r="277" spans="1:21" ht="15">
      <c r="A277" s="55" t="s">
        <v>878</v>
      </c>
      <c r="B277" s="55" t="s">
        <v>610</v>
      </c>
      <c r="C277" s="55" t="s">
        <v>418</v>
      </c>
      <c r="D277" s="55" t="s">
        <v>419</v>
      </c>
      <c r="E277" s="55" t="s">
        <v>214</v>
      </c>
      <c r="F277" s="55" t="s">
        <v>683</v>
      </c>
      <c r="G277" s="55" t="s">
        <v>638</v>
      </c>
      <c r="H277" s="62">
        <v>0</v>
      </c>
      <c r="I277" s="62">
        <v>72</v>
      </c>
      <c r="J277" s="62">
        <v>72</v>
      </c>
      <c r="K277" s="63">
        <v>5201.28</v>
      </c>
      <c r="L277" s="63">
        <v>5201.28</v>
      </c>
      <c r="M277" s="62">
        <v>168</v>
      </c>
      <c r="N277" s="62">
        <v>168</v>
      </c>
      <c r="O277" s="63">
        <v>12136.32</v>
      </c>
      <c r="P277" s="63">
        <v>12136.32</v>
      </c>
      <c r="Q277" s="62">
        <v>240</v>
      </c>
      <c r="R277" s="62">
        <v>0</v>
      </c>
      <c r="S277" s="63">
        <v>17337.599999999999</v>
      </c>
      <c r="T277" s="63">
        <v>0</v>
      </c>
      <c r="U277" s="55" t="s">
        <v>1095</v>
      </c>
    </row>
    <row r="278" spans="1:21" ht="15">
      <c r="A278" s="55" t="s">
        <v>878</v>
      </c>
      <c r="B278" s="55" t="s">
        <v>610</v>
      </c>
      <c r="C278" s="55" t="s">
        <v>554</v>
      </c>
      <c r="D278" s="55" t="s">
        <v>555</v>
      </c>
      <c r="E278" s="55" t="s">
        <v>214</v>
      </c>
      <c r="F278" s="55" t="s">
        <v>683</v>
      </c>
      <c r="G278" s="55" t="s">
        <v>638</v>
      </c>
      <c r="H278" s="62">
        <v>0</v>
      </c>
      <c r="I278" s="62">
        <v>1248</v>
      </c>
      <c r="J278" s="62">
        <v>1248</v>
      </c>
      <c r="K278" s="63">
        <v>39960.959999999999</v>
      </c>
      <c r="L278" s="63">
        <v>39960.959999999999</v>
      </c>
      <c r="M278" s="62">
        <v>1248</v>
      </c>
      <c r="N278" s="62">
        <v>1248</v>
      </c>
      <c r="O278" s="63">
        <v>39960.959999999999</v>
      </c>
      <c r="P278" s="63">
        <v>39960.959999999999</v>
      </c>
      <c r="Q278" s="62">
        <v>1968</v>
      </c>
      <c r="R278" s="62">
        <v>0</v>
      </c>
      <c r="S278" s="63">
        <v>63015.360000000001</v>
      </c>
      <c r="T278" s="63">
        <v>0</v>
      </c>
      <c r="U278" s="55" t="s">
        <v>1096</v>
      </c>
    </row>
    <row r="279" spans="1:21" ht="15">
      <c r="A279" s="55" t="s">
        <v>878</v>
      </c>
      <c r="B279" s="55" t="s">
        <v>610</v>
      </c>
      <c r="C279" s="55" t="s">
        <v>381</v>
      </c>
      <c r="D279" s="55" t="s">
        <v>382</v>
      </c>
      <c r="E279" s="55" t="s">
        <v>214</v>
      </c>
      <c r="F279" s="55" t="s">
        <v>683</v>
      </c>
      <c r="G279" s="55" t="s">
        <v>638</v>
      </c>
      <c r="H279" s="62">
        <v>0</v>
      </c>
      <c r="I279" s="62">
        <v>72</v>
      </c>
      <c r="J279" s="62">
        <v>72</v>
      </c>
      <c r="K279" s="63">
        <v>11941.2</v>
      </c>
      <c r="L279" s="63">
        <v>11941.2</v>
      </c>
      <c r="M279" s="62">
        <v>312</v>
      </c>
      <c r="N279" s="62">
        <v>312</v>
      </c>
      <c r="O279" s="63">
        <v>51745.2</v>
      </c>
      <c r="P279" s="63">
        <v>51745.2</v>
      </c>
      <c r="Q279" s="62">
        <v>312</v>
      </c>
      <c r="R279" s="62">
        <v>0</v>
      </c>
      <c r="S279" s="63">
        <v>51745.2</v>
      </c>
      <c r="T279" s="63">
        <v>0</v>
      </c>
      <c r="U279" s="55" t="s">
        <v>1097</v>
      </c>
    </row>
    <row r="280" spans="1:21" ht="15">
      <c r="A280" s="55" t="s">
        <v>878</v>
      </c>
      <c r="B280" s="55" t="s">
        <v>610</v>
      </c>
      <c r="C280" s="55" t="s">
        <v>396</v>
      </c>
      <c r="D280" s="55" t="s">
        <v>397</v>
      </c>
      <c r="E280" s="55" t="s">
        <v>214</v>
      </c>
      <c r="F280" s="55" t="s">
        <v>683</v>
      </c>
      <c r="G280" s="55" t="s">
        <v>638</v>
      </c>
      <c r="H280" s="62">
        <v>0</v>
      </c>
      <c r="I280" s="62">
        <v>672</v>
      </c>
      <c r="J280" s="62">
        <v>672</v>
      </c>
      <c r="K280" s="63">
        <v>58403.519999999997</v>
      </c>
      <c r="L280" s="63">
        <v>58403.519999999997</v>
      </c>
      <c r="M280" s="62">
        <v>1320</v>
      </c>
      <c r="N280" s="62">
        <v>1224</v>
      </c>
      <c r="O280" s="63">
        <v>114721.2</v>
      </c>
      <c r="P280" s="63">
        <v>106377.84</v>
      </c>
      <c r="Q280" s="62">
        <v>2232</v>
      </c>
      <c r="R280" s="62">
        <v>0</v>
      </c>
      <c r="S280" s="63">
        <v>193983.12</v>
      </c>
      <c r="T280" s="63">
        <v>0</v>
      </c>
      <c r="U280" s="55" t="s">
        <v>1098</v>
      </c>
    </row>
    <row r="281" spans="1:21" ht="15">
      <c r="A281" s="55" t="s">
        <v>1196</v>
      </c>
      <c r="B281" s="55" t="s">
        <v>1197</v>
      </c>
      <c r="C281" s="55" t="s">
        <v>526</v>
      </c>
      <c r="D281" s="55" t="s">
        <v>1198</v>
      </c>
      <c r="E281" s="55" t="s">
        <v>213</v>
      </c>
      <c r="F281" s="55" t="s">
        <v>683</v>
      </c>
      <c r="G281" s="55" t="s">
        <v>640</v>
      </c>
      <c r="H281" s="62">
        <v>0</v>
      </c>
      <c r="I281" s="62">
        <v>0</v>
      </c>
      <c r="J281" s="62">
        <v>300</v>
      </c>
      <c r="K281" s="63">
        <v>0</v>
      </c>
      <c r="L281" s="63">
        <v>153945</v>
      </c>
      <c r="M281" s="62">
        <v>0</v>
      </c>
      <c r="N281" s="62">
        <v>400</v>
      </c>
      <c r="O281" s="63">
        <v>0</v>
      </c>
      <c r="P281" s="63">
        <v>205260</v>
      </c>
      <c r="Q281" s="62">
        <v>0</v>
      </c>
      <c r="R281" s="62">
        <v>0</v>
      </c>
      <c r="S281" s="63">
        <v>0</v>
      </c>
      <c r="T281" s="63">
        <v>0</v>
      </c>
      <c r="U281" s="55" t="s">
        <v>1199</v>
      </c>
    </row>
    <row r="282" spans="1:21" ht="15">
      <c r="A282" s="55" t="s">
        <v>963</v>
      </c>
      <c r="B282" s="55" t="s">
        <v>596</v>
      </c>
      <c r="C282" s="55" t="s">
        <v>694</v>
      </c>
      <c r="D282" s="55" t="s">
        <v>791</v>
      </c>
      <c r="E282" s="55" t="s">
        <v>213</v>
      </c>
      <c r="F282" s="55" t="s">
        <v>683</v>
      </c>
      <c r="G282" s="55" t="s">
        <v>638</v>
      </c>
      <c r="H282" s="62">
        <v>7875</v>
      </c>
      <c r="I282" s="62">
        <v>1740</v>
      </c>
      <c r="J282" s="62">
        <v>1560</v>
      </c>
      <c r="K282" s="63">
        <v>88931.4</v>
      </c>
      <c r="L282" s="63">
        <v>79731.600000000006</v>
      </c>
      <c r="M282" s="62">
        <v>1470</v>
      </c>
      <c r="N282" s="62">
        <v>1560</v>
      </c>
      <c r="O282" s="63">
        <v>75131.7</v>
      </c>
      <c r="P282" s="63">
        <v>79731.600000000006</v>
      </c>
      <c r="Q282" s="62">
        <v>1860</v>
      </c>
      <c r="R282" s="62">
        <v>180</v>
      </c>
      <c r="S282" s="63">
        <v>95064.6</v>
      </c>
      <c r="T282" s="63">
        <v>9199.7999999999993</v>
      </c>
      <c r="U282" s="55" t="s">
        <v>694</v>
      </c>
    </row>
    <row r="283" spans="1:21" ht="15">
      <c r="A283" s="55" t="s">
        <v>963</v>
      </c>
      <c r="B283" s="55" t="s">
        <v>596</v>
      </c>
      <c r="C283" s="55" t="s">
        <v>695</v>
      </c>
      <c r="D283" s="55" t="s">
        <v>792</v>
      </c>
      <c r="E283" s="55" t="s">
        <v>213</v>
      </c>
      <c r="F283" s="55" t="s">
        <v>683</v>
      </c>
      <c r="G283" s="55" t="s">
        <v>638</v>
      </c>
      <c r="H283" s="62">
        <v>8400</v>
      </c>
      <c r="I283" s="62">
        <v>1740</v>
      </c>
      <c r="J283" s="62">
        <v>1560</v>
      </c>
      <c r="K283" s="63">
        <v>110124.6</v>
      </c>
      <c r="L283" s="63">
        <v>98732.4</v>
      </c>
      <c r="M283" s="62">
        <v>1470</v>
      </c>
      <c r="N283" s="62">
        <v>1565</v>
      </c>
      <c r="O283" s="63">
        <v>93036.3</v>
      </c>
      <c r="P283" s="63">
        <v>99048.85</v>
      </c>
      <c r="Q283" s="62">
        <v>1860</v>
      </c>
      <c r="R283" s="62">
        <v>180</v>
      </c>
      <c r="S283" s="63">
        <v>117719.4</v>
      </c>
      <c r="T283" s="63">
        <v>11392.2</v>
      </c>
      <c r="U283" s="55" t="s">
        <v>695</v>
      </c>
    </row>
    <row r="284" spans="1:21" ht="15">
      <c r="A284" s="55" t="s">
        <v>987</v>
      </c>
      <c r="B284" s="55" t="s">
        <v>988</v>
      </c>
      <c r="C284" s="55" t="s">
        <v>980</v>
      </c>
      <c r="D284" s="55" t="s">
        <v>989</v>
      </c>
      <c r="E284" s="55" t="s">
        <v>213</v>
      </c>
      <c r="F284" s="55" t="s">
        <v>683</v>
      </c>
      <c r="G284" s="55" t="s">
        <v>640</v>
      </c>
      <c r="H284" s="62">
        <v>0</v>
      </c>
      <c r="I284" s="62">
        <v>20</v>
      </c>
      <c r="J284" s="62">
        <v>0</v>
      </c>
      <c r="K284" s="63">
        <v>6368.4</v>
      </c>
      <c r="L284" s="63">
        <v>0</v>
      </c>
      <c r="M284" s="62">
        <v>35</v>
      </c>
      <c r="N284" s="62">
        <v>0</v>
      </c>
      <c r="O284" s="63">
        <v>11144.7</v>
      </c>
      <c r="P284" s="63">
        <v>0</v>
      </c>
      <c r="Q284" s="62">
        <v>20</v>
      </c>
      <c r="R284" s="62">
        <v>0</v>
      </c>
      <c r="S284" s="63">
        <v>6368.4</v>
      </c>
      <c r="T284" s="63">
        <v>0</v>
      </c>
      <c r="U284" s="55" t="s">
        <v>1200</v>
      </c>
    </row>
    <row r="285" spans="1:21" ht="15">
      <c r="A285" s="55" t="s">
        <v>1022</v>
      </c>
      <c r="B285" s="55" t="s">
        <v>610</v>
      </c>
      <c r="C285" s="55" t="s">
        <v>396</v>
      </c>
      <c r="D285" s="55" t="s">
        <v>397</v>
      </c>
      <c r="E285" s="55" t="s">
        <v>214</v>
      </c>
      <c r="F285" s="55" t="s">
        <v>683</v>
      </c>
      <c r="G285" s="55" t="s">
        <v>644</v>
      </c>
      <c r="H285" s="62">
        <v>0</v>
      </c>
      <c r="I285" s="62">
        <v>0</v>
      </c>
      <c r="J285" s="62">
        <v>6</v>
      </c>
      <c r="K285" s="63">
        <v>0</v>
      </c>
      <c r="L285" s="63">
        <v>534.78</v>
      </c>
      <c r="M285" s="62">
        <v>0</v>
      </c>
      <c r="N285" s="62">
        <v>18</v>
      </c>
      <c r="O285" s="63">
        <v>0</v>
      </c>
      <c r="P285" s="63">
        <v>1604.34</v>
      </c>
      <c r="Q285" s="62">
        <v>0</v>
      </c>
      <c r="R285" s="62">
        <v>6</v>
      </c>
      <c r="S285" s="63">
        <v>0</v>
      </c>
      <c r="T285" s="63">
        <v>534.78</v>
      </c>
      <c r="U285" s="55" t="s">
        <v>1098</v>
      </c>
    </row>
    <row r="286" spans="1:21" ht="15">
      <c r="A286" s="55" t="s">
        <v>990</v>
      </c>
      <c r="B286" s="55" t="s">
        <v>758</v>
      </c>
      <c r="C286" s="55" t="s">
        <v>940</v>
      </c>
      <c r="D286" s="55" t="s">
        <v>759</v>
      </c>
      <c r="E286" s="55" t="s">
        <v>213</v>
      </c>
      <c r="F286" s="55" t="s">
        <v>683</v>
      </c>
      <c r="G286" s="55" t="s">
        <v>640</v>
      </c>
      <c r="H286" s="62">
        <v>0</v>
      </c>
      <c r="I286" s="62">
        <v>420</v>
      </c>
      <c r="J286" s="62">
        <v>420</v>
      </c>
      <c r="K286" s="63">
        <v>72198</v>
      </c>
      <c r="L286" s="63">
        <v>72198</v>
      </c>
      <c r="M286" s="62">
        <v>0</v>
      </c>
      <c r="N286" s="62">
        <v>0</v>
      </c>
      <c r="O286" s="63">
        <v>0</v>
      </c>
      <c r="P286" s="63">
        <v>0</v>
      </c>
      <c r="Q286" s="62">
        <v>0</v>
      </c>
      <c r="R286" s="62">
        <v>0</v>
      </c>
      <c r="S286" s="63">
        <v>0</v>
      </c>
      <c r="T286" s="63">
        <v>0</v>
      </c>
      <c r="U286" s="55" t="s">
        <v>1201</v>
      </c>
    </row>
    <row r="287" spans="1:21" ht="15">
      <c r="A287" s="55" t="s">
        <v>879</v>
      </c>
      <c r="B287" s="55" t="s">
        <v>611</v>
      </c>
      <c r="C287" s="55" t="s">
        <v>559</v>
      </c>
      <c r="D287" s="55" t="s">
        <v>560</v>
      </c>
      <c r="E287" s="55" t="s">
        <v>213</v>
      </c>
      <c r="F287" s="55" t="s">
        <v>683</v>
      </c>
      <c r="G287" s="55" t="s">
        <v>640</v>
      </c>
      <c r="H287" s="62">
        <v>50400</v>
      </c>
      <c r="I287" s="62">
        <v>9000</v>
      </c>
      <c r="J287" s="62">
        <v>10800</v>
      </c>
      <c r="K287" s="63">
        <v>44190</v>
      </c>
      <c r="L287" s="63">
        <v>53028</v>
      </c>
      <c r="M287" s="62">
        <v>9600</v>
      </c>
      <c r="N287" s="62">
        <v>9600</v>
      </c>
      <c r="O287" s="63">
        <v>47136</v>
      </c>
      <c r="P287" s="63">
        <v>47136</v>
      </c>
      <c r="Q287" s="62">
        <v>9000</v>
      </c>
      <c r="R287" s="62">
        <v>9000</v>
      </c>
      <c r="S287" s="63">
        <v>44190</v>
      </c>
      <c r="T287" s="63">
        <v>44190</v>
      </c>
      <c r="U287" s="55" t="s">
        <v>559</v>
      </c>
    </row>
    <row r="288" spans="1:21" ht="15">
      <c r="A288" s="55" t="s">
        <v>879</v>
      </c>
      <c r="B288" s="55" t="s">
        <v>611</v>
      </c>
      <c r="C288" s="55" t="s">
        <v>561</v>
      </c>
      <c r="D288" s="55" t="s">
        <v>560</v>
      </c>
      <c r="E288" s="55" t="s">
        <v>213</v>
      </c>
      <c r="F288" s="55" t="s">
        <v>683</v>
      </c>
      <c r="G288" s="55" t="s">
        <v>640</v>
      </c>
      <c r="H288" s="62">
        <v>137250</v>
      </c>
      <c r="I288" s="62">
        <v>88800</v>
      </c>
      <c r="J288" s="62">
        <v>101200</v>
      </c>
      <c r="K288" s="63">
        <v>525696</v>
      </c>
      <c r="L288" s="63">
        <v>599104</v>
      </c>
      <c r="M288" s="62">
        <v>39600</v>
      </c>
      <c r="N288" s="62">
        <v>39600</v>
      </c>
      <c r="O288" s="63">
        <v>234432</v>
      </c>
      <c r="P288" s="63">
        <v>234432</v>
      </c>
      <c r="Q288" s="62">
        <v>89200</v>
      </c>
      <c r="R288" s="62">
        <v>48400</v>
      </c>
      <c r="S288" s="63">
        <v>528064</v>
      </c>
      <c r="T288" s="63">
        <v>286528</v>
      </c>
      <c r="U288" s="55" t="s">
        <v>561</v>
      </c>
    </row>
    <row r="289" spans="1:21" ht="15">
      <c r="A289" s="55" t="s">
        <v>879</v>
      </c>
      <c r="B289" s="55" t="s">
        <v>611</v>
      </c>
      <c r="C289" s="55" t="s">
        <v>539</v>
      </c>
      <c r="D289" s="55" t="s">
        <v>540</v>
      </c>
      <c r="E289" s="55" t="s">
        <v>213</v>
      </c>
      <c r="F289" s="55" t="s">
        <v>683</v>
      </c>
      <c r="G289" s="55" t="s">
        <v>640</v>
      </c>
      <c r="H289" s="62">
        <v>68225</v>
      </c>
      <c r="I289" s="62">
        <v>50000</v>
      </c>
      <c r="J289" s="62">
        <v>47520</v>
      </c>
      <c r="K289" s="63">
        <v>310000</v>
      </c>
      <c r="L289" s="63">
        <v>294624</v>
      </c>
      <c r="M289" s="62">
        <v>50000</v>
      </c>
      <c r="N289" s="62">
        <v>46800</v>
      </c>
      <c r="O289" s="63">
        <v>310000</v>
      </c>
      <c r="P289" s="63">
        <v>290160</v>
      </c>
      <c r="Q289" s="62">
        <v>50000</v>
      </c>
      <c r="R289" s="62">
        <v>35640</v>
      </c>
      <c r="S289" s="63">
        <v>310000</v>
      </c>
      <c r="T289" s="63">
        <v>220968</v>
      </c>
      <c r="U289" s="55" t="s">
        <v>539</v>
      </c>
    </row>
    <row r="290" spans="1:21" ht="15">
      <c r="A290" s="55" t="s">
        <v>879</v>
      </c>
      <c r="B290" s="55" t="s">
        <v>611</v>
      </c>
      <c r="C290" s="55" t="s">
        <v>495</v>
      </c>
      <c r="D290" s="55" t="s">
        <v>496</v>
      </c>
      <c r="E290" s="55" t="s">
        <v>213</v>
      </c>
      <c r="F290" s="55" t="s">
        <v>683</v>
      </c>
      <c r="G290" s="55" t="s">
        <v>640</v>
      </c>
      <c r="H290" s="62">
        <v>13650</v>
      </c>
      <c r="I290" s="62">
        <v>1900</v>
      </c>
      <c r="J290" s="62">
        <v>1900</v>
      </c>
      <c r="K290" s="63">
        <v>44270</v>
      </c>
      <c r="L290" s="63">
        <v>44270</v>
      </c>
      <c r="M290" s="62">
        <v>2000</v>
      </c>
      <c r="N290" s="62">
        <v>2000</v>
      </c>
      <c r="O290" s="63">
        <v>46600</v>
      </c>
      <c r="P290" s="63">
        <v>46600</v>
      </c>
      <c r="Q290" s="62">
        <v>2000</v>
      </c>
      <c r="R290" s="62">
        <v>2550</v>
      </c>
      <c r="S290" s="63">
        <v>46600</v>
      </c>
      <c r="T290" s="63">
        <v>59415</v>
      </c>
      <c r="U290" s="55" t="s">
        <v>495</v>
      </c>
    </row>
    <row r="291" spans="1:21" ht="15">
      <c r="A291" s="55" t="s">
        <v>879</v>
      </c>
      <c r="B291" s="55" t="s">
        <v>611</v>
      </c>
      <c r="C291" s="55" t="s">
        <v>497</v>
      </c>
      <c r="D291" s="55" t="s">
        <v>498</v>
      </c>
      <c r="E291" s="55" t="s">
        <v>213</v>
      </c>
      <c r="F291" s="55" t="s">
        <v>683</v>
      </c>
      <c r="G291" s="55" t="s">
        <v>640</v>
      </c>
      <c r="H291" s="62">
        <v>16800</v>
      </c>
      <c r="I291" s="62">
        <v>1900</v>
      </c>
      <c r="J291" s="62">
        <v>1900</v>
      </c>
      <c r="K291" s="63">
        <v>44270</v>
      </c>
      <c r="L291" s="63">
        <v>44270</v>
      </c>
      <c r="M291" s="62">
        <v>1900</v>
      </c>
      <c r="N291" s="62">
        <v>2150</v>
      </c>
      <c r="O291" s="63">
        <v>44270</v>
      </c>
      <c r="P291" s="63">
        <v>50095</v>
      </c>
      <c r="Q291" s="62">
        <v>1800</v>
      </c>
      <c r="R291" s="62">
        <v>2350</v>
      </c>
      <c r="S291" s="63">
        <v>41940</v>
      </c>
      <c r="T291" s="63">
        <v>54755</v>
      </c>
      <c r="U291" s="55" t="s">
        <v>497</v>
      </c>
    </row>
    <row r="292" spans="1:21" ht="15">
      <c r="A292" s="55" t="s">
        <v>879</v>
      </c>
      <c r="B292" s="55" t="s">
        <v>611</v>
      </c>
      <c r="C292" s="55" t="s">
        <v>484</v>
      </c>
      <c r="D292" s="55" t="s">
        <v>485</v>
      </c>
      <c r="E292" s="55" t="s">
        <v>213</v>
      </c>
      <c r="F292" s="55" t="s">
        <v>683</v>
      </c>
      <c r="G292" s="55" t="s">
        <v>640</v>
      </c>
      <c r="H292" s="62">
        <v>13650</v>
      </c>
      <c r="I292" s="62">
        <v>1800</v>
      </c>
      <c r="J292" s="62">
        <v>1800</v>
      </c>
      <c r="K292" s="63">
        <v>34488</v>
      </c>
      <c r="L292" s="63">
        <v>34488</v>
      </c>
      <c r="M292" s="62">
        <v>1800</v>
      </c>
      <c r="N292" s="62">
        <v>1980</v>
      </c>
      <c r="O292" s="63">
        <v>34488</v>
      </c>
      <c r="P292" s="63">
        <v>37936.800000000003</v>
      </c>
      <c r="Q292" s="62">
        <v>1890</v>
      </c>
      <c r="R292" s="62">
        <v>2880</v>
      </c>
      <c r="S292" s="63">
        <v>36212.400000000001</v>
      </c>
      <c r="T292" s="63">
        <v>55180.800000000003</v>
      </c>
      <c r="U292" s="55" t="s">
        <v>484</v>
      </c>
    </row>
    <row r="293" spans="1:21" ht="15">
      <c r="A293" s="55" t="s">
        <v>879</v>
      </c>
      <c r="B293" s="55" t="s">
        <v>611</v>
      </c>
      <c r="C293" s="55" t="s">
        <v>552</v>
      </c>
      <c r="D293" s="55" t="s">
        <v>553</v>
      </c>
      <c r="E293" s="55" t="s">
        <v>213</v>
      </c>
      <c r="F293" s="55" t="s">
        <v>683</v>
      </c>
      <c r="G293" s="55" t="s">
        <v>640</v>
      </c>
      <c r="H293" s="62">
        <v>102350</v>
      </c>
      <c r="I293" s="62">
        <v>94080</v>
      </c>
      <c r="J293" s="62">
        <v>129920</v>
      </c>
      <c r="K293" s="63">
        <v>819436.8</v>
      </c>
      <c r="L293" s="63">
        <v>1131603.2</v>
      </c>
      <c r="M293" s="62">
        <v>94080</v>
      </c>
      <c r="N293" s="62">
        <v>94080</v>
      </c>
      <c r="O293" s="63">
        <v>819436.8</v>
      </c>
      <c r="P293" s="63">
        <v>819436.8</v>
      </c>
      <c r="Q293" s="62">
        <v>94080</v>
      </c>
      <c r="R293" s="62">
        <v>105440</v>
      </c>
      <c r="S293" s="63">
        <v>819436.8</v>
      </c>
      <c r="T293" s="63">
        <v>918382.4</v>
      </c>
      <c r="U293" s="55" t="s">
        <v>1202</v>
      </c>
    </row>
    <row r="294" spans="1:21" ht="15">
      <c r="A294" s="55" t="s">
        <v>879</v>
      </c>
      <c r="B294" s="55" t="s">
        <v>611</v>
      </c>
      <c r="C294" s="55" t="s">
        <v>550</v>
      </c>
      <c r="D294" s="55" t="s">
        <v>551</v>
      </c>
      <c r="E294" s="55" t="s">
        <v>213</v>
      </c>
      <c r="F294" s="55" t="s">
        <v>683</v>
      </c>
      <c r="G294" s="55" t="s">
        <v>640</v>
      </c>
      <c r="H294" s="62">
        <v>192650</v>
      </c>
      <c r="I294" s="62">
        <v>120000</v>
      </c>
      <c r="J294" s="62">
        <v>135810</v>
      </c>
      <c r="K294" s="63">
        <v>824400</v>
      </c>
      <c r="L294" s="63">
        <v>933014.7</v>
      </c>
      <c r="M294" s="62">
        <v>120000</v>
      </c>
      <c r="N294" s="62">
        <v>110430</v>
      </c>
      <c r="O294" s="63">
        <v>824400</v>
      </c>
      <c r="P294" s="63">
        <v>758654.1</v>
      </c>
      <c r="Q294" s="62">
        <v>120000</v>
      </c>
      <c r="R294" s="62">
        <v>88830</v>
      </c>
      <c r="S294" s="63">
        <v>824400</v>
      </c>
      <c r="T294" s="63">
        <v>610262.1</v>
      </c>
      <c r="U294" s="55" t="s">
        <v>1203</v>
      </c>
    </row>
    <row r="295" spans="1:21" ht="15">
      <c r="A295" s="55" t="s">
        <v>879</v>
      </c>
      <c r="B295" s="55" t="s">
        <v>611</v>
      </c>
      <c r="C295" s="55" t="s">
        <v>562</v>
      </c>
      <c r="D295" s="55" t="s">
        <v>745</v>
      </c>
      <c r="E295" s="55" t="s">
        <v>213</v>
      </c>
      <c r="F295" s="55" t="s">
        <v>683</v>
      </c>
      <c r="G295" s="55" t="s">
        <v>640</v>
      </c>
      <c r="H295" s="62">
        <v>54575</v>
      </c>
      <c r="I295" s="62">
        <v>51000</v>
      </c>
      <c r="J295" s="62">
        <v>63600</v>
      </c>
      <c r="K295" s="63">
        <v>387600</v>
      </c>
      <c r="L295" s="63">
        <v>483360</v>
      </c>
      <c r="M295" s="62">
        <v>51000</v>
      </c>
      <c r="N295" s="62">
        <v>60000</v>
      </c>
      <c r="O295" s="63">
        <v>387600</v>
      </c>
      <c r="P295" s="63">
        <v>456000</v>
      </c>
      <c r="Q295" s="62">
        <v>51000</v>
      </c>
      <c r="R295" s="62">
        <v>24300</v>
      </c>
      <c r="S295" s="63">
        <v>387600</v>
      </c>
      <c r="T295" s="63">
        <v>184680</v>
      </c>
      <c r="U295" s="55" t="s">
        <v>562</v>
      </c>
    </row>
    <row r="296" spans="1:21" ht="15">
      <c r="A296" s="55" t="s">
        <v>1204</v>
      </c>
      <c r="B296" s="55" t="s">
        <v>1205</v>
      </c>
      <c r="C296" s="55" t="s">
        <v>628</v>
      </c>
      <c r="D296" s="55" t="s">
        <v>1206</v>
      </c>
      <c r="E296" s="55" t="s">
        <v>224</v>
      </c>
      <c r="F296" s="55" t="s">
        <v>683</v>
      </c>
      <c r="G296" s="55" t="s">
        <v>643</v>
      </c>
      <c r="H296" s="62">
        <v>0</v>
      </c>
      <c r="I296" s="62">
        <v>0</v>
      </c>
      <c r="J296" s="62">
        <v>1051</v>
      </c>
      <c r="K296" s="63">
        <v>0</v>
      </c>
      <c r="L296" s="63">
        <v>27904.05</v>
      </c>
      <c r="M296" s="62">
        <v>0</v>
      </c>
      <c r="N296" s="62">
        <v>0</v>
      </c>
      <c r="O296" s="63">
        <v>0</v>
      </c>
      <c r="P296" s="63">
        <v>0</v>
      </c>
      <c r="Q296" s="62">
        <v>0</v>
      </c>
      <c r="R296" s="62">
        <v>0</v>
      </c>
      <c r="S296" s="63">
        <v>0</v>
      </c>
      <c r="T296" s="63">
        <v>0</v>
      </c>
      <c r="U296" s="55" t="s">
        <v>1207</v>
      </c>
    </row>
    <row r="297" spans="1:21" ht="15">
      <c r="A297" s="55" t="s">
        <v>922</v>
      </c>
      <c r="B297" s="55" t="s">
        <v>923</v>
      </c>
      <c r="C297" s="55" t="s">
        <v>649</v>
      </c>
      <c r="D297" s="55" t="s">
        <v>924</v>
      </c>
      <c r="E297" s="55" t="s">
        <v>213</v>
      </c>
      <c r="F297" s="55" t="s">
        <v>683</v>
      </c>
      <c r="G297" s="55" t="s">
        <v>640</v>
      </c>
      <c r="H297" s="62">
        <v>0</v>
      </c>
      <c r="I297" s="62">
        <v>2400</v>
      </c>
      <c r="J297" s="62">
        <v>4800</v>
      </c>
      <c r="K297" s="63">
        <v>0</v>
      </c>
      <c r="L297" s="63">
        <v>0</v>
      </c>
      <c r="M297" s="62">
        <v>2400</v>
      </c>
      <c r="N297" s="62">
        <v>2400</v>
      </c>
      <c r="O297" s="63">
        <v>0</v>
      </c>
      <c r="P297" s="63">
        <v>0</v>
      </c>
      <c r="Q297" s="62">
        <v>2400</v>
      </c>
      <c r="R297" s="62">
        <v>0</v>
      </c>
      <c r="S297" s="63">
        <v>0</v>
      </c>
      <c r="T297" s="63">
        <v>0</v>
      </c>
      <c r="U297" s="55" t="s">
        <v>649</v>
      </c>
    </row>
    <row r="298" spans="1:21" ht="15">
      <c r="A298" s="55" t="s">
        <v>903</v>
      </c>
      <c r="B298" s="55" t="s">
        <v>904</v>
      </c>
      <c r="C298" s="55" t="s">
        <v>908</v>
      </c>
      <c r="D298" s="55" t="s">
        <v>994</v>
      </c>
      <c r="E298" s="55" t="s">
        <v>213</v>
      </c>
      <c r="F298" s="55" t="s">
        <v>683</v>
      </c>
      <c r="G298" s="55" t="s">
        <v>637</v>
      </c>
      <c r="H298" s="62">
        <v>0</v>
      </c>
      <c r="I298" s="62">
        <v>52000</v>
      </c>
      <c r="J298" s="62">
        <v>0</v>
      </c>
      <c r="K298" s="63">
        <v>1950000</v>
      </c>
      <c r="L298" s="63">
        <v>0</v>
      </c>
      <c r="M298" s="62">
        <v>21000</v>
      </c>
      <c r="N298" s="62">
        <v>35000</v>
      </c>
      <c r="O298" s="63">
        <v>787500</v>
      </c>
      <c r="P298" s="63">
        <v>1312500</v>
      </c>
      <c r="Q298" s="62">
        <v>44008</v>
      </c>
      <c r="R298" s="62">
        <v>17500</v>
      </c>
      <c r="S298" s="63">
        <v>1650300</v>
      </c>
      <c r="T298" s="63">
        <v>656250</v>
      </c>
      <c r="U298" s="55" t="s">
        <v>908</v>
      </c>
    </row>
    <row r="299" spans="1:21" ht="15">
      <c r="A299" s="55" t="s">
        <v>880</v>
      </c>
      <c r="B299" s="55" t="s">
        <v>710</v>
      </c>
      <c r="C299" s="55" t="s">
        <v>834</v>
      </c>
      <c r="D299" s="55" t="s">
        <v>835</v>
      </c>
      <c r="E299" s="55" t="s">
        <v>213</v>
      </c>
      <c r="F299" s="55" t="s">
        <v>683</v>
      </c>
      <c r="G299" s="55" t="s">
        <v>639</v>
      </c>
      <c r="H299" s="62">
        <v>44950</v>
      </c>
      <c r="I299" s="62">
        <v>27898</v>
      </c>
      <c r="J299" s="62">
        <v>27555</v>
      </c>
      <c r="K299" s="63">
        <v>1037247.64</v>
      </c>
      <c r="L299" s="63">
        <v>1024494.9</v>
      </c>
      <c r="M299" s="62">
        <v>27820</v>
      </c>
      <c r="N299" s="62">
        <v>25614</v>
      </c>
      <c r="O299" s="63">
        <v>1034347.6</v>
      </c>
      <c r="P299" s="63">
        <v>952328.52</v>
      </c>
      <c r="Q299" s="62">
        <v>27800</v>
      </c>
      <c r="R299" s="62">
        <v>0</v>
      </c>
      <c r="S299" s="63">
        <v>1033604</v>
      </c>
      <c r="T299" s="63">
        <v>0</v>
      </c>
      <c r="U299" s="55" t="s">
        <v>834</v>
      </c>
    </row>
    <row r="300" spans="1:21" ht="15">
      <c r="A300" s="55" t="s">
        <v>880</v>
      </c>
      <c r="B300" s="55" t="s">
        <v>710</v>
      </c>
      <c r="C300" s="55" t="s">
        <v>517</v>
      </c>
      <c r="D300" s="55" t="s">
        <v>518</v>
      </c>
      <c r="E300" s="55" t="s">
        <v>213</v>
      </c>
      <c r="F300" s="55" t="s">
        <v>683</v>
      </c>
      <c r="G300" s="55" t="s">
        <v>639</v>
      </c>
      <c r="H300" s="62">
        <v>0</v>
      </c>
      <c r="I300" s="62">
        <v>1875</v>
      </c>
      <c r="J300" s="62">
        <v>1749</v>
      </c>
      <c r="K300" s="63">
        <v>27300</v>
      </c>
      <c r="L300" s="63">
        <v>25465.439999999999</v>
      </c>
      <c r="M300" s="62">
        <v>1293</v>
      </c>
      <c r="N300" s="62">
        <v>1103</v>
      </c>
      <c r="O300" s="63">
        <v>18826.080000000002</v>
      </c>
      <c r="P300" s="63">
        <v>16059.68</v>
      </c>
      <c r="Q300" s="62">
        <v>1420</v>
      </c>
      <c r="R300" s="62">
        <v>99</v>
      </c>
      <c r="S300" s="63">
        <v>20675.2</v>
      </c>
      <c r="T300" s="63">
        <v>1441.44</v>
      </c>
      <c r="U300" s="55" t="s">
        <v>1208</v>
      </c>
    </row>
    <row r="301" spans="1:21" ht="15">
      <c r="A301" s="55" t="s">
        <v>880</v>
      </c>
      <c r="B301" s="55" t="s">
        <v>710</v>
      </c>
      <c r="C301" s="55" t="s">
        <v>753</v>
      </c>
      <c r="D301" s="55" t="s">
        <v>754</v>
      </c>
      <c r="E301" s="55" t="s">
        <v>213</v>
      </c>
      <c r="F301" s="55" t="s">
        <v>683</v>
      </c>
      <c r="G301" s="55" t="s">
        <v>639</v>
      </c>
      <c r="H301" s="62">
        <v>0</v>
      </c>
      <c r="I301" s="62">
        <v>1299</v>
      </c>
      <c r="J301" s="62">
        <v>1265</v>
      </c>
      <c r="K301" s="63">
        <v>99191.64</v>
      </c>
      <c r="L301" s="63">
        <v>96595.4</v>
      </c>
      <c r="M301" s="62">
        <v>931</v>
      </c>
      <c r="N301" s="62">
        <v>995</v>
      </c>
      <c r="O301" s="63">
        <v>71091.16</v>
      </c>
      <c r="P301" s="63">
        <v>75978.2</v>
      </c>
      <c r="Q301" s="62">
        <v>2068</v>
      </c>
      <c r="R301" s="62">
        <v>296</v>
      </c>
      <c r="S301" s="63">
        <v>157912.48000000001</v>
      </c>
      <c r="T301" s="63">
        <v>22602.560000000001</v>
      </c>
      <c r="U301" s="55" t="s">
        <v>1209</v>
      </c>
    </row>
    <row r="302" spans="1:21" ht="15">
      <c r="A302" s="55" t="s">
        <v>880</v>
      </c>
      <c r="B302" s="55" t="s">
        <v>710</v>
      </c>
      <c r="C302" s="55" t="s">
        <v>500</v>
      </c>
      <c r="D302" s="55" t="s">
        <v>501</v>
      </c>
      <c r="E302" s="55" t="s">
        <v>213</v>
      </c>
      <c r="F302" s="55" t="s">
        <v>683</v>
      </c>
      <c r="G302" s="55" t="s">
        <v>639</v>
      </c>
      <c r="H302" s="62">
        <v>0</v>
      </c>
      <c r="I302" s="62">
        <v>345</v>
      </c>
      <c r="J302" s="62">
        <v>319</v>
      </c>
      <c r="K302" s="63">
        <v>18616.2</v>
      </c>
      <c r="L302" s="63">
        <v>17213.240000000002</v>
      </c>
      <c r="M302" s="62">
        <v>113</v>
      </c>
      <c r="N302" s="62">
        <v>131</v>
      </c>
      <c r="O302" s="63">
        <v>6097.48</v>
      </c>
      <c r="P302" s="63">
        <v>7068.76</v>
      </c>
      <c r="Q302" s="62">
        <v>411</v>
      </c>
      <c r="R302" s="62">
        <v>68</v>
      </c>
      <c r="S302" s="63">
        <v>22177.56</v>
      </c>
      <c r="T302" s="63">
        <v>3669.28</v>
      </c>
      <c r="U302" s="55" t="s">
        <v>1210</v>
      </c>
    </row>
    <row r="303" spans="1:21" ht="15">
      <c r="A303" s="55" t="s">
        <v>881</v>
      </c>
      <c r="B303" s="55" t="s">
        <v>828</v>
      </c>
      <c r="C303" s="55" t="s">
        <v>829</v>
      </c>
      <c r="D303" s="55" t="s">
        <v>830</v>
      </c>
      <c r="E303" s="55" t="s">
        <v>215</v>
      </c>
      <c r="F303" s="55" t="s">
        <v>683</v>
      </c>
      <c r="G303" s="55" t="s">
        <v>640</v>
      </c>
      <c r="H303" s="62">
        <v>0</v>
      </c>
      <c r="I303" s="62">
        <v>200000</v>
      </c>
      <c r="J303" s="62">
        <v>117000</v>
      </c>
      <c r="K303" s="63">
        <v>1044000</v>
      </c>
      <c r="L303" s="63">
        <v>610740</v>
      </c>
      <c r="M303" s="62">
        <v>217000</v>
      </c>
      <c r="N303" s="62">
        <v>229000</v>
      </c>
      <c r="O303" s="63">
        <v>1132740</v>
      </c>
      <c r="P303" s="63">
        <v>1195380</v>
      </c>
      <c r="Q303" s="62">
        <v>250000</v>
      </c>
      <c r="R303" s="62">
        <v>72000</v>
      </c>
      <c r="S303" s="63">
        <v>1305000</v>
      </c>
      <c r="T303" s="63">
        <v>375840</v>
      </c>
      <c r="U303" s="55" t="s">
        <v>1211</v>
      </c>
    </row>
    <row r="304" spans="1:21" ht="15">
      <c r="A304" s="55" t="s">
        <v>925</v>
      </c>
      <c r="B304" s="55" t="s">
        <v>773</v>
      </c>
      <c r="C304" s="55" t="s">
        <v>227</v>
      </c>
      <c r="D304" s="55" t="s">
        <v>956</v>
      </c>
      <c r="E304" s="55" t="s">
        <v>224</v>
      </c>
      <c r="F304" s="55" t="s">
        <v>683</v>
      </c>
      <c r="G304" s="55" t="s">
        <v>638</v>
      </c>
      <c r="H304" s="62">
        <v>0</v>
      </c>
      <c r="I304" s="62">
        <v>12</v>
      </c>
      <c r="J304" s="62">
        <v>48</v>
      </c>
      <c r="K304" s="63">
        <v>548.64</v>
      </c>
      <c r="L304" s="63">
        <v>2194.56</v>
      </c>
      <c r="M304" s="62">
        <v>11</v>
      </c>
      <c r="N304" s="62">
        <v>0</v>
      </c>
      <c r="O304" s="63">
        <v>502.92</v>
      </c>
      <c r="P304" s="63">
        <v>0</v>
      </c>
      <c r="Q304" s="62">
        <v>10</v>
      </c>
      <c r="R304" s="62">
        <v>0</v>
      </c>
      <c r="S304" s="63">
        <v>457.2</v>
      </c>
      <c r="T304" s="63">
        <v>0</v>
      </c>
      <c r="U304" s="55" t="s">
        <v>1212</v>
      </c>
    </row>
    <row r="305" spans="1:21" ht="15">
      <c r="A305" s="55" t="s">
        <v>925</v>
      </c>
      <c r="B305" s="55" t="s">
        <v>773</v>
      </c>
      <c r="C305" s="55" t="s">
        <v>462</v>
      </c>
      <c r="D305" s="55" t="s">
        <v>772</v>
      </c>
      <c r="E305" s="55" t="s">
        <v>214</v>
      </c>
      <c r="F305" s="55" t="s">
        <v>683</v>
      </c>
      <c r="G305" s="55" t="s">
        <v>638</v>
      </c>
      <c r="H305" s="62">
        <v>0</v>
      </c>
      <c r="I305" s="62">
        <v>0</v>
      </c>
      <c r="J305" s="62">
        <v>0</v>
      </c>
      <c r="K305" s="63">
        <v>0</v>
      </c>
      <c r="L305" s="63">
        <v>0</v>
      </c>
      <c r="M305" s="62">
        <v>0</v>
      </c>
      <c r="N305" s="62">
        <v>10</v>
      </c>
      <c r="O305" s="63">
        <v>0</v>
      </c>
      <c r="P305" s="63">
        <v>1560.8</v>
      </c>
      <c r="Q305" s="62">
        <v>0</v>
      </c>
      <c r="R305" s="62">
        <v>0</v>
      </c>
      <c r="S305" s="63">
        <v>0</v>
      </c>
      <c r="T305" s="63">
        <v>0</v>
      </c>
      <c r="U305" s="55" t="s">
        <v>1213</v>
      </c>
    </row>
    <row r="306" spans="1:21" ht="15">
      <c r="A306" s="55" t="s">
        <v>925</v>
      </c>
      <c r="B306" s="55" t="s">
        <v>773</v>
      </c>
      <c r="C306" s="55" t="s">
        <v>362</v>
      </c>
      <c r="D306" s="55" t="s">
        <v>926</v>
      </c>
      <c r="E306" s="55" t="s">
        <v>214</v>
      </c>
      <c r="F306" s="55" t="s">
        <v>683</v>
      </c>
      <c r="G306" s="55" t="s">
        <v>638</v>
      </c>
      <c r="H306" s="62">
        <v>0</v>
      </c>
      <c r="I306" s="62">
        <v>43</v>
      </c>
      <c r="J306" s="62">
        <v>30</v>
      </c>
      <c r="K306" s="63">
        <v>10883.3</v>
      </c>
      <c r="L306" s="63">
        <v>7593</v>
      </c>
      <c r="M306" s="62">
        <v>41</v>
      </c>
      <c r="N306" s="62">
        <v>30</v>
      </c>
      <c r="O306" s="63">
        <v>10377.1</v>
      </c>
      <c r="P306" s="63">
        <v>7593</v>
      </c>
      <c r="Q306" s="62">
        <v>39</v>
      </c>
      <c r="R306" s="62">
        <v>20</v>
      </c>
      <c r="S306" s="63">
        <v>9870.9</v>
      </c>
      <c r="T306" s="63">
        <v>5062</v>
      </c>
      <c r="U306" s="55" t="s">
        <v>1214</v>
      </c>
    </row>
    <row r="307" spans="1:21" ht="15">
      <c r="A307" s="55" t="s">
        <v>925</v>
      </c>
      <c r="B307" s="55" t="s">
        <v>773</v>
      </c>
      <c r="C307" s="55" t="s">
        <v>364</v>
      </c>
      <c r="D307" s="55" t="s">
        <v>935</v>
      </c>
      <c r="E307" s="55" t="s">
        <v>214</v>
      </c>
      <c r="F307" s="55" t="s">
        <v>683</v>
      </c>
      <c r="G307" s="55" t="s">
        <v>638</v>
      </c>
      <c r="H307" s="62">
        <v>0</v>
      </c>
      <c r="I307" s="62">
        <v>25</v>
      </c>
      <c r="J307" s="62">
        <v>10</v>
      </c>
      <c r="K307" s="63">
        <v>6007</v>
      </c>
      <c r="L307" s="63">
        <v>2402.8000000000002</v>
      </c>
      <c r="M307" s="62">
        <v>14</v>
      </c>
      <c r="N307" s="62">
        <v>20</v>
      </c>
      <c r="O307" s="63">
        <v>3363.92</v>
      </c>
      <c r="P307" s="63">
        <v>4805.6000000000004</v>
      </c>
      <c r="Q307" s="62">
        <v>14</v>
      </c>
      <c r="R307" s="62">
        <v>20</v>
      </c>
      <c r="S307" s="63">
        <v>3363.92</v>
      </c>
      <c r="T307" s="63">
        <v>4805.6000000000004</v>
      </c>
      <c r="U307" s="55" t="s">
        <v>1215</v>
      </c>
    </row>
    <row r="308" spans="1:21" ht="15">
      <c r="A308" s="55" t="s">
        <v>900</v>
      </c>
      <c r="B308" s="55" t="s">
        <v>901</v>
      </c>
      <c r="C308" s="55" t="s">
        <v>896</v>
      </c>
      <c r="D308" s="55" t="s">
        <v>897</v>
      </c>
      <c r="E308" s="55" t="s">
        <v>213</v>
      </c>
      <c r="F308" s="55" t="s">
        <v>683</v>
      </c>
      <c r="G308" s="55" t="s">
        <v>643</v>
      </c>
      <c r="H308" s="62">
        <v>0</v>
      </c>
      <c r="I308" s="62">
        <v>448</v>
      </c>
      <c r="J308" s="62">
        <v>390</v>
      </c>
      <c r="K308" s="63">
        <v>8637.44</v>
      </c>
      <c r="L308" s="63">
        <v>7519.2</v>
      </c>
      <c r="M308" s="62">
        <v>1080</v>
      </c>
      <c r="N308" s="62">
        <v>570</v>
      </c>
      <c r="O308" s="63">
        <v>20822.400000000001</v>
      </c>
      <c r="P308" s="63">
        <v>10989.6</v>
      </c>
      <c r="Q308" s="62">
        <v>713</v>
      </c>
      <c r="R308" s="62">
        <v>0</v>
      </c>
      <c r="S308" s="63">
        <v>13746.64</v>
      </c>
      <c r="T308" s="63">
        <v>0</v>
      </c>
      <c r="U308" s="55" t="s">
        <v>1216</v>
      </c>
    </row>
    <row r="309" spans="1:21" ht="15">
      <c r="A309" s="55" t="s">
        <v>909</v>
      </c>
      <c r="B309" s="55" t="s">
        <v>910</v>
      </c>
      <c r="C309" s="55" t="s">
        <v>939</v>
      </c>
      <c r="D309" s="55" t="s">
        <v>941</v>
      </c>
      <c r="E309" s="55" t="s">
        <v>224</v>
      </c>
      <c r="F309" s="55" t="s">
        <v>683</v>
      </c>
      <c r="G309" s="55" t="s">
        <v>643</v>
      </c>
      <c r="H309" s="62">
        <v>0</v>
      </c>
      <c r="I309" s="62">
        <v>7000</v>
      </c>
      <c r="J309" s="62">
        <v>6000</v>
      </c>
      <c r="K309" s="63">
        <v>192500</v>
      </c>
      <c r="L309" s="63">
        <v>165000</v>
      </c>
      <c r="M309" s="62">
        <v>7000</v>
      </c>
      <c r="N309" s="62">
        <v>4000</v>
      </c>
      <c r="O309" s="63">
        <v>192500</v>
      </c>
      <c r="P309" s="63">
        <v>110000</v>
      </c>
      <c r="Q309" s="62">
        <v>7000</v>
      </c>
      <c r="R309" s="62">
        <v>0</v>
      </c>
      <c r="S309" s="63">
        <v>192500</v>
      </c>
      <c r="T309" s="63">
        <v>0</v>
      </c>
      <c r="U309" s="55" t="s">
        <v>939</v>
      </c>
    </row>
    <row r="310" spans="1:21" ht="15">
      <c r="A310" s="55" t="s">
        <v>909</v>
      </c>
      <c r="B310" s="55" t="s">
        <v>910</v>
      </c>
      <c r="C310" s="55" t="s">
        <v>731</v>
      </c>
      <c r="D310" s="55" t="s">
        <v>803</v>
      </c>
      <c r="E310" s="55" t="s">
        <v>224</v>
      </c>
      <c r="F310" s="55" t="s">
        <v>683</v>
      </c>
      <c r="G310" s="55" t="s">
        <v>643</v>
      </c>
      <c r="H310" s="62">
        <v>0</v>
      </c>
      <c r="I310" s="62">
        <v>60</v>
      </c>
      <c r="J310" s="62">
        <v>60</v>
      </c>
      <c r="K310" s="63">
        <v>5128.2</v>
      </c>
      <c r="L310" s="63">
        <v>5128.2</v>
      </c>
      <c r="M310" s="62">
        <v>0</v>
      </c>
      <c r="N310" s="62">
        <v>0</v>
      </c>
      <c r="O310" s="63">
        <v>0</v>
      </c>
      <c r="P310" s="63">
        <v>0</v>
      </c>
      <c r="Q310" s="62">
        <v>60</v>
      </c>
      <c r="R310" s="62">
        <v>0</v>
      </c>
      <c r="S310" s="63">
        <v>5128.2</v>
      </c>
      <c r="T310" s="63">
        <v>0</v>
      </c>
      <c r="U310" s="55" t="s">
        <v>731</v>
      </c>
    </row>
    <row r="311" spans="1:21" ht="15">
      <c r="A311" s="55" t="s">
        <v>909</v>
      </c>
      <c r="B311" s="55" t="s">
        <v>910</v>
      </c>
      <c r="C311" s="55" t="s">
        <v>1217</v>
      </c>
      <c r="D311" s="55" t="s">
        <v>1218</v>
      </c>
      <c r="E311" s="55" t="s">
        <v>224</v>
      </c>
      <c r="F311" s="55" t="s">
        <v>683</v>
      </c>
      <c r="G311" s="55" t="s">
        <v>643</v>
      </c>
      <c r="H311" s="62">
        <v>0</v>
      </c>
      <c r="I311" s="62">
        <v>0</v>
      </c>
      <c r="J311" s="62">
        <v>0</v>
      </c>
      <c r="K311" s="63">
        <v>0</v>
      </c>
      <c r="L311" s="63">
        <v>0</v>
      </c>
      <c r="M311" s="62">
        <v>0</v>
      </c>
      <c r="N311" s="62">
        <v>0</v>
      </c>
      <c r="O311" s="63">
        <v>0</v>
      </c>
      <c r="P311" s="63">
        <v>0</v>
      </c>
      <c r="Q311" s="62">
        <v>0</v>
      </c>
      <c r="R311" s="62">
        <v>100</v>
      </c>
      <c r="S311" s="63">
        <v>0</v>
      </c>
      <c r="T311" s="63">
        <v>9236</v>
      </c>
      <c r="U311" s="55" t="s">
        <v>1217</v>
      </c>
    </row>
    <row r="312" spans="1:21" ht="15">
      <c r="A312" s="55" t="s">
        <v>909</v>
      </c>
      <c r="B312" s="55" t="s">
        <v>910</v>
      </c>
      <c r="C312" s="55" t="s">
        <v>732</v>
      </c>
      <c r="D312" s="55" t="s">
        <v>733</v>
      </c>
      <c r="E312" s="55" t="s">
        <v>224</v>
      </c>
      <c r="F312" s="55" t="s">
        <v>683</v>
      </c>
      <c r="G312" s="55" t="s">
        <v>643</v>
      </c>
      <c r="H312" s="62">
        <v>0</v>
      </c>
      <c r="I312" s="62">
        <v>400</v>
      </c>
      <c r="J312" s="62">
        <v>400</v>
      </c>
      <c r="K312" s="63">
        <v>31428</v>
      </c>
      <c r="L312" s="63">
        <v>31428</v>
      </c>
      <c r="M312" s="62">
        <v>400</v>
      </c>
      <c r="N312" s="62">
        <v>200</v>
      </c>
      <c r="O312" s="63">
        <v>31428</v>
      </c>
      <c r="P312" s="63">
        <v>15714</v>
      </c>
      <c r="Q312" s="62">
        <v>400</v>
      </c>
      <c r="R312" s="62">
        <v>200</v>
      </c>
      <c r="S312" s="63">
        <v>31428</v>
      </c>
      <c r="T312" s="63">
        <v>15714</v>
      </c>
      <c r="U312" s="55" t="s">
        <v>732</v>
      </c>
    </row>
    <row r="313" spans="1:21" ht="15">
      <c r="A313" s="55" t="s">
        <v>909</v>
      </c>
      <c r="B313" s="55" t="s">
        <v>910</v>
      </c>
      <c r="C313" s="55" t="s">
        <v>697</v>
      </c>
      <c r="D313" s="55" t="s">
        <v>804</v>
      </c>
      <c r="E313" s="55" t="s">
        <v>224</v>
      </c>
      <c r="F313" s="55" t="s">
        <v>683</v>
      </c>
      <c r="G313" s="55" t="s">
        <v>643</v>
      </c>
      <c r="H313" s="62">
        <v>0</v>
      </c>
      <c r="I313" s="62">
        <v>1000</v>
      </c>
      <c r="J313" s="62">
        <v>1000</v>
      </c>
      <c r="K313" s="63">
        <v>80000</v>
      </c>
      <c r="L313" s="63">
        <v>80000</v>
      </c>
      <c r="M313" s="62">
        <v>0</v>
      </c>
      <c r="N313" s="62">
        <v>0</v>
      </c>
      <c r="O313" s="63">
        <v>0</v>
      </c>
      <c r="P313" s="63">
        <v>0</v>
      </c>
      <c r="Q313" s="62">
        <v>0</v>
      </c>
      <c r="R313" s="62">
        <v>0</v>
      </c>
      <c r="S313" s="63">
        <v>0</v>
      </c>
      <c r="T313" s="63">
        <v>0</v>
      </c>
      <c r="U313" s="55" t="s">
        <v>1219</v>
      </c>
    </row>
    <row r="314" spans="1:21" ht="15">
      <c r="A314" s="55" t="s">
        <v>909</v>
      </c>
      <c r="B314" s="55" t="s">
        <v>910</v>
      </c>
      <c r="C314" s="55" t="s">
        <v>698</v>
      </c>
      <c r="D314" s="55" t="s">
        <v>769</v>
      </c>
      <c r="E314" s="55" t="s">
        <v>224</v>
      </c>
      <c r="F314" s="55" t="s">
        <v>683</v>
      </c>
      <c r="G314" s="55" t="s">
        <v>643</v>
      </c>
      <c r="H314" s="62">
        <v>0</v>
      </c>
      <c r="I314" s="62">
        <v>500</v>
      </c>
      <c r="J314" s="62">
        <v>500</v>
      </c>
      <c r="K314" s="63">
        <v>43500</v>
      </c>
      <c r="L314" s="63">
        <v>43500</v>
      </c>
      <c r="M314" s="62">
        <v>500</v>
      </c>
      <c r="N314" s="62">
        <v>500</v>
      </c>
      <c r="O314" s="63">
        <v>43500</v>
      </c>
      <c r="P314" s="63">
        <v>43500</v>
      </c>
      <c r="Q314" s="62">
        <v>500</v>
      </c>
      <c r="R314" s="62">
        <v>0</v>
      </c>
      <c r="S314" s="63">
        <v>43500</v>
      </c>
      <c r="T314" s="63">
        <v>0</v>
      </c>
      <c r="U314" s="55" t="s">
        <v>1220</v>
      </c>
    </row>
    <row r="315" spans="1:21" ht="15">
      <c r="A315" s="55" t="s">
        <v>909</v>
      </c>
      <c r="B315" s="55" t="s">
        <v>910</v>
      </c>
      <c r="C315" s="55" t="s">
        <v>711</v>
      </c>
      <c r="D315" s="55" t="s">
        <v>770</v>
      </c>
      <c r="E315" s="55" t="s">
        <v>224</v>
      </c>
      <c r="F315" s="55" t="s">
        <v>683</v>
      </c>
      <c r="G315" s="55" t="s">
        <v>643</v>
      </c>
      <c r="H315" s="62">
        <v>0</v>
      </c>
      <c r="I315" s="62">
        <v>500</v>
      </c>
      <c r="J315" s="62">
        <v>500</v>
      </c>
      <c r="K315" s="63">
        <v>45000</v>
      </c>
      <c r="L315" s="63">
        <v>45000</v>
      </c>
      <c r="M315" s="62">
        <v>0</v>
      </c>
      <c r="N315" s="62">
        <v>0</v>
      </c>
      <c r="O315" s="63">
        <v>0</v>
      </c>
      <c r="P315" s="63">
        <v>0</v>
      </c>
      <c r="Q315" s="62">
        <v>500</v>
      </c>
      <c r="R315" s="62">
        <v>0</v>
      </c>
      <c r="S315" s="63">
        <v>45000</v>
      </c>
      <c r="T315" s="63">
        <v>0</v>
      </c>
      <c r="U315" s="55" t="s">
        <v>1221</v>
      </c>
    </row>
    <row r="316" spans="1:21" ht="15">
      <c r="A316" s="55" t="s">
        <v>909</v>
      </c>
      <c r="B316" s="55" t="s">
        <v>910</v>
      </c>
      <c r="C316" s="55" t="s">
        <v>739</v>
      </c>
      <c r="D316" s="55" t="s">
        <v>771</v>
      </c>
      <c r="E316" s="55" t="s">
        <v>224</v>
      </c>
      <c r="F316" s="55" t="s">
        <v>683</v>
      </c>
      <c r="G316" s="55" t="s">
        <v>643</v>
      </c>
      <c r="H316" s="62">
        <v>0</v>
      </c>
      <c r="I316" s="62">
        <v>500</v>
      </c>
      <c r="J316" s="62">
        <v>500</v>
      </c>
      <c r="K316" s="63">
        <v>39500</v>
      </c>
      <c r="L316" s="63">
        <v>39500</v>
      </c>
      <c r="M316" s="62">
        <v>500</v>
      </c>
      <c r="N316" s="62">
        <v>500</v>
      </c>
      <c r="O316" s="63">
        <v>39500</v>
      </c>
      <c r="P316" s="63">
        <v>39500</v>
      </c>
      <c r="Q316" s="62">
        <v>500</v>
      </c>
      <c r="R316" s="62">
        <v>0</v>
      </c>
      <c r="S316" s="63">
        <v>39500</v>
      </c>
      <c r="T316" s="63">
        <v>0</v>
      </c>
      <c r="U316" s="55" t="s">
        <v>1222</v>
      </c>
    </row>
    <row r="317" spans="1:21" ht="15">
      <c r="A317" s="55" t="s">
        <v>1223</v>
      </c>
      <c r="B317" s="55" t="s">
        <v>1224</v>
      </c>
      <c r="C317" s="55" t="s">
        <v>1115</v>
      </c>
      <c r="D317" s="55" t="s">
        <v>706</v>
      </c>
      <c r="E317" s="55" t="s">
        <v>213</v>
      </c>
      <c r="F317" s="55" t="s">
        <v>683</v>
      </c>
      <c r="G317" s="55" t="s">
        <v>1225</v>
      </c>
      <c r="H317" s="62">
        <v>14700</v>
      </c>
      <c r="I317" s="62">
        <v>0</v>
      </c>
      <c r="J317" s="62">
        <v>8</v>
      </c>
      <c r="K317" s="63">
        <v>0</v>
      </c>
      <c r="L317" s="63">
        <v>1145.8399999999999</v>
      </c>
      <c r="M317" s="62">
        <v>0</v>
      </c>
      <c r="N317" s="62">
        <v>0</v>
      </c>
      <c r="O317" s="63">
        <v>0</v>
      </c>
      <c r="P317" s="63">
        <v>0</v>
      </c>
      <c r="Q317" s="62">
        <v>0</v>
      </c>
      <c r="R317" s="62">
        <v>0</v>
      </c>
      <c r="S317" s="63">
        <v>0</v>
      </c>
      <c r="T317" s="63">
        <v>0</v>
      </c>
      <c r="U317" s="55" t="s">
        <v>1115</v>
      </c>
    </row>
    <row r="318" spans="1:21" ht="15">
      <c r="A318" s="55" t="s">
        <v>1223</v>
      </c>
      <c r="B318" s="55" t="s">
        <v>1224</v>
      </c>
      <c r="C318" s="55" t="s">
        <v>1116</v>
      </c>
      <c r="D318" s="55" t="s">
        <v>706</v>
      </c>
      <c r="E318" s="55" t="s">
        <v>213</v>
      </c>
      <c r="F318" s="55" t="s">
        <v>683</v>
      </c>
      <c r="G318" s="55" t="s">
        <v>1225</v>
      </c>
      <c r="H318" s="62">
        <v>0</v>
      </c>
      <c r="I318" s="62">
        <v>0</v>
      </c>
      <c r="J318" s="62">
        <v>17</v>
      </c>
      <c r="K318" s="63">
        <v>0</v>
      </c>
      <c r="L318" s="63">
        <v>3688.15</v>
      </c>
      <c r="M318" s="62">
        <v>0</v>
      </c>
      <c r="N318" s="62">
        <v>0</v>
      </c>
      <c r="O318" s="63">
        <v>0</v>
      </c>
      <c r="P318" s="63">
        <v>0</v>
      </c>
      <c r="Q318" s="62">
        <v>0</v>
      </c>
      <c r="R318" s="62">
        <v>0</v>
      </c>
      <c r="S318" s="63">
        <v>0</v>
      </c>
      <c r="T318" s="63">
        <v>0</v>
      </c>
      <c r="U318" s="55" t="s">
        <v>1116</v>
      </c>
    </row>
    <row r="319" spans="1:21" ht="15">
      <c r="A319" s="55" t="s">
        <v>1223</v>
      </c>
      <c r="B319" s="55" t="s">
        <v>1224</v>
      </c>
      <c r="C319" s="55" t="s">
        <v>1118</v>
      </c>
      <c r="D319" s="55" t="s">
        <v>974</v>
      </c>
      <c r="E319" s="55" t="s">
        <v>213</v>
      </c>
      <c r="F319" s="55" t="s">
        <v>683</v>
      </c>
      <c r="G319" s="55" t="s">
        <v>1225</v>
      </c>
      <c r="H319" s="62">
        <v>0</v>
      </c>
      <c r="I319" s="62">
        <v>0</v>
      </c>
      <c r="J319" s="62">
        <v>12</v>
      </c>
      <c r="K319" s="63">
        <v>0</v>
      </c>
      <c r="L319" s="63">
        <v>2935.44</v>
      </c>
      <c r="M319" s="62">
        <v>0</v>
      </c>
      <c r="N319" s="62">
        <v>0</v>
      </c>
      <c r="O319" s="63">
        <v>0</v>
      </c>
      <c r="P319" s="63">
        <v>0</v>
      </c>
      <c r="Q319" s="62">
        <v>0</v>
      </c>
      <c r="R319" s="62">
        <v>0</v>
      </c>
      <c r="S319" s="63">
        <v>0</v>
      </c>
      <c r="T319" s="63">
        <v>0</v>
      </c>
      <c r="U319" s="55" t="s">
        <v>1118</v>
      </c>
    </row>
    <row r="320" spans="1:21" ht="15">
      <c r="A320" s="55" t="s">
        <v>1223</v>
      </c>
      <c r="B320" s="55" t="s">
        <v>1224</v>
      </c>
      <c r="C320" s="55" t="s">
        <v>1123</v>
      </c>
      <c r="D320" s="55" t="s">
        <v>1226</v>
      </c>
      <c r="E320" s="55" t="s">
        <v>213</v>
      </c>
      <c r="F320" s="55" t="s">
        <v>683</v>
      </c>
      <c r="G320" s="55" t="s">
        <v>1225</v>
      </c>
      <c r="H320" s="62">
        <v>0</v>
      </c>
      <c r="I320" s="62">
        <v>0</v>
      </c>
      <c r="J320" s="62">
        <v>26</v>
      </c>
      <c r="K320" s="63">
        <v>0</v>
      </c>
      <c r="L320" s="63">
        <v>1731.34</v>
      </c>
      <c r="M320" s="62">
        <v>0</v>
      </c>
      <c r="N320" s="62">
        <v>0</v>
      </c>
      <c r="O320" s="63">
        <v>0</v>
      </c>
      <c r="P320" s="63">
        <v>0</v>
      </c>
      <c r="Q320" s="62">
        <v>0</v>
      </c>
      <c r="R320" s="62">
        <v>0</v>
      </c>
      <c r="S320" s="63">
        <v>0</v>
      </c>
      <c r="T320" s="63">
        <v>0</v>
      </c>
      <c r="U320" s="55" t="s">
        <v>1123</v>
      </c>
    </row>
    <row r="321" spans="1:21" ht="15">
      <c r="A321" s="55" t="s">
        <v>882</v>
      </c>
      <c r="B321" s="55" t="s">
        <v>599</v>
      </c>
      <c r="C321" s="55" t="s">
        <v>809</v>
      </c>
      <c r="D321" s="55" t="s">
        <v>1227</v>
      </c>
      <c r="E321" s="55" t="s">
        <v>213</v>
      </c>
      <c r="F321" s="55" t="s">
        <v>683</v>
      </c>
      <c r="G321" s="55" t="s">
        <v>638</v>
      </c>
      <c r="H321" s="62">
        <v>0</v>
      </c>
      <c r="I321" s="62">
        <v>180</v>
      </c>
      <c r="J321" s="62">
        <v>193</v>
      </c>
      <c r="K321" s="63">
        <v>57047.4</v>
      </c>
      <c r="L321" s="63">
        <v>61167.49</v>
      </c>
      <c r="M321" s="62">
        <v>0</v>
      </c>
      <c r="N321" s="62">
        <v>0</v>
      </c>
      <c r="O321" s="63">
        <v>0</v>
      </c>
      <c r="P321" s="63">
        <v>0</v>
      </c>
      <c r="Q321" s="62">
        <v>0</v>
      </c>
      <c r="R321" s="62">
        <v>0</v>
      </c>
      <c r="S321" s="63">
        <v>0</v>
      </c>
      <c r="T321" s="63">
        <v>0</v>
      </c>
      <c r="U321" s="55" t="s">
        <v>809</v>
      </c>
    </row>
    <row r="322" spans="1:21" ht="15">
      <c r="A322" s="55" t="s">
        <v>882</v>
      </c>
      <c r="B322" s="55" t="s">
        <v>599</v>
      </c>
      <c r="C322" s="55" t="s">
        <v>668</v>
      </c>
      <c r="D322" s="55" t="s">
        <v>840</v>
      </c>
      <c r="E322" s="55" t="s">
        <v>213</v>
      </c>
      <c r="F322" s="55" t="s">
        <v>683</v>
      </c>
      <c r="G322" s="55" t="s">
        <v>638</v>
      </c>
      <c r="H322" s="62">
        <v>0</v>
      </c>
      <c r="I322" s="62">
        <v>1260</v>
      </c>
      <c r="J322" s="62">
        <v>1280</v>
      </c>
      <c r="K322" s="63">
        <v>428425.2</v>
      </c>
      <c r="L322" s="63">
        <v>435225.59999999998</v>
      </c>
      <c r="M322" s="62">
        <v>1770</v>
      </c>
      <c r="N322" s="62">
        <v>1246</v>
      </c>
      <c r="O322" s="63">
        <v>601835.4</v>
      </c>
      <c r="P322" s="63">
        <v>423664.92</v>
      </c>
      <c r="Q322" s="62">
        <v>1870</v>
      </c>
      <c r="R322" s="62">
        <v>0</v>
      </c>
      <c r="S322" s="63">
        <v>635837.4</v>
      </c>
      <c r="T322" s="63">
        <v>0</v>
      </c>
      <c r="U322" s="55" t="s">
        <v>1228</v>
      </c>
    </row>
    <row r="323" spans="1:21" ht="15">
      <c r="A323" s="55" t="s">
        <v>882</v>
      </c>
      <c r="B323" s="55" t="s">
        <v>599</v>
      </c>
      <c r="C323" s="55" t="s">
        <v>408</v>
      </c>
      <c r="D323" s="55" t="s">
        <v>653</v>
      </c>
      <c r="E323" s="55" t="s">
        <v>213</v>
      </c>
      <c r="F323" s="55" t="s">
        <v>683</v>
      </c>
      <c r="G323" s="55" t="s">
        <v>638</v>
      </c>
      <c r="H323" s="62">
        <v>0</v>
      </c>
      <c r="I323" s="62">
        <v>100</v>
      </c>
      <c r="J323" s="62">
        <v>60</v>
      </c>
      <c r="K323" s="63">
        <v>7249</v>
      </c>
      <c r="L323" s="63">
        <v>4349.3999999999996</v>
      </c>
      <c r="M323" s="62">
        <v>20</v>
      </c>
      <c r="N323" s="62">
        <v>20</v>
      </c>
      <c r="O323" s="63">
        <v>1449.8</v>
      </c>
      <c r="P323" s="63">
        <v>1449.8</v>
      </c>
      <c r="Q323" s="62">
        <v>90</v>
      </c>
      <c r="R323" s="62">
        <v>0</v>
      </c>
      <c r="S323" s="63">
        <v>6524.1</v>
      </c>
      <c r="T323" s="63">
        <v>0</v>
      </c>
      <c r="U323" s="55" t="s">
        <v>408</v>
      </c>
    </row>
    <row r="324" spans="1:21" ht="15">
      <c r="A324" s="55" t="s">
        <v>882</v>
      </c>
      <c r="B324" s="55" t="s">
        <v>599</v>
      </c>
      <c r="C324" s="55" t="s">
        <v>423</v>
      </c>
      <c r="D324" s="55" t="s">
        <v>653</v>
      </c>
      <c r="E324" s="55" t="s">
        <v>213</v>
      </c>
      <c r="F324" s="55" t="s">
        <v>683</v>
      </c>
      <c r="G324" s="55" t="s">
        <v>638</v>
      </c>
      <c r="H324" s="62">
        <v>0</v>
      </c>
      <c r="I324" s="62">
        <v>912</v>
      </c>
      <c r="J324" s="62">
        <v>900</v>
      </c>
      <c r="K324" s="63">
        <v>278296.8</v>
      </c>
      <c r="L324" s="63">
        <v>274635</v>
      </c>
      <c r="M324" s="62">
        <v>792</v>
      </c>
      <c r="N324" s="62">
        <v>504</v>
      </c>
      <c r="O324" s="63">
        <v>241678.8</v>
      </c>
      <c r="P324" s="63">
        <v>153795.6</v>
      </c>
      <c r="Q324" s="62">
        <v>948</v>
      </c>
      <c r="R324" s="62">
        <v>0</v>
      </c>
      <c r="S324" s="63">
        <v>289282.2</v>
      </c>
      <c r="T324" s="63">
        <v>0</v>
      </c>
      <c r="U324" s="55" t="s">
        <v>423</v>
      </c>
    </row>
    <row r="325" spans="1:21" ht="15">
      <c r="A325" s="55" t="s">
        <v>882</v>
      </c>
      <c r="B325" s="55" t="s">
        <v>599</v>
      </c>
      <c r="C325" s="55" t="s">
        <v>459</v>
      </c>
      <c r="D325" s="55" t="s">
        <v>660</v>
      </c>
      <c r="E325" s="55" t="s">
        <v>213</v>
      </c>
      <c r="F325" s="55" t="s">
        <v>683</v>
      </c>
      <c r="G325" s="55" t="s">
        <v>638</v>
      </c>
      <c r="H325" s="62">
        <v>0</v>
      </c>
      <c r="I325" s="62">
        <v>1280</v>
      </c>
      <c r="J325" s="62">
        <v>1280</v>
      </c>
      <c r="K325" s="63">
        <v>76185.600000000006</v>
      </c>
      <c r="L325" s="63">
        <v>76185.600000000006</v>
      </c>
      <c r="M325" s="62">
        <v>1760</v>
      </c>
      <c r="N325" s="62">
        <v>1246</v>
      </c>
      <c r="O325" s="63">
        <v>104755.2</v>
      </c>
      <c r="P325" s="63">
        <v>74161.919999999998</v>
      </c>
      <c r="Q325" s="62">
        <v>1920</v>
      </c>
      <c r="R325" s="62">
        <v>0</v>
      </c>
      <c r="S325" s="63">
        <v>114278.39999999999</v>
      </c>
      <c r="T325" s="63">
        <v>0</v>
      </c>
      <c r="U325" s="55" t="s">
        <v>459</v>
      </c>
    </row>
    <row r="326" spans="1:21" ht="15">
      <c r="A326" s="55" t="s">
        <v>882</v>
      </c>
      <c r="B326" s="55" t="s">
        <v>599</v>
      </c>
      <c r="C326" s="55" t="s">
        <v>810</v>
      </c>
      <c r="D326" s="55" t="s">
        <v>831</v>
      </c>
      <c r="E326" s="55" t="s">
        <v>213</v>
      </c>
      <c r="F326" s="55" t="s">
        <v>683</v>
      </c>
      <c r="G326" s="55" t="s">
        <v>638</v>
      </c>
      <c r="H326" s="62">
        <v>29400</v>
      </c>
      <c r="I326" s="62">
        <v>1408</v>
      </c>
      <c r="J326" s="62">
        <v>1508</v>
      </c>
      <c r="K326" s="63">
        <v>373781.76000000001</v>
      </c>
      <c r="L326" s="63">
        <v>400328.76</v>
      </c>
      <c r="M326" s="62">
        <v>968</v>
      </c>
      <c r="N326" s="62">
        <v>760</v>
      </c>
      <c r="O326" s="63">
        <v>256974.96</v>
      </c>
      <c r="P326" s="63">
        <v>201757.2</v>
      </c>
      <c r="Q326" s="62">
        <v>1200</v>
      </c>
      <c r="R326" s="62">
        <v>0</v>
      </c>
      <c r="S326" s="63">
        <v>318564</v>
      </c>
      <c r="T326" s="63">
        <v>0</v>
      </c>
      <c r="U326" s="55" t="s">
        <v>810</v>
      </c>
    </row>
    <row r="327" spans="1:21" ht="15">
      <c r="A327" s="55" t="s">
        <v>882</v>
      </c>
      <c r="B327" s="55" t="s">
        <v>599</v>
      </c>
      <c r="C327" s="55" t="s">
        <v>811</v>
      </c>
      <c r="D327" s="55" t="s">
        <v>832</v>
      </c>
      <c r="E327" s="55" t="s">
        <v>213</v>
      </c>
      <c r="F327" s="55" t="s">
        <v>683</v>
      </c>
      <c r="G327" s="55" t="s">
        <v>638</v>
      </c>
      <c r="H327" s="62">
        <v>0</v>
      </c>
      <c r="I327" s="62">
        <v>1408</v>
      </c>
      <c r="J327" s="62">
        <v>1504</v>
      </c>
      <c r="K327" s="63">
        <v>115793.92</v>
      </c>
      <c r="L327" s="63">
        <v>123688.96000000001</v>
      </c>
      <c r="M327" s="62">
        <v>976</v>
      </c>
      <c r="N327" s="62">
        <v>760</v>
      </c>
      <c r="O327" s="63">
        <v>80266.240000000005</v>
      </c>
      <c r="P327" s="63">
        <v>62502.400000000001</v>
      </c>
      <c r="Q327" s="62">
        <v>1192</v>
      </c>
      <c r="R327" s="62">
        <v>0</v>
      </c>
      <c r="S327" s="63">
        <v>98030.080000000002</v>
      </c>
      <c r="T327" s="63">
        <v>0</v>
      </c>
      <c r="U327" s="55" t="s">
        <v>811</v>
      </c>
    </row>
    <row r="328" spans="1:21" ht="15">
      <c r="A328" s="55" t="s">
        <v>882</v>
      </c>
      <c r="B328" s="55" t="s">
        <v>599</v>
      </c>
      <c r="C328" s="55" t="s">
        <v>330</v>
      </c>
      <c r="D328" s="55" t="s">
        <v>654</v>
      </c>
      <c r="E328" s="55" t="s">
        <v>214</v>
      </c>
      <c r="F328" s="55" t="s">
        <v>683</v>
      </c>
      <c r="G328" s="55" t="s">
        <v>638</v>
      </c>
      <c r="H328" s="62">
        <v>0</v>
      </c>
      <c r="I328" s="62">
        <v>14</v>
      </c>
      <c r="J328" s="62">
        <v>5</v>
      </c>
      <c r="K328" s="63">
        <v>1088.3599999999999</v>
      </c>
      <c r="L328" s="63">
        <v>388.7</v>
      </c>
      <c r="M328" s="62">
        <v>15</v>
      </c>
      <c r="N328" s="62">
        <v>11</v>
      </c>
      <c r="O328" s="63">
        <v>1166.0999999999999</v>
      </c>
      <c r="P328" s="63">
        <v>855.14</v>
      </c>
      <c r="Q328" s="62">
        <v>0</v>
      </c>
      <c r="R328" s="62">
        <v>0</v>
      </c>
      <c r="S328" s="63">
        <v>0</v>
      </c>
      <c r="T328" s="63">
        <v>0</v>
      </c>
      <c r="U328" s="55" t="s">
        <v>330</v>
      </c>
    </row>
    <row r="329" spans="1:21" ht="15">
      <c r="A329" s="55" t="s">
        <v>882</v>
      </c>
      <c r="B329" s="55" t="s">
        <v>599</v>
      </c>
      <c r="C329" s="55" t="s">
        <v>335</v>
      </c>
      <c r="D329" s="55" t="s">
        <v>653</v>
      </c>
      <c r="E329" s="55" t="s">
        <v>213</v>
      </c>
      <c r="F329" s="55" t="s">
        <v>683</v>
      </c>
      <c r="G329" s="55" t="s">
        <v>638</v>
      </c>
      <c r="H329" s="62">
        <v>6900</v>
      </c>
      <c r="I329" s="62">
        <v>50</v>
      </c>
      <c r="J329" s="62">
        <v>50</v>
      </c>
      <c r="K329" s="63">
        <v>19814.5</v>
      </c>
      <c r="L329" s="63">
        <v>19814.5</v>
      </c>
      <c r="M329" s="62">
        <v>20</v>
      </c>
      <c r="N329" s="62">
        <v>2</v>
      </c>
      <c r="O329" s="63">
        <v>7925.8</v>
      </c>
      <c r="P329" s="63">
        <v>792.58</v>
      </c>
      <c r="Q329" s="62">
        <v>20</v>
      </c>
      <c r="R329" s="62">
        <v>0</v>
      </c>
      <c r="S329" s="63">
        <v>7925.8</v>
      </c>
      <c r="T329" s="63">
        <v>0</v>
      </c>
      <c r="U329" s="55" t="s">
        <v>335</v>
      </c>
    </row>
    <row r="330" spans="1:21" ht="15">
      <c r="A330" s="55" t="s">
        <v>882</v>
      </c>
      <c r="B330" s="55" t="s">
        <v>599</v>
      </c>
      <c r="C330" s="55" t="s">
        <v>533</v>
      </c>
      <c r="D330" s="55" t="s">
        <v>534</v>
      </c>
      <c r="E330" s="55" t="s">
        <v>214</v>
      </c>
      <c r="F330" s="55" t="s">
        <v>683</v>
      </c>
      <c r="G330" s="55" t="s">
        <v>638</v>
      </c>
      <c r="H330" s="62">
        <v>0</v>
      </c>
      <c r="I330" s="62">
        <v>220</v>
      </c>
      <c r="J330" s="62">
        <v>180</v>
      </c>
      <c r="K330" s="63">
        <v>20501.8</v>
      </c>
      <c r="L330" s="63">
        <v>16774.2</v>
      </c>
      <c r="M330" s="62">
        <v>180</v>
      </c>
      <c r="N330" s="62">
        <v>101</v>
      </c>
      <c r="O330" s="63">
        <v>16774.2</v>
      </c>
      <c r="P330" s="63">
        <v>9412.19</v>
      </c>
      <c r="Q330" s="62">
        <v>340</v>
      </c>
      <c r="R330" s="62">
        <v>0</v>
      </c>
      <c r="S330" s="63">
        <v>31684.6</v>
      </c>
      <c r="T330" s="63">
        <v>0</v>
      </c>
      <c r="U330" s="55" t="s">
        <v>533</v>
      </c>
    </row>
    <row r="331" spans="1:21" ht="15">
      <c r="A331" s="55" t="s">
        <v>882</v>
      </c>
      <c r="B331" s="55" t="s">
        <v>599</v>
      </c>
      <c r="C331" s="55" t="s">
        <v>535</v>
      </c>
      <c r="D331" s="55" t="s">
        <v>536</v>
      </c>
      <c r="E331" s="55" t="s">
        <v>214</v>
      </c>
      <c r="F331" s="55" t="s">
        <v>683</v>
      </c>
      <c r="G331" s="55" t="s">
        <v>638</v>
      </c>
      <c r="H331" s="62">
        <v>0</v>
      </c>
      <c r="I331" s="62">
        <v>220</v>
      </c>
      <c r="J331" s="62">
        <v>180</v>
      </c>
      <c r="K331" s="63">
        <v>20596.400000000001</v>
      </c>
      <c r="L331" s="63">
        <v>16851.599999999999</v>
      </c>
      <c r="M331" s="62">
        <v>180</v>
      </c>
      <c r="N331" s="62">
        <v>101</v>
      </c>
      <c r="O331" s="63">
        <v>16851.599999999999</v>
      </c>
      <c r="P331" s="63">
        <v>9455.6200000000008</v>
      </c>
      <c r="Q331" s="62">
        <v>340</v>
      </c>
      <c r="R331" s="62">
        <v>0</v>
      </c>
      <c r="S331" s="63">
        <v>31830.799999999999</v>
      </c>
      <c r="T331" s="63">
        <v>0</v>
      </c>
      <c r="U331" s="55" t="s">
        <v>535</v>
      </c>
    </row>
    <row r="332" spans="1:21" ht="15">
      <c r="A332" s="55" t="s">
        <v>883</v>
      </c>
      <c r="B332" s="55" t="s">
        <v>598</v>
      </c>
      <c r="C332" s="55" t="s">
        <v>377</v>
      </c>
      <c r="D332" s="55" t="s">
        <v>805</v>
      </c>
      <c r="E332" s="55" t="s">
        <v>224</v>
      </c>
      <c r="F332" s="55" t="s">
        <v>683</v>
      </c>
      <c r="G332" s="55" t="s">
        <v>639</v>
      </c>
      <c r="H332" s="62">
        <v>0</v>
      </c>
      <c r="I332" s="62">
        <v>0</v>
      </c>
      <c r="J332" s="62">
        <v>0</v>
      </c>
      <c r="K332" s="63">
        <v>0</v>
      </c>
      <c r="L332" s="63">
        <v>0</v>
      </c>
      <c r="M332" s="62">
        <v>0</v>
      </c>
      <c r="N332" s="62">
        <v>0</v>
      </c>
      <c r="O332" s="63">
        <v>0</v>
      </c>
      <c r="P332" s="63">
        <v>0</v>
      </c>
      <c r="Q332" s="62">
        <v>1500</v>
      </c>
      <c r="R332" s="62">
        <v>0</v>
      </c>
      <c r="S332" s="63">
        <v>52755</v>
      </c>
      <c r="T332" s="63">
        <v>0</v>
      </c>
      <c r="U332" s="55" t="s">
        <v>1229</v>
      </c>
    </row>
    <row r="333" spans="1:21" ht="15">
      <c r="A333" s="55" t="s">
        <v>883</v>
      </c>
      <c r="B333" s="55" t="s">
        <v>598</v>
      </c>
      <c r="C333" s="55" t="s">
        <v>375</v>
      </c>
      <c r="D333" s="55" t="s">
        <v>376</v>
      </c>
      <c r="E333" s="55" t="s">
        <v>224</v>
      </c>
      <c r="F333" s="55" t="s">
        <v>683</v>
      </c>
      <c r="G333" s="55" t="s">
        <v>639</v>
      </c>
      <c r="H333" s="62">
        <v>0</v>
      </c>
      <c r="I333" s="62">
        <v>1860</v>
      </c>
      <c r="J333" s="62">
        <v>2091</v>
      </c>
      <c r="K333" s="63">
        <v>48285.599999999999</v>
      </c>
      <c r="L333" s="63">
        <v>54282.36</v>
      </c>
      <c r="M333" s="62">
        <v>1940</v>
      </c>
      <c r="N333" s="62">
        <v>2011</v>
      </c>
      <c r="O333" s="63">
        <v>50362.400000000001</v>
      </c>
      <c r="P333" s="63">
        <v>52205.56</v>
      </c>
      <c r="Q333" s="62">
        <v>2080</v>
      </c>
      <c r="R333" s="62">
        <v>1780</v>
      </c>
      <c r="S333" s="63">
        <v>53996.800000000003</v>
      </c>
      <c r="T333" s="63">
        <v>46208.800000000003</v>
      </c>
      <c r="U333" s="55" t="s">
        <v>1099</v>
      </c>
    </row>
    <row r="334" spans="1:21" ht="15">
      <c r="A334" s="55" t="s">
        <v>883</v>
      </c>
      <c r="B334" s="55" t="s">
        <v>598</v>
      </c>
      <c r="C334" s="55" t="s">
        <v>466</v>
      </c>
      <c r="D334" s="55" t="s">
        <v>1230</v>
      </c>
      <c r="E334" s="55" t="s">
        <v>213</v>
      </c>
      <c r="F334" s="55" t="s">
        <v>683</v>
      </c>
      <c r="G334" s="55" t="s">
        <v>639</v>
      </c>
      <c r="H334" s="62">
        <v>0</v>
      </c>
      <c r="I334" s="62">
        <v>0</v>
      </c>
      <c r="J334" s="62">
        <v>16</v>
      </c>
      <c r="K334" s="63">
        <v>0</v>
      </c>
      <c r="L334" s="63">
        <v>410.08</v>
      </c>
      <c r="M334" s="62">
        <v>0</v>
      </c>
      <c r="N334" s="62">
        <v>0</v>
      </c>
      <c r="O334" s="63">
        <v>0</v>
      </c>
      <c r="P334" s="63">
        <v>0</v>
      </c>
      <c r="Q334" s="62">
        <v>0</v>
      </c>
      <c r="R334" s="62">
        <v>0</v>
      </c>
      <c r="S334" s="63">
        <v>0</v>
      </c>
      <c r="T334" s="63">
        <v>0</v>
      </c>
      <c r="U334" s="55" t="s">
        <v>1231</v>
      </c>
    </row>
    <row r="335" spans="1:21" ht="15">
      <c r="A335" s="55" t="s">
        <v>883</v>
      </c>
      <c r="B335" s="55" t="s">
        <v>598</v>
      </c>
      <c r="C335" s="55" t="s">
        <v>1232</v>
      </c>
      <c r="D335" s="55" t="s">
        <v>1233</v>
      </c>
      <c r="E335" s="55" t="s">
        <v>213</v>
      </c>
      <c r="F335" s="55" t="s">
        <v>684</v>
      </c>
      <c r="G335" s="55" t="s">
        <v>639</v>
      </c>
      <c r="H335" s="62">
        <v>0</v>
      </c>
      <c r="I335" s="62">
        <v>0</v>
      </c>
      <c r="J335" s="62">
        <v>675</v>
      </c>
      <c r="K335" s="63">
        <v>0</v>
      </c>
      <c r="L335" s="63">
        <v>42369.75</v>
      </c>
      <c r="M335" s="62">
        <v>0</v>
      </c>
      <c r="N335" s="62">
        <v>0</v>
      </c>
      <c r="O335" s="63">
        <v>0</v>
      </c>
      <c r="P335" s="63">
        <v>0</v>
      </c>
      <c r="Q335" s="62">
        <v>0</v>
      </c>
      <c r="R335" s="62">
        <v>200</v>
      </c>
      <c r="S335" s="63">
        <v>0</v>
      </c>
      <c r="T335" s="63">
        <v>12554</v>
      </c>
      <c r="U335" s="55" t="s">
        <v>1234</v>
      </c>
    </row>
    <row r="336" spans="1:21" ht="15">
      <c r="A336" s="55" t="s">
        <v>884</v>
      </c>
      <c r="B336" s="55" t="s">
        <v>750</v>
      </c>
      <c r="C336" s="55" t="s">
        <v>494</v>
      </c>
      <c r="D336" s="55" t="s">
        <v>751</v>
      </c>
      <c r="E336" s="55" t="s">
        <v>224</v>
      </c>
      <c r="F336" s="55" t="s">
        <v>683</v>
      </c>
      <c r="G336" s="55" t="s">
        <v>643</v>
      </c>
      <c r="H336" s="62">
        <v>0</v>
      </c>
      <c r="I336" s="62">
        <v>150</v>
      </c>
      <c r="J336" s="62">
        <v>0</v>
      </c>
      <c r="K336" s="63">
        <v>4839</v>
      </c>
      <c r="L336" s="63">
        <v>0</v>
      </c>
      <c r="M336" s="62">
        <v>150</v>
      </c>
      <c r="N336" s="62">
        <v>0</v>
      </c>
      <c r="O336" s="63">
        <v>4839</v>
      </c>
      <c r="P336" s="63">
        <v>0</v>
      </c>
      <c r="Q336" s="62">
        <v>0</v>
      </c>
      <c r="R336" s="62">
        <v>0</v>
      </c>
      <c r="S336" s="63">
        <v>0</v>
      </c>
      <c r="T336" s="63">
        <v>0</v>
      </c>
      <c r="U336" s="55" t="s">
        <v>494</v>
      </c>
    </row>
    <row r="337" spans="1:21" ht="15">
      <c r="A337" s="55" t="s">
        <v>997</v>
      </c>
      <c r="B337" s="55" t="s">
        <v>998</v>
      </c>
      <c r="C337" s="55" t="s">
        <v>521</v>
      </c>
      <c r="D337" s="55" t="s">
        <v>999</v>
      </c>
      <c r="E337" s="55" t="s">
        <v>224</v>
      </c>
      <c r="F337" s="55" t="s">
        <v>683</v>
      </c>
      <c r="G337" s="55" t="s">
        <v>639</v>
      </c>
      <c r="H337" s="62">
        <v>0</v>
      </c>
      <c r="I337" s="62">
        <v>1000</v>
      </c>
      <c r="J337" s="62">
        <v>1000</v>
      </c>
      <c r="K337" s="63">
        <v>37670</v>
      </c>
      <c r="L337" s="63">
        <v>37670</v>
      </c>
      <c r="M337" s="62">
        <v>0</v>
      </c>
      <c r="N337" s="62">
        <v>-2000</v>
      </c>
      <c r="O337" s="63">
        <v>0</v>
      </c>
      <c r="P337" s="63">
        <v>-75340</v>
      </c>
      <c r="Q337" s="62">
        <v>1000</v>
      </c>
      <c r="R337" s="62">
        <v>0</v>
      </c>
      <c r="S337" s="63">
        <v>37670</v>
      </c>
      <c r="T337" s="63">
        <v>0</v>
      </c>
      <c r="U337" s="55" t="s">
        <v>1235</v>
      </c>
    </row>
    <row r="338" spans="1:21" ht="15">
      <c r="A338" s="55" t="s">
        <v>885</v>
      </c>
      <c r="B338" s="55" t="s">
        <v>599</v>
      </c>
      <c r="C338" s="55" t="s">
        <v>810</v>
      </c>
      <c r="D338" s="55" t="s">
        <v>831</v>
      </c>
      <c r="E338" s="55" t="s">
        <v>213</v>
      </c>
      <c r="F338" s="55" t="s">
        <v>683</v>
      </c>
      <c r="G338" s="55" t="s">
        <v>638</v>
      </c>
      <c r="H338" s="62">
        <v>29400</v>
      </c>
      <c r="I338" s="62">
        <v>512</v>
      </c>
      <c r="J338" s="62">
        <v>544</v>
      </c>
      <c r="K338" s="63">
        <v>135920.64000000001</v>
      </c>
      <c r="L338" s="63">
        <v>144415.67999999999</v>
      </c>
      <c r="M338" s="62">
        <v>224</v>
      </c>
      <c r="N338" s="62">
        <v>228</v>
      </c>
      <c r="O338" s="63">
        <v>59465.279999999999</v>
      </c>
      <c r="P338" s="63">
        <v>60527.16</v>
      </c>
      <c r="Q338" s="62">
        <v>32</v>
      </c>
      <c r="R338" s="62">
        <v>3</v>
      </c>
      <c r="S338" s="63">
        <v>8495.0400000000009</v>
      </c>
      <c r="T338" s="63">
        <v>796.41</v>
      </c>
      <c r="U338" s="55" t="s">
        <v>1236</v>
      </c>
    </row>
    <row r="339" spans="1:21" ht="15">
      <c r="A339" s="55" t="s">
        <v>885</v>
      </c>
      <c r="B339" s="55" t="s">
        <v>599</v>
      </c>
      <c r="C339" s="55" t="s">
        <v>811</v>
      </c>
      <c r="D339" s="55" t="s">
        <v>832</v>
      </c>
      <c r="E339" s="55" t="s">
        <v>213</v>
      </c>
      <c r="F339" s="55" t="s">
        <v>683</v>
      </c>
      <c r="G339" s="55" t="s">
        <v>638</v>
      </c>
      <c r="H339" s="62">
        <v>0</v>
      </c>
      <c r="I339" s="62">
        <v>520</v>
      </c>
      <c r="J339" s="62">
        <v>600</v>
      </c>
      <c r="K339" s="63">
        <v>42764.800000000003</v>
      </c>
      <c r="L339" s="63">
        <v>49344</v>
      </c>
      <c r="M339" s="62">
        <v>200</v>
      </c>
      <c r="N339" s="62">
        <v>244</v>
      </c>
      <c r="O339" s="63">
        <v>16448</v>
      </c>
      <c r="P339" s="63">
        <v>20066.560000000001</v>
      </c>
      <c r="Q339" s="62">
        <v>0</v>
      </c>
      <c r="R339" s="62">
        <v>3</v>
      </c>
      <c r="S339" s="63">
        <v>0</v>
      </c>
      <c r="T339" s="63">
        <v>246.72</v>
      </c>
      <c r="U339" s="55" t="s">
        <v>1237</v>
      </c>
    </row>
    <row r="340" spans="1:21" ht="15">
      <c r="A340" s="55" t="s">
        <v>885</v>
      </c>
      <c r="B340" s="55" t="s">
        <v>599</v>
      </c>
      <c r="C340" s="55" t="s">
        <v>330</v>
      </c>
      <c r="D340" s="55" t="s">
        <v>654</v>
      </c>
      <c r="E340" s="55" t="s">
        <v>214</v>
      </c>
      <c r="F340" s="55" t="s">
        <v>683</v>
      </c>
      <c r="G340" s="55" t="s">
        <v>638</v>
      </c>
      <c r="H340" s="62">
        <v>0</v>
      </c>
      <c r="I340" s="62">
        <v>60</v>
      </c>
      <c r="J340" s="62">
        <v>60</v>
      </c>
      <c r="K340" s="63">
        <v>4664.3999999999996</v>
      </c>
      <c r="L340" s="63">
        <v>4664.3999999999996</v>
      </c>
      <c r="M340" s="62">
        <v>0</v>
      </c>
      <c r="N340" s="62">
        <v>30</v>
      </c>
      <c r="O340" s="63">
        <v>0</v>
      </c>
      <c r="P340" s="63">
        <v>2332.1999999999998</v>
      </c>
      <c r="Q340" s="62">
        <v>60</v>
      </c>
      <c r="R340" s="62">
        <v>0</v>
      </c>
      <c r="S340" s="63">
        <v>4664.3999999999996</v>
      </c>
      <c r="T340" s="63">
        <v>0</v>
      </c>
      <c r="U340" s="55" t="s">
        <v>1238</v>
      </c>
    </row>
    <row r="341" spans="1:21" ht="15">
      <c r="A341" s="55" t="s">
        <v>995</v>
      </c>
      <c r="B341" s="55" t="s">
        <v>773</v>
      </c>
      <c r="C341" s="55" t="s">
        <v>462</v>
      </c>
      <c r="D341" s="55" t="s">
        <v>772</v>
      </c>
      <c r="E341" s="55" t="s">
        <v>214</v>
      </c>
      <c r="F341" s="55" t="s">
        <v>683</v>
      </c>
      <c r="G341" s="55" t="s">
        <v>638</v>
      </c>
      <c r="H341" s="62">
        <v>0</v>
      </c>
      <c r="I341" s="62">
        <v>12</v>
      </c>
      <c r="J341" s="62">
        <v>12</v>
      </c>
      <c r="K341" s="63">
        <v>1872.96</v>
      </c>
      <c r="L341" s="63">
        <v>1872.96</v>
      </c>
      <c r="M341" s="62">
        <v>136</v>
      </c>
      <c r="N341" s="62">
        <v>156</v>
      </c>
      <c r="O341" s="63">
        <v>21226.880000000001</v>
      </c>
      <c r="P341" s="63">
        <v>24348.48</v>
      </c>
      <c r="Q341" s="62">
        <v>160</v>
      </c>
      <c r="R341" s="62">
        <v>60</v>
      </c>
      <c r="S341" s="63">
        <v>24972.799999999999</v>
      </c>
      <c r="T341" s="63">
        <v>9364.7999999999993</v>
      </c>
      <c r="U341" s="55" t="s">
        <v>1213</v>
      </c>
    </row>
    <row r="342" spans="1:21" ht="15">
      <c r="A342" s="55" t="s">
        <v>1006</v>
      </c>
      <c r="B342" s="55" t="s">
        <v>1007</v>
      </c>
      <c r="C342" s="55" t="s">
        <v>554</v>
      </c>
      <c r="D342" s="55" t="s">
        <v>555</v>
      </c>
      <c r="E342" s="55" t="s">
        <v>214</v>
      </c>
      <c r="F342" s="55" t="s">
        <v>683</v>
      </c>
      <c r="G342" s="55" t="s">
        <v>638</v>
      </c>
      <c r="H342" s="62">
        <v>0</v>
      </c>
      <c r="I342" s="62">
        <v>0</v>
      </c>
      <c r="J342" s="62">
        <v>0</v>
      </c>
      <c r="K342" s="63">
        <v>0</v>
      </c>
      <c r="L342" s="63">
        <v>0</v>
      </c>
      <c r="M342" s="62">
        <v>300</v>
      </c>
      <c r="N342" s="62">
        <v>300</v>
      </c>
      <c r="O342" s="63">
        <v>12561</v>
      </c>
      <c r="P342" s="63">
        <v>12561</v>
      </c>
      <c r="Q342" s="62">
        <v>0</v>
      </c>
      <c r="R342" s="62">
        <v>0</v>
      </c>
      <c r="S342" s="63">
        <v>0</v>
      </c>
      <c r="T342" s="63">
        <v>0</v>
      </c>
      <c r="U342" s="55" t="s">
        <v>1239</v>
      </c>
    </row>
    <row r="343" spans="1:21" ht="15">
      <c r="A343" s="55" t="s">
        <v>886</v>
      </c>
      <c r="B343" s="55" t="s">
        <v>612</v>
      </c>
      <c r="C343" s="67">
        <v>6508817700</v>
      </c>
      <c r="D343" s="55" t="s">
        <v>699</v>
      </c>
      <c r="E343" s="55" t="s">
        <v>213</v>
      </c>
      <c r="F343" s="55" t="s">
        <v>683</v>
      </c>
      <c r="G343" s="55" t="s">
        <v>643</v>
      </c>
      <c r="H343" s="62">
        <v>0</v>
      </c>
      <c r="I343" s="62">
        <v>0</v>
      </c>
      <c r="J343" s="62">
        <v>0</v>
      </c>
      <c r="K343" s="63">
        <v>0</v>
      </c>
      <c r="L343" s="63">
        <v>0</v>
      </c>
      <c r="M343" s="62">
        <v>0</v>
      </c>
      <c r="N343" s="62">
        <v>0</v>
      </c>
      <c r="O343" s="63">
        <v>0</v>
      </c>
      <c r="P343" s="63">
        <v>0</v>
      </c>
      <c r="Q343" s="62">
        <v>66</v>
      </c>
      <c r="R343" s="62">
        <v>0</v>
      </c>
      <c r="S343" s="63">
        <v>292.38</v>
      </c>
      <c r="T343" s="63">
        <v>0</v>
      </c>
      <c r="U343" s="55" t="s">
        <v>1240</v>
      </c>
    </row>
    <row r="344" spans="1:21" ht="15">
      <c r="A344" s="55" t="s">
        <v>886</v>
      </c>
      <c r="B344" s="55" t="s">
        <v>612</v>
      </c>
      <c r="C344" s="55" t="s">
        <v>838</v>
      </c>
      <c r="D344" s="55" t="s">
        <v>1241</v>
      </c>
      <c r="E344" s="55" t="s">
        <v>837</v>
      </c>
      <c r="F344" s="55" t="s">
        <v>683</v>
      </c>
      <c r="G344" s="55" t="s">
        <v>643</v>
      </c>
      <c r="H344" s="62">
        <v>0</v>
      </c>
      <c r="I344" s="62">
        <v>0</v>
      </c>
      <c r="J344" s="62">
        <v>0</v>
      </c>
      <c r="K344" s="63">
        <v>0</v>
      </c>
      <c r="L344" s="63">
        <v>0</v>
      </c>
      <c r="M344" s="62">
        <v>0</v>
      </c>
      <c r="N344" s="62">
        <v>10</v>
      </c>
      <c r="O344" s="63">
        <v>0</v>
      </c>
      <c r="P344" s="63">
        <v>60</v>
      </c>
      <c r="Q344" s="62">
        <v>0</v>
      </c>
      <c r="R344" s="62">
        <v>0</v>
      </c>
      <c r="S344" s="63">
        <v>0</v>
      </c>
      <c r="T344" s="63">
        <v>0</v>
      </c>
      <c r="U344" s="55" t="s">
        <v>1242</v>
      </c>
    </row>
    <row r="345" spans="1:21" ht="15">
      <c r="A345" s="55" t="s">
        <v>1243</v>
      </c>
      <c r="B345" s="55" t="s">
        <v>1244</v>
      </c>
      <c r="C345" s="67">
        <v>97235925</v>
      </c>
      <c r="D345" s="55" t="s">
        <v>1245</v>
      </c>
      <c r="E345" s="55" t="s">
        <v>214</v>
      </c>
      <c r="F345" s="55" t="s">
        <v>683</v>
      </c>
      <c r="G345" s="55" t="s">
        <v>1246</v>
      </c>
      <c r="H345" s="62">
        <v>0</v>
      </c>
      <c r="I345" s="62">
        <v>1300</v>
      </c>
      <c r="J345" s="62">
        <v>0</v>
      </c>
      <c r="K345" s="63">
        <v>106093</v>
      </c>
      <c r="L345" s="63">
        <v>0</v>
      </c>
      <c r="M345" s="62">
        <v>0</v>
      </c>
      <c r="N345" s="62">
        <v>0</v>
      </c>
      <c r="O345" s="63">
        <v>0</v>
      </c>
      <c r="P345" s="63">
        <v>0</v>
      </c>
      <c r="Q345" s="62">
        <v>0</v>
      </c>
      <c r="R345" s="62">
        <v>0</v>
      </c>
      <c r="S345" s="63">
        <v>0</v>
      </c>
      <c r="T345" s="63">
        <v>0</v>
      </c>
      <c r="U345" s="55" t="s">
        <v>1247</v>
      </c>
    </row>
    <row r="346" spans="1:21" ht="15">
      <c r="A346" s="55" t="s">
        <v>1248</v>
      </c>
      <c r="B346" s="55" t="s">
        <v>1249</v>
      </c>
      <c r="C346" s="55" t="s">
        <v>1250</v>
      </c>
      <c r="D346" s="55" t="s">
        <v>1251</v>
      </c>
      <c r="E346" s="55" t="s">
        <v>213</v>
      </c>
      <c r="F346" s="55" t="s">
        <v>683</v>
      </c>
      <c r="G346" s="55" t="s">
        <v>1246</v>
      </c>
      <c r="H346" s="62">
        <v>0</v>
      </c>
      <c r="I346" s="62">
        <v>0</v>
      </c>
      <c r="J346" s="62">
        <v>14</v>
      </c>
      <c r="K346" s="63">
        <v>0</v>
      </c>
      <c r="L346" s="63">
        <v>58491.58</v>
      </c>
      <c r="M346" s="62">
        <v>0</v>
      </c>
      <c r="N346" s="62">
        <v>0</v>
      </c>
      <c r="O346" s="63">
        <v>0</v>
      </c>
      <c r="P346" s="63">
        <v>0</v>
      </c>
      <c r="Q346" s="62">
        <v>0</v>
      </c>
      <c r="R346" s="62">
        <v>0</v>
      </c>
      <c r="S346" s="63">
        <v>0</v>
      </c>
      <c r="T346" s="63">
        <v>0</v>
      </c>
      <c r="U346" s="55"/>
    </row>
    <row r="347" spans="1:21" ht="15">
      <c r="A347" s="64"/>
      <c r="B347" s="64"/>
      <c r="C347" s="64"/>
      <c r="D347" s="64"/>
      <c r="E347" s="64"/>
      <c r="F347" s="64"/>
      <c r="G347" s="64"/>
      <c r="H347" s="65"/>
      <c r="I347" s="65">
        <v>2024644</v>
      </c>
      <c r="J347" s="65">
        <v>1985005</v>
      </c>
      <c r="K347" s="66">
        <v>37906139.659999996</v>
      </c>
      <c r="L347" s="66">
        <v>36266948.07</v>
      </c>
      <c r="M347" s="65">
        <v>2006719</v>
      </c>
      <c r="N347" s="65">
        <v>1916924</v>
      </c>
      <c r="O347" s="66">
        <v>37837421.450000003</v>
      </c>
      <c r="P347" s="66">
        <v>30680745.41</v>
      </c>
      <c r="Q347" s="65">
        <v>2218198</v>
      </c>
      <c r="R347" s="65">
        <v>478494</v>
      </c>
      <c r="S347" s="66">
        <v>40158781.829999998</v>
      </c>
      <c r="T347" s="66">
        <v>5382023.4800000004</v>
      </c>
      <c r="U347" s="64"/>
    </row>
  </sheetData>
  <autoFilter ref="A1:P374" xr:uid="{00000000-0009-0000-0000-000002000000}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72C4-3E2A-4BB3-8FBF-1E3B4359A7F6}">
  <dimension ref="A1:F938"/>
  <sheetViews>
    <sheetView tabSelected="1" workbookViewId="0">
      <selection activeCell="C23" sqref="C23"/>
    </sheetView>
  </sheetViews>
  <sheetFormatPr defaultRowHeight="15"/>
  <cols>
    <col min="1" max="1" width="19.21875" style="54" bestFit="1" customWidth="1"/>
    <col min="2" max="2" width="6" style="53" bestFit="1" customWidth="1"/>
    <col min="3" max="3" width="17.21875" style="53" bestFit="1" customWidth="1"/>
    <col min="4" max="4" width="20.21875" style="53" bestFit="1" customWidth="1"/>
    <col min="5" max="5" width="21.33203125" style="53" bestFit="1" customWidth="1"/>
    <col min="6" max="6" width="13.109375" style="54" bestFit="1" customWidth="1"/>
  </cols>
  <sheetData>
    <row r="1" spans="1:6">
      <c r="A1" s="56" t="s">
        <v>212</v>
      </c>
      <c r="B1" s="57" t="s">
        <v>1023</v>
      </c>
      <c r="C1" s="57" t="s">
        <v>1024</v>
      </c>
      <c r="D1" s="57" t="s">
        <v>1025</v>
      </c>
      <c r="E1" s="57" t="s">
        <v>1026</v>
      </c>
      <c r="F1" s="56" t="s">
        <v>894</v>
      </c>
    </row>
    <row r="2" spans="1:6">
      <c r="A2" s="58">
        <v>97215052</v>
      </c>
      <c r="B2" s="55" t="s">
        <v>615</v>
      </c>
      <c r="C2" s="55" t="s">
        <v>1027</v>
      </c>
      <c r="D2" s="55"/>
      <c r="E2" s="55" t="s">
        <v>0</v>
      </c>
      <c r="F2" s="59">
        <v>0</v>
      </c>
    </row>
    <row r="3" spans="1:6">
      <c r="A3" s="58">
        <v>97235925</v>
      </c>
      <c r="B3" s="55" t="s">
        <v>615</v>
      </c>
      <c r="C3" s="55" t="s">
        <v>1027</v>
      </c>
      <c r="D3" s="55"/>
      <c r="E3" s="55" t="s">
        <v>0</v>
      </c>
      <c r="F3" s="59">
        <v>1388</v>
      </c>
    </row>
    <row r="4" spans="1:6">
      <c r="A4" s="58">
        <v>97235925</v>
      </c>
      <c r="B4" s="55" t="s">
        <v>615</v>
      </c>
      <c r="C4" s="55" t="s">
        <v>1028</v>
      </c>
      <c r="D4" s="55"/>
      <c r="E4" s="55" t="s">
        <v>0</v>
      </c>
      <c r="F4" s="59">
        <v>480</v>
      </c>
    </row>
    <row r="5" spans="1:6">
      <c r="A5" s="58">
        <v>97946549</v>
      </c>
      <c r="B5" s="55" t="s">
        <v>615</v>
      </c>
      <c r="C5" s="55" t="s">
        <v>1027</v>
      </c>
      <c r="D5" s="55"/>
      <c r="E5" s="55" t="s">
        <v>0</v>
      </c>
      <c r="F5" s="59">
        <v>51</v>
      </c>
    </row>
    <row r="6" spans="1:6">
      <c r="A6" s="58">
        <v>97946803</v>
      </c>
      <c r="B6" s="55" t="s">
        <v>615</v>
      </c>
      <c r="C6" s="55" t="s">
        <v>1027</v>
      </c>
      <c r="D6" s="55"/>
      <c r="E6" s="55" t="s">
        <v>0</v>
      </c>
      <c r="F6" s="59">
        <v>0</v>
      </c>
    </row>
    <row r="7" spans="1:6">
      <c r="A7" s="58">
        <v>1511720971</v>
      </c>
      <c r="B7" s="55" t="s">
        <v>615</v>
      </c>
      <c r="C7" s="55" t="s">
        <v>1027</v>
      </c>
      <c r="D7" s="55"/>
      <c r="E7" s="55" t="s">
        <v>0</v>
      </c>
      <c r="F7" s="59">
        <v>10</v>
      </c>
    </row>
    <row r="8" spans="1:6">
      <c r="A8" s="58">
        <v>1511720971</v>
      </c>
      <c r="B8" s="55" t="s">
        <v>615</v>
      </c>
      <c r="C8" s="55" t="s">
        <v>1029</v>
      </c>
      <c r="D8" s="55"/>
      <c r="E8" s="55" t="s">
        <v>0</v>
      </c>
      <c r="F8" s="59">
        <v>60</v>
      </c>
    </row>
    <row r="9" spans="1:6">
      <c r="A9" s="58">
        <v>1511720971</v>
      </c>
      <c r="B9" s="55" t="s">
        <v>615</v>
      </c>
      <c r="C9" s="55" t="s">
        <v>1028</v>
      </c>
      <c r="D9" s="55"/>
      <c r="E9" s="55" t="s">
        <v>0</v>
      </c>
      <c r="F9" s="59">
        <v>24</v>
      </c>
    </row>
    <row r="10" spans="1:6">
      <c r="A10" s="58">
        <v>6508817700</v>
      </c>
      <c r="B10" s="55" t="s">
        <v>615</v>
      </c>
      <c r="C10" s="55" t="s">
        <v>1027</v>
      </c>
      <c r="D10" s="55"/>
      <c r="E10" s="55" t="s">
        <v>0</v>
      </c>
      <c r="F10" s="59">
        <v>67</v>
      </c>
    </row>
    <row r="11" spans="1:6">
      <c r="A11" s="58">
        <v>7552008070</v>
      </c>
      <c r="B11" s="55" t="s">
        <v>615</v>
      </c>
      <c r="C11" s="55" t="s">
        <v>1028</v>
      </c>
      <c r="D11" s="55"/>
      <c r="E11" s="55" t="s">
        <v>0</v>
      </c>
      <c r="F11" s="59">
        <v>30</v>
      </c>
    </row>
    <row r="12" spans="1:6">
      <c r="A12" s="58">
        <v>7552296440</v>
      </c>
      <c r="B12" s="55" t="s">
        <v>615</v>
      </c>
      <c r="C12" s="55" t="s">
        <v>1028</v>
      </c>
      <c r="D12" s="55"/>
      <c r="E12" s="55" t="s">
        <v>0</v>
      </c>
      <c r="F12" s="59">
        <v>60</v>
      </c>
    </row>
    <row r="13" spans="1:6">
      <c r="A13" s="58">
        <v>7552296440</v>
      </c>
      <c r="B13" s="55" t="s">
        <v>615</v>
      </c>
      <c r="C13" s="55" t="s">
        <v>1028</v>
      </c>
      <c r="D13" s="55"/>
      <c r="E13" s="55" t="s">
        <v>0</v>
      </c>
      <c r="F13" s="59">
        <v>145</v>
      </c>
    </row>
    <row r="14" spans="1:6">
      <c r="A14" s="58">
        <v>7553180490</v>
      </c>
      <c r="B14" s="55" t="s">
        <v>615</v>
      </c>
      <c r="C14" s="55" t="s">
        <v>1028</v>
      </c>
      <c r="D14" s="55"/>
      <c r="E14" s="55" t="s">
        <v>0</v>
      </c>
      <c r="F14" s="59">
        <v>105</v>
      </c>
    </row>
    <row r="15" spans="1:6">
      <c r="A15" s="58">
        <v>7553180490</v>
      </c>
      <c r="B15" s="55" t="s">
        <v>615</v>
      </c>
      <c r="C15" s="55" t="s">
        <v>1028</v>
      </c>
      <c r="D15" s="55"/>
      <c r="E15" s="55" t="s">
        <v>0</v>
      </c>
      <c r="F15" s="59">
        <v>1065</v>
      </c>
    </row>
    <row r="16" spans="1:6">
      <c r="A16" s="58">
        <v>8519806800</v>
      </c>
      <c r="B16" s="55" t="s">
        <v>615</v>
      </c>
      <c r="C16" s="55" t="s">
        <v>1028</v>
      </c>
      <c r="D16" s="55"/>
      <c r="E16" s="55" t="s">
        <v>0</v>
      </c>
      <c r="F16" s="59">
        <v>11</v>
      </c>
    </row>
    <row r="17" spans="1:6">
      <c r="A17" s="58">
        <v>8975579810</v>
      </c>
      <c r="B17" s="55" t="s">
        <v>615</v>
      </c>
      <c r="C17" s="55" t="s">
        <v>1028</v>
      </c>
      <c r="D17" s="55"/>
      <c r="E17" s="55" t="s">
        <v>0</v>
      </c>
      <c r="F17" s="59">
        <v>12</v>
      </c>
    </row>
    <row r="18" spans="1:6">
      <c r="A18" s="58">
        <v>8975579810</v>
      </c>
      <c r="B18" s="55" t="s">
        <v>615</v>
      </c>
      <c r="C18" s="55" t="s">
        <v>1029</v>
      </c>
      <c r="D18" s="55"/>
      <c r="E18" s="55" t="s">
        <v>0</v>
      </c>
      <c r="F18" s="59">
        <v>24</v>
      </c>
    </row>
    <row r="19" spans="1:6">
      <c r="A19" s="58">
        <v>8978760470</v>
      </c>
      <c r="B19" s="55" t="s">
        <v>615</v>
      </c>
      <c r="C19" s="55" t="s">
        <v>1028</v>
      </c>
      <c r="D19" s="55"/>
      <c r="E19" s="55" t="s">
        <v>0</v>
      </c>
      <c r="F19" s="59">
        <v>4</v>
      </c>
    </row>
    <row r="20" spans="1:6">
      <c r="A20" s="58">
        <v>8978760470</v>
      </c>
      <c r="B20" s="55" t="s">
        <v>615</v>
      </c>
      <c r="C20" s="55" t="s">
        <v>1029</v>
      </c>
      <c r="D20" s="55"/>
      <c r="E20" s="55" t="s">
        <v>0</v>
      </c>
      <c r="F20" s="59">
        <v>75</v>
      </c>
    </row>
    <row r="21" spans="1:6">
      <c r="A21" s="58">
        <v>8978760470</v>
      </c>
      <c r="B21" s="55" t="s">
        <v>615</v>
      </c>
      <c r="C21" s="55" t="s">
        <v>1028</v>
      </c>
      <c r="D21" s="55"/>
      <c r="E21" s="55" t="s">
        <v>0</v>
      </c>
      <c r="F21" s="59">
        <v>165</v>
      </c>
    </row>
    <row r="22" spans="1:6">
      <c r="A22" s="58">
        <v>8983943812</v>
      </c>
      <c r="B22" s="55" t="s">
        <v>615</v>
      </c>
      <c r="C22" s="55" t="s">
        <v>1027</v>
      </c>
      <c r="D22" s="55"/>
      <c r="E22" s="55" t="s">
        <v>0</v>
      </c>
      <c r="F22" s="59">
        <v>8</v>
      </c>
    </row>
    <row r="23" spans="1:6">
      <c r="A23" s="58">
        <v>8983943812</v>
      </c>
      <c r="B23" s="55" t="s">
        <v>615</v>
      </c>
      <c r="C23" s="55" t="s">
        <v>1027</v>
      </c>
      <c r="D23" s="55"/>
      <c r="E23" s="55" t="s">
        <v>0</v>
      </c>
      <c r="F23" s="59">
        <v>4</v>
      </c>
    </row>
    <row r="24" spans="1:6">
      <c r="A24" s="58">
        <v>8983943812</v>
      </c>
      <c r="B24" s="55" t="s">
        <v>615</v>
      </c>
      <c r="C24" s="55" t="s">
        <v>1029</v>
      </c>
      <c r="D24" s="55"/>
      <c r="E24" s="55" t="s">
        <v>0</v>
      </c>
      <c r="F24" s="59">
        <v>165</v>
      </c>
    </row>
    <row r="25" spans="1:6">
      <c r="A25" s="58">
        <v>8983943830</v>
      </c>
      <c r="B25" s="55" t="s">
        <v>615</v>
      </c>
      <c r="C25" s="55" t="s">
        <v>1028</v>
      </c>
      <c r="D25" s="55"/>
      <c r="E25" s="55" t="s">
        <v>0</v>
      </c>
      <c r="F25" s="59">
        <v>6</v>
      </c>
    </row>
    <row r="26" spans="1:6">
      <c r="A26" s="58">
        <v>8983943851</v>
      </c>
      <c r="B26" s="55" t="s">
        <v>615</v>
      </c>
      <c r="C26" s="55" t="s">
        <v>1029</v>
      </c>
      <c r="D26" s="55"/>
      <c r="E26" s="55" t="s">
        <v>0</v>
      </c>
      <c r="F26" s="59">
        <v>4</v>
      </c>
    </row>
    <row r="27" spans="1:6">
      <c r="A27" s="58">
        <v>8983943860</v>
      </c>
      <c r="B27" s="55" t="s">
        <v>615</v>
      </c>
      <c r="C27" s="55" t="s">
        <v>1028</v>
      </c>
      <c r="D27" s="55"/>
      <c r="E27" s="55" t="s">
        <v>0</v>
      </c>
      <c r="F27" s="59">
        <v>20</v>
      </c>
    </row>
    <row r="28" spans="1:6">
      <c r="A28" s="58">
        <v>8983943862</v>
      </c>
      <c r="B28" s="55" t="s">
        <v>615</v>
      </c>
      <c r="C28" s="55" t="s">
        <v>1027</v>
      </c>
      <c r="D28" s="55"/>
      <c r="E28" s="55" t="s">
        <v>0</v>
      </c>
      <c r="F28" s="59">
        <v>2</v>
      </c>
    </row>
    <row r="29" spans="1:6">
      <c r="A29" s="58">
        <v>8983943862</v>
      </c>
      <c r="B29" s="55" t="s">
        <v>615</v>
      </c>
      <c r="C29" s="55" t="s">
        <v>1027</v>
      </c>
      <c r="D29" s="55"/>
      <c r="E29" s="55" t="s">
        <v>0</v>
      </c>
      <c r="F29" s="59">
        <v>130</v>
      </c>
    </row>
    <row r="30" spans="1:6">
      <c r="A30" s="58">
        <v>8983943862</v>
      </c>
      <c r="B30" s="55" t="s">
        <v>615</v>
      </c>
      <c r="C30" s="55" t="s">
        <v>1028</v>
      </c>
      <c r="D30" s="55"/>
      <c r="E30" s="55" t="s">
        <v>0</v>
      </c>
      <c r="F30" s="59">
        <v>351</v>
      </c>
    </row>
    <row r="31" spans="1:6">
      <c r="A31" s="58">
        <v>8983947931</v>
      </c>
      <c r="B31" s="55" t="s">
        <v>615</v>
      </c>
      <c r="C31" s="55" t="s">
        <v>1027</v>
      </c>
      <c r="D31" s="55"/>
      <c r="E31" s="55" t="s">
        <v>0</v>
      </c>
      <c r="F31" s="59">
        <v>21</v>
      </c>
    </row>
    <row r="32" spans="1:6">
      <c r="A32" s="58">
        <v>8983947931</v>
      </c>
      <c r="B32" s="55" t="s">
        <v>615</v>
      </c>
      <c r="C32" s="55" t="s">
        <v>1029</v>
      </c>
      <c r="D32" s="55"/>
      <c r="E32" s="55" t="s">
        <v>0</v>
      </c>
      <c r="F32" s="59">
        <v>480</v>
      </c>
    </row>
    <row r="33" spans="1:6">
      <c r="A33" s="58">
        <v>8983947931</v>
      </c>
      <c r="B33" s="55" t="s">
        <v>615</v>
      </c>
      <c r="C33" s="55" t="s">
        <v>1028</v>
      </c>
      <c r="D33" s="55"/>
      <c r="E33" s="55" t="s">
        <v>0</v>
      </c>
      <c r="F33" s="59">
        <v>2160</v>
      </c>
    </row>
    <row r="34" spans="1:6">
      <c r="A34" s="58">
        <v>8983954210</v>
      </c>
      <c r="B34" s="55" t="s">
        <v>615</v>
      </c>
      <c r="C34" s="55" t="s">
        <v>1027</v>
      </c>
      <c r="D34" s="55"/>
      <c r="E34" s="55" t="s">
        <v>0</v>
      </c>
      <c r="F34" s="59">
        <v>16</v>
      </c>
    </row>
    <row r="35" spans="1:6">
      <c r="A35" s="58">
        <v>8983954210</v>
      </c>
      <c r="B35" s="55" t="s">
        <v>615</v>
      </c>
      <c r="C35" s="55" t="s">
        <v>1029</v>
      </c>
      <c r="D35" s="55"/>
      <c r="E35" s="55" t="s">
        <v>0</v>
      </c>
      <c r="F35" s="59">
        <v>90</v>
      </c>
    </row>
    <row r="36" spans="1:6">
      <c r="A36" s="58">
        <v>8983954210</v>
      </c>
      <c r="B36" s="55" t="s">
        <v>615</v>
      </c>
      <c r="C36" s="55" t="s">
        <v>1028</v>
      </c>
      <c r="D36" s="55"/>
      <c r="E36" s="55" t="s">
        <v>0</v>
      </c>
      <c r="F36" s="59">
        <v>1665</v>
      </c>
    </row>
    <row r="37" spans="1:6">
      <c r="A37" s="54" t="s">
        <v>10</v>
      </c>
      <c r="B37" s="55" t="s">
        <v>615</v>
      </c>
      <c r="C37" s="55" t="s">
        <v>1027</v>
      </c>
      <c r="D37" s="55"/>
      <c r="E37" s="55" t="s">
        <v>0</v>
      </c>
      <c r="F37" s="59">
        <v>80</v>
      </c>
    </row>
    <row r="38" spans="1:6">
      <c r="A38" s="54" t="s">
        <v>11</v>
      </c>
      <c r="B38" s="55" t="s">
        <v>615</v>
      </c>
      <c r="C38" s="55" t="s">
        <v>1029</v>
      </c>
      <c r="D38" s="55"/>
      <c r="E38" s="55" t="s">
        <v>0</v>
      </c>
      <c r="F38" s="59">
        <v>88</v>
      </c>
    </row>
    <row r="39" spans="1:6">
      <c r="A39" s="54" t="s">
        <v>12</v>
      </c>
      <c r="B39" s="55" t="s">
        <v>615</v>
      </c>
      <c r="C39" s="55" t="s">
        <v>1028</v>
      </c>
      <c r="D39" s="55"/>
      <c r="E39" s="55" t="s">
        <v>0</v>
      </c>
      <c r="F39" s="59">
        <v>1120</v>
      </c>
    </row>
    <row r="40" spans="1:6">
      <c r="A40" s="54" t="s">
        <v>385</v>
      </c>
      <c r="B40" s="55" t="s">
        <v>615</v>
      </c>
      <c r="C40" s="55" t="s">
        <v>1030</v>
      </c>
      <c r="D40" s="55"/>
      <c r="E40" s="55" t="s">
        <v>0</v>
      </c>
      <c r="F40" s="59">
        <v>6</v>
      </c>
    </row>
    <row r="41" spans="1:6">
      <c r="A41" s="54" t="s">
        <v>385</v>
      </c>
      <c r="B41" s="55" t="s">
        <v>615</v>
      </c>
      <c r="C41" s="55" t="s">
        <v>1030</v>
      </c>
      <c r="D41" s="55"/>
      <c r="E41" s="55" t="s">
        <v>0</v>
      </c>
      <c r="F41" s="59">
        <v>72</v>
      </c>
    </row>
    <row r="42" spans="1:6">
      <c r="A42" s="54" t="s">
        <v>385</v>
      </c>
      <c r="B42" s="55" t="s">
        <v>615</v>
      </c>
      <c r="C42" s="55" t="s">
        <v>1030</v>
      </c>
      <c r="D42" s="55"/>
      <c r="E42" s="55" t="s">
        <v>0</v>
      </c>
      <c r="F42" s="59">
        <v>144</v>
      </c>
    </row>
    <row r="43" spans="1:6">
      <c r="A43" s="54" t="s">
        <v>161</v>
      </c>
      <c r="B43" s="55" t="s">
        <v>615</v>
      </c>
      <c r="C43" s="55" t="s">
        <v>1027</v>
      </c>
      <c r="D43" s="55"/>
      <c r="E43" s="55" t="s">
        <v>0</v>
      </c>
      <c r="F43" s="59">
        <v>1352</v>
      </c>
    </row>
    <row r="44" spans="1:6">
      <c r="A44" s="54" t="s">
        <v>161</v>
      </c>
      <c r="B44" s="55" t="s">
        <v>615</v>
      </c>
      <c r="C44" s="55" t="s">
        <v>1028</v>
      </c>
      <c r="D44" s="55"/>
      <c r="E44" s="55" t="s">
        <v>0</v>
      </c>
      <c r="F44" s="59">
        <v>6</v>
      </c>
    </row>
    <row r="45" spans="1:6">
      <c r="A45" s="54" t="s">
        <v>358</v>
      </c>
      <c r="B45" s="55" t="s">
        <v>615</v>
      </c>
      <c r="C45" s="55" t="s">
        <v>1030</v>
      </c>
      <c r="D45" s="55"/>
      <c r="E45" s="55" t="s">
        <v>0</v>
      </c>
      <c r="F45" s="59">
        <v>80</v>
      </c>
    </row>
    <row r="46" spans="1:6">
      <c r="A46" s="54" t="s">
        <v>449</v>
      </c>
      <c r="B46" s="55" t="s">
        <v>615</v>
      </c>
      <c r="C46" s="55" t="s">
        <v>1031</v>
      </c>
      <c r="D46" s="55"/>
      <c r="E46" s="55" t="s">
        <v>0</v>
      </c>
      <c r="F46" s="59">
        <v>8</v>
      </c>
    </row>
    <row r="47" spans="1:6">
      <c r="A47" s="54" t="s">
        <v>13</v>
      </c>
      <c r="B47" s="55" t="s">
        <v>615</v>
      </c>
      <c r="C47" s="55" t="s">
        <v>1028</v>
      </c>
      <c r="D47" s="55"/>
      <c r="E47" s="55" t="s">
        <v>0</v>
      </c>
      <c r="F47" s="59">
        <v>186</v>
      </c>
    </row>
    <row r="48" spans="1:6">
      <c r="A48" s="54" t="s">
        <v>393</v>
      </c>
      <c r="B48" s="55" t="s">
        <v>615</v>
      </c>
      <c r="C48" s="55" t="s">
        <v>1027</v>
      </c>
      <c r="D48" s="55"/>
      <c r="E48" s="55" t="s">
        <v>0</v>
      </c>
      <c r="F48" s="59">
        <v>100</v>
      </c>
    </row>
    <row r="49" spans="1:6">
      <c r="A49" s="54" t="s">
        <v>14</v>
      </c>
      <c r="B49" s="55" t="s">
        <v>615</v>
      </c>
      <c r="C49" s="55" t="s">
        <v>1027</v>
      </c>
      <c r="D49" s="55"/>
      <c r="E49" s="55" t="s">
        <v>0</v>
      </c>
      <c r="F49" s="59">
        <v>4</v>
      </c>
    </row>
    <row r="50" spans="1:6">
      <c r="A50" s="54" t="s">
        <v>399</v>
      </c>
      <c r="B50" s="55" t="s">
        <v>615</v>
      </c>
      <c r="C50" s="55" t="s">
        <v>1030</v>
      </c>
      <c r="D50" s="55"/>
      <c r="E50" s="55" t="s">
        <v>0</v>
      </c>
      <c r="F50" s="59">
        <v>48</v>
      </c>
    </row>
    <row r="51" spans="1:6">
      <c r="A51" s="54" t="s">
        <v>281</v>
      </c>
      <c r="B51" s="55" t="s">
        <v>615</v>
      </c>
      <c r="C51" s="55" t="s">
        <v>1027</v>
      </c>
      <c r="D51" s="55"/>
      <c r="E51" s="55" t="s">
        <v>0</v>
      </c>
      <c r="F51" s="59">
        <v>14</v>
      </c>
    </row>
    <row r="52" spans="1:6">
      <c r="A52" s="54" t="s">
        <v>281</v>
      </c>
      <c r="B52" s="55" t="s">
        <v>615</v>
      </c>
      <c r="C52" s="55" t="s">
        <v>1030</v>
      </c>
      <c r="D52" s="55"/>
      <c r="E52" s="55" t="s">
        <v>0</v>
      </c>
      <c r="F52" s="59">
        <v>3300</v>
      </c>
    </row>
    <row r="53" spans="1:6">
      <c r="A53" s="54" t="s">
        <v>388</v>
      </c>
      <c r="B53" s="55" t="s">
        <v>615</v>
      </c>
      <c r="C53" s="55" t="s">
        <v>1027</v>
      </c>
      <c r="D53" s="55"/>
      <c r="E53" s="55" t="s">
        <v>0</v>
      </c>
      <c r="F53" s="59">
        <v>46</v>
      </c>
    </row>
    <row r="54" spans="1:6">
      <c r="A54" s="54" t="s">
        <v>15</v>
      </c>
      <c r="B54" s="55" t="s">
        <v>615</v>
      </c>
      <c r="C54" s="55" t="s">
        <v>1027</v>
      </c>
      <c r="D54" s="55"/>
      <c r="E54" s="55" t="s">
        <v>0</v>
      </c>
      <c r="F54" s="59">
        <v>3458</v>
      </c>
    </row>
    <row r="55" spans="1:6">
      <c r="A55" s="54" t="s">
        <v>390</v>
      </c>
      <c r="B55" s="55" t="s">
        <v>615</v>
      </c>
      <c r="C55" s="55" t="s">
        <v>1028</v>
      </c>
      <c r="D55" s="55"/>
      <c r="E55" s="55" t="s">
        <v>0</v>
      </c>
      <c r="F55" s="59">
        <v>48</v>
      </c>
    </row>
    <row r="56" spans="1:6">
      <c r="A56" s="54" t="s">
        <v>16</v>
      </c>
      <c r="B56" s="55" t="s">
        <v>615</v>
      </c>
      <c r="C56" s="55" t="s">
        <v>1030</v>
      </c>
      <c r="D56" s="55"/>
      <c r="E56" s="55" t="s">
        <v>0</v>
      </c>
      <c r="F56" s="59">
        <v>204</v>
      </c>
    </row>
    <row r="57" spans="1:6">
      <c r="A57" s="54" t="s">
        <v>377</v>
      </c>
      <c r="B57" s="55" t="s">
        <v>615</v>
      </c>
      <c r="C57" s="55" t="s">
        <v>1027</v>
      </c>
      <c r="D57" s="55"/>
      <c r="E57" s="55" t="s">
        <v>0</v>
      </c>
      <c r="F57" s="59">
        <v>18</v>
      </c>
    </row>
    <row r="58" spans="1:6">
      <c r="A58" s="54" t="s">
        <v>150</v>
      </c>
      <c r="B58" s="55" t="s">
        <v>615</v>
      </c>
      <c r="C58" s="55" t="s">
        <v>1030</v>
      </c>
      <c r="D58" s="55"/>
      <c r="E58" s="55" t="s">
        <v>0</v>
      </c>
      <c r="F58" s="59">
        <v>4</v>
      </c>
    </row>
    <row r="59" spans="1:6">
      <c r="A59" s="54" t="s">
        <v>526</v>
      </c>
      <c r="B59" s="55" t="s">
        <v>615</v>
      </c>
      <c r="C59" s="55" t="s">
        <v>1027</v>
      </c>
      <c r="D59" s="55"/>
      <c r="E59" s="55" t="s">
        <v>0</v>
      </c>
      <c r="F59" s="59">
        <v>80</v>
      </c>
    </row>
    <row r="60" spans="1:6">
      <c r="A60" s="54" t="s">
        <v>526</v>
      </c>
      <c r="B60" s="55" t="s">
        <v>615</v>
      </c>
      <c r="C60" s="55" t="s">
        <v>1030</v>
      </c>
      <c r="D60" s="55"/>
      <c r="E60" s="55" t="s">
        <v>0</v>
      </c>
      <c r="F60" s="59">
        <v>7</v>
      </c>
    </row>
    <row r="61" spans="1:6">
      <c r="A61" s="54" t="s">
        <v>326</v>
      </c>
      <c r="B61" s="55" t="s">
        <v>615</v>
      </c>
      <c r="C61" s="55" t="s">
        <v>1029</v>
      </c>
      <c r="D61" s="55"/>
      <c r="E61" s="55" t="s">
        <v>0</v>
      </c>
      <c r="F61" s="59">
        <v>293</v>
      </c>
    </row>
    <row r="62" spans="1:6">
      <c r="A62" s="54" t="s">
        <v>326</v>
      </c>
      <c r="B62" s="55" t="s">
        <v>615</v>
      </c>
      <c r="C62" s="55" t="s">
        <v>1027</v>
      </c>
      <c r="D62" s="55"/>
      <c r="E62" s="55" t="s">
        <v>0</v>
      </c>
      <c r="F62" s="59">
        <v>178</v>
      </c>
    </row>
    <row r="63" spans="1:6">
      <c r="A63" s="54" t="s">
        <v>327</v>
      </c>
      <c r="B63" s="55" t="s">
        <v>615</v>
      </c>
      <c r="C63" s="55" t="s">
        <v>1030</v>
      </c>
      <c r="D63" s="55"/>
      <c r="E63" s="55" t="s">
        <v>0</v>
      </c>
      <c r="F63" s="59">
        <v>0</v>
      </c>
    </row>
    <row r="64" spans="1:6">
      <c r="A64" s="54" t="s">
        <v>328</v>
      </c>
      <c r="B64" s="55" t="s">
        <v>615</v>
      </c>
      <c r="C64" s="55" t="s">
        <v>1027</v>
      </c>
      <c r="D64" s="55"/>
      <c r="E64" s="55" t="s">
        <v>0</v>
      </c>
      <c r="F64" s="59">
        <v>611</v>
      </c>
    </row>
    <row r="65" spans="1:6">
      <c r="A65" s="54" t="s">
        <v>383</v>
      </c>
      <c r="B65" s="55" t="s">
        <v>615</v>
      </c>
      <c r="C65" s="55" t="s">
        <v>1030</v>
      </c>
      <c r="D65" s="55"/>
      <c r="E65" s="55" t="s">
        <v>0</v>
      </c>
      <c r="F65" s="59">
        <v>12</v>
      </c>
    </row>
    <row r="66" spans="1:6">
      <c r="A66" s="54" t="s">
        <v>383</v>
      </c>
      <c r="B66" s="55" t="s">
        <v>615</v>
      </c>
      <c r="C66" s="55" t="s">
        <v>1030</v>
      </c>
      <c r="D66" s="55"/>
      <c r="E66" s="55" t="s">
        <v>0</v>
      </c>
      <c r="F66" s="59">
        <v>240</v>
      </c>
    </row>
    <row r="67" spans="1:6">
      <c r="A67" s="54" t="s">
        <v>383</v>
      </c>
      <c r="B67" s="55" t="s">
        <v>615</v>
      </c>
      <c r="C67" s="55" t="s">
        <v>1028</v>
      </c>
      <c r="D67" s="55"/>
      <c r="E67" s="55" t="s">
        <v>0</v>
      </c>
      <c r="F67" s="59">
        <v>480</v>
      </c>
    </row>
    <row r="68" spans="1:6">
      <c r="A68" s="54" t="s">
        <v>17</v>
      </c>
      <c r="B68" s="55" t="s">
        <v>615</v>
      </c>
      <c r="C68" s="55" t="s">
        <v>1027</v>
      </c>
      <c r="D68" s="55"/>
      <c r="E68" s="55" t="s">
        <v>0</v>
      </c>
      <c r="F68" s="59">
        <v>2099</v>
      </c>
    </row>
    <row r="69" spans="1:6">
      <c r="A69" s="54" t="s">
        <v>17</v>
      </c>
      <c r="B69" s="55" t="s">
        <v>615</v>
      </c>
      <c r="C69" s="55" t="s">
        <v>1030</v>
      </c>
      <c r="D69" s="55"/>
      <c r="E69" s="55" t="s">
        <v>0</v>
      </c>
      <c r="F69" s="59">
        <v>34</v>
      </c>
    </row>
    <row r="70" spans="1:6">
      <c r="A70" s="54" t="s">
        <v>219</v>
      </c>
      <c r="B70" s="55" t="s">
        <v>615</v>
      </c>
      <c r="C70" s="55" t="s">
        <v>1027</v>
      </c>
      <c r="D70" s="55"/>
      <c r="E70" s="55" t="s">
        <v>0</v>
      </c>
      <c r="F70" s="59">
        <v>140</v>
      </c>
    </row>
    <row r="71" spans="1:6">
      <c r="A71" s="54" t="s">
        <v>19</v>
      </c>
      <c r="B71" s="55" t="s">
        <v>615</v>
      </c>
      <c r="C71" s="55" t="s">
        <v>1028</v>
      </c>
      <c r="D71" s="55"/>
      <c r="E71" s="55" t="s">
        <v>0</v>
      </c>
      <c r="F71" s="59">
        <v>5</v>
      </c>
    </row>
    <row r="72" spans="1:6">
      <c r="A72" s="54" t="s">
        <v>221</v>
      </c>
      <c r="B72" s="55" t="s">
        <v>615</v>
      </c>
      <c r="C72" s="55" t="s">
        <v>1030</v>
      </c>
      <c r="D72" s="55"/>
      <c r="E72" s="55" t="s">
        <v>0</v>
      </c>
      <c r="F72" s="59">
        <v>272</v>
      </c>
    </row>
    <row r="73" spans="1:6">
      <c r="A73" s="54" t="s">
        <v>20</v>
      </c>
      <c r="B73" s="55" t="s">
        <v>615</v>
      </c>
      <c r="C73" s="55" t="s">
        <v>1028</v>
      </c>
      <c r="D73" s="55"/>
      <c r="E73" s="55" t="s">
        <v>0</v>
      </c>
      <c r="F73" s="59">
        <v>1</v>
      </c>
    </row>
    <row r="74" spans="1:6">
      <c r="A74" s="54" t="s">
        <v>222</v>
      </c>
      <c r="B74" s="55" t="s">
        <v>615</v>
      </c>
      <c r="C74" s="55" t="s">
        <v>1027</v>
      </c>
      <c r="D74" s="55"/>
      <c r="E74" s="55" t="s">
        <v>0</v>
      </c>
      <c r="F74" s="59">
        <v>4</v>
      </c>
    </row>
    <row r="75" spans="1:6">
      <c r="A75" s="54" t="s">
        <v>222</v>
      </c>
      <c r="B75" s="55" t="s">
        <v>615</v>
      </c>
      <c r="C75" s="55" t="s">
        <v>1030</v>
      </c>
      <c r="D75" s="55"/>
      <c r="E75" s="55" t="s">
        <v>0</v>
      </c>
      <c r="F75" s="59">
        <v>6</v>
      </c>
    </row>
    <row r="76" spans="1:6">
      <c r="A76" s="54" t="s">
        <v>222</v>
      </c>
      <c r="B76" s="55" t="s">
        <v>615</v>
      </c>
      <c r="C76" s="55" t="s">
        <v>1030</v>
      </c>
      <c r="D76" s="55"/>
      <c r="E76" s="55" t="s">
        <v>0</v>
      </c>
      <c r="F76" s="59">
        <v>471</v>
      </c>
    </row>
    <row r="77" spans="1:6">
      <c r="A77" s="54" t="s">
        <v>18</v>
      </c>
      <c r="B77" s="55" t="s">
        <v>615</v>
      </c>
      <c r="C77" s="55" t="s">
        <v>1027</v>
      </c>
      <c r="D77" s="55"/>
      <c r="E77" s="55" t="s">
        <v>0</v>
      </c>
      <c r="F77" s="59">
        <v>1</v>
      </c>
    </row>
    <row r="78" spans="1:6">
      <c r="A78" s="54" t="s">
        <v>217</v>
      </c>
      <c r="B78" s="55" t="s">
        <v>615</v>
      </c>
      <c r="C78" s="55" t="s">
        <v>1029</v>
      </c>
      <c r="D78" s="55"/>
      <c r="E78" s="55" t="s">
        <v>0</v>
      </c>
      <c r="F78" s="59">
        <v>1</v>
      </c>
    </row>
    <row r="79" spans="1:6">
      <c r="A79" s="54" t="s">
        <v>21</v>
      </c>
      <c r="B79" s="55" t="s">
        <v>615</v>
      </c>
      <c r="C79" s="55" t="s">
        <v>1030</v>
      </c>
      <c r="D79" s="55"/>
      <c r="E79" s="55" t="s">
        <v>0</v>
      </c>
      <c r="F79" s="59">
        <v>589</v>
      </c>
    </row>
    <row r="80" spans="1:6">
      <c r="A80" s="54" t="s">
        <v>21</v>
      </c>
      <c r="B80" s="55" t="s">
        <v>615</v>
      </c>
      <c r="C80" s="55" t="s">
        <v>1032</v>
      </c>
      <c r="D80" s="55"/>
      <c r="E80" s="55" t="s">
        <v>0</v>
      </c>
      <c r="F80" s="59">
        <v>180</v>
      </c>
    </row>
    <row r="81" spans="1:6">
      <c r="A81" s="54" t="s">
        <v>279</v>
      </c>
      <c r="B81" s="55" t="s">
        <v>615</v>
      </c>
      <c r="C81" s="55" t="s">
        <v>1027</v>
      </c>
      <c r="D81" s="55"/>
      <c r="E81" s="55" t="s">
        <v>0</v>
      </c>
      <c r="F81" s="59">
        <v>64</v>
      </c>
    </row>
    <row r="82" spans="1:6">
      <c r="A82" s="54" t="s">
        <v>22</v>
      </c>
      <c r="B82" s="55" t="s">
        <v>615</v>
      </c>
      <c r="C82" s="55" t="s">
        <v>1030</v>
      </c>
      <c r="D82" s="55"/>
      <c r="E82" s="55" t="s">
        <v>0</v>
      </c>
      <c r="F82" s="59">
        <v>206</v>
      </c>
    </row>
    <row r="83" spans="1:6">
      <c r="A83" s="54" t="s">
        <v>22</v>
      </c>
      <c r="B83" s="55" t="s">
        <v>615</v>
      </c>
      <c r="C83" s="55" t="s">
        <v>1033</v>
      </c>
      <c r="D83" s="55"/>
      <c r="E83" s="55" t="s">
        <v>0</v>
      </c>
      <c r="F83" s="59">
        <v>61</v>
      </c>
    </row>
    <row r="84" spans="1:6">
      <c r="A84" s="54" t="s">
        <v>288</v>
      </c>
      <c r="B84" s="55" t="s">
        <v>615</v>
      </c>
      <c r="C84" s="55" t="s">
        <v>1027</v>
      </c>
      <c r="D84" s="55"/>
      <c r="E84" s="55" t="s">
        <v>0</v>
      </c>
      <c r="F84" s="59">
        <v>627</v>
      </c>
    </row>
    <row r="85" spans="1:6">
      <c r="A85" s="54" t="s">
        <v>130</v>
      </c>
      <c r="B85" s="55" t="s">
        <v>615</v>
      </c>
      <c r="C85" s="55" t="s">
        <v>1030</v>
      </c>
      <c r="D85" s="55"/>
      <c r="E85" s="55" t="s">
        <v>0</v>
      </c>
      <c r="F85" s="59">
        <v>200</v>
      </c>
    </row>
    <row r="86" spans="1:6">
      <c r="A86" s="54" t="s">
        <v>420</v>
      </c>
      <c r="B86" s="55" t="s">
        <v>615</v>
      </c>
      <c r="C86" s="55" t="s">
        <v>1031</v>
      </c>
      <c r="D86" s="55"/>
      <c r="E86" s="55" t="s">
        <v>0</v>
      </c>
      <c r="F86" s="59">
        <v>70</v>
      </c>
    </row>
    <row r="87" spans="1:6">
      <c r="A87" s="54" t="s">
        <v>420</v>
      </c>
      <c r="B87" s="55" t="s">
        <v>615</v>
      </c>
      <c r="C87" s="55" t="s">
        <v>1027</v>
      </c>
      <c r="D87" s="55"/>
      <c r="E87" s="55" t="s">
        <v>0</v>
      </c>
      <c r="F87" s="59">
        <v>300</v>
      </c>
    </row>
    <row r="88" spans="1:6">
      <c r="A88" s="54" t="s">
        <v>129</v>
      </c>
      <c r="B88" s="55" t="s">
        <v>615</v>
      </c>
      <c r="C88" s="55" t="s">
        <v>1030</v>
      </c>
      <c r="D88" s="55"/>
      <c r="E88" s="55" t="s">
        <v>0</v>
      </c>
      <c r="F88" s="59">
        <v>13</v>
      </c>
    </row>
    <row r="89" spans="1:6">
      <c r="A89" s="54" t="s">
        <v>300</v>
      </c>
      <c r="B89" s="55" t="s">
        <v>615</v>
      </c>
      <c r="C89" s="55" t="s">
        <v>1027</v>
      </c>
      <c r="D89" s="55"/>
      <c r="E89" s="55" t="s">
        <v>0</v>
      </c>
      <c r="F89" s="59">
        <v>395</v>
      </c>
    </row>
    <row r="90" spans="1:6">
      <c r="A90" s="54" t="s">
        <v>131</v>
      </c>
      <c r="B90" s="55" t="s">
        <v>615</v>
      </c>
      <c r="C90" s="55" t="s">
        <v>1028</v>
      </c>
      <c r="D90" s="55"/>
      <c r="E90" s="55" t="s">
        <v>0</v>
      </c>
      <c r="F90" s="59">
        <v>370</v>
      </c>
    </row>
    <row r="91" spans="1:6">
      <c r="A91" s="54" t="s">
        <v>131</v>
      </c>
      <c r="B91" s="55" t="s">
        <v>615</v>
      </c>
      <c r="C91" s="55" t="s">
        <v>1028</v>
      </c>
      <c r="D91" s="55"/>
      <c r="E91" s="55" t="s">
        <v>0</v>
      </c>
      <c r="F91" s="59">
        <v>12</v>
      </c>
    </row>
    <row r="92" spans="1:6">
      <c r="A92" s="54" t="s">
        <v>223</v>
      </c>
      <c r="B92" s="55" t="s">
        <v>615</v>
      </c>
      <c r="C92" s="55" t="s">
        <v>1027</v>
      </c>
      <c r="D92" s="55"/>
      <c r="E92" s="55" t="s">
        <v>0</v>
      </c>
      <c r="F92" s="59">
        <v>50</v>
      </c>
    </row>
    <row r="93" spans="1:6">
      <c r="A93" s="54" t="s">
        <v>352</v>
      </c>
      <c r="B93" s="55" t="s">
        <v>615</v>
      </c>
      <c r="C93" s="55" t="s">
        <v>1030</v>
      </c>
      <c r="D93" s="55"/>
      <c r="E93" s="55" t="s">
        <v>0</v>
      </c>
      <c r="F93" s="59">
        <v>139</v>
      </c>
    </row>
    <row r="94" spans="1:6">
      <c r="A94" s="54" t="s">
        <v>303</v>
      </c>
      <c r="B94" s="55" t="s">
        <v>615</v>
      </c>
      <c r="C94" s="55" t="s">
        <v>1031</v>
      </c>
      <c r="D94" s="55"/>
      <c r="E94" s="55" t="s">
        <v>0</v>
      </c>
      <c r="F94" s="59">
        <v>89</v>
      </c>
    </row>
    <row r="95" spans="1:6">
      <c r="A95" s="54" t="s">
        <v>132</v>
      </c>
      <c r="B95" s="55" t="s">
        <v>615</v>
      </c>
      <c r="C95" s="55" t="s">
        <v>1028</v>
      </c>
      <c r="D95" s="55"/>
      <c r="E95" s="55" t="s">
        <v>0</v>
      </c>
      <c r="F95" s="59">
        <v>340</v>
      </c>
    </row>
    <row r="96" spans="1:6">
      <c r="A96" s="54" t="s">
        <v>278</v>
      </c>
      <c r="B96" s="55" t="s">
        <v>615</v>
      </c>
      <c r="C96" s="55" t="s">
        <v>1027</v>
      </c>
      <c r="D96" s="55"/>
      <c r="E96" s="55" t="s">
        <v>0</v>
      </c>
      <c r="F96" s="59">
        <v>938</v>
      </c>
    </row>
    <row r="97" spans="1:6">
      <c r="A97" s="54" t="s">
        <v>422</v>
      </c>
      <c r="B97" s="55" t="s">
        <v>615</v>
      </c>
      <c r="C97" s="55" t="s">
        <v>1027</v>
      </c>
      <c r="D97" s="55"/>
      <c r="E97" s="55" t="s">
        <v>0</v>
      </c>
      <c r="F97" s="59">
        <v>9</v>
      </c>
    </row>
    <row r="98" spans="1:6">
      <c r="A98" s="54" t="s">
        <v>422</v>
      </c>
      <c r="B98" s="55" t="s">
        <v>615</v>
      </c>
      <c r="C98" s="55" t="s">
        <v>1027</v>
      </c>
      <c r="D98" s="55"/>
      <c r="E98" s="55" t="s">
        <v>0</v>
      </c>
      <c r="F98" s="59">
        <v>600</v>
      </c>
    </row>
    <row r="99" spans="1:6">
      <c r="A99" s="54" t="s">
        <v>301</v>
      </c>
      <c r="B99" s="55" t="s">
        <v>615</v>
      </c>
      <c r="C99" s="55" t="s">
        <v>1030</v>
      </c>
      <c r="D99" s="55"/>
      <c r="E99" s="55" t="s">
        <v>0</v>
      </c>
      <c r="F99" s="59">
        <v>936</v>
      </c>
    </row>
    <row r="100" spans="1:6">
      <c r="A100" s="54" t="s">
        <v>133</v>
      </c>
      <c r="B100" s="55" t="s">
        <v>615</v>
      </c>
      <c r="C100" s="55" t="s">
        <v>1027</v>
      </c>
      <c r="D100" s="55"/>
      <c r="E100" s="55" t="s">
        <v>0</v>
      </c>
      <c r="F100" s="59">
        <v>25</v>
      </c>
    </row>
    <row r="101" spans="1:6">
      <c r="A101" s="54" t="s">
        <v>133</v>
      </c>
      <c r="B101" s="55" t="s">
        <v>615</v>
      </c>
      <c r="C101" s="55" t="s">
        <v>1030</v>
      </c>
      <c r="D101" s="55"/>
      <c r="E101" s="55" t="s">
        <v>0</v>
      </c>
      <c r="F101" s="59">
        <v>57</v>
      </c>
    </row>
    <row r="102" spans="1:6">
      <c r="A102" s="54" t="s">
        <v>628</v>
      </c>
      <c r="B102" s="55" t="s">
        <v>615</v>
      </c>
      <c r="C102" s="55" t="s">
        <v>1027</v>
      </c>
      <c r="D102" s="55"/>
      <c r="E102" s="55" t="s">
        <v>0</v>
      </c>
      <c r="F102" s="59">
        <v>2</v>
      </c>
    </row>
    <row r="103" spans="1:6">
      <c r="A103" s="54" t="s">
        <v>629</v>
      </c>
      <c r="B103" s="55" t="s">
        <v>615</v>
      </c>
      <c r="C103" s="55" t="s">
        <v>1028</v>
      </c>
      <c r="D103" s="55"/>
      <c r="E103" s="55" t="s">
        <v>0</v>
      </c>
      <c r="F103" s="59">
        <v>180</v>
      </c>
    </row>
    <row r="104" spans="1:6">
      <c r="A104" s="54" t="s">
        <v>375</v>
      </c>
      <c r="B104" s="55" t="s">
        <v>615</v>
      </c>
      <c r="C104" s="55" t="s">
        <v>1028</v>
      </c>
      <c r="D104" s="55"/>
      <c r="E104" s="55" t="s">
        <v>0</v>
      </c>
      <c r="F104" s="59">
        <v>578</v>
      </c>
    </row>
    <row r="105" spans="1:6">
      <c r="A105" s="54" t="s">
        <v>151</v>
      </c>
      <c r="B105" s="55" t="s">
        <v>615</v>
      </c>
      <c r="C105" s="55" t="s">
        <v>1030</v>
      </c>
      <c r="D105" s="55"/>
      <c r="E105" s="55" t="s">
        <v>0</v>
      </c>
      <c r="F105" s="59">
        <v>4</v>
      </c>
    </row>
    <row r="106" spans="1:6">
      <c r="A106" s="54" t="s">
        <v>151</v>
      </c>
      <c r="B106" s="55" t="s">
        <v>615</v>
      </c>
      <c r="C106" s="55" t="s">
        <v>1031</v>
      </c>
      <c r="D106" s="55"/>
      <c r="E106" s="55" t="s">
        <v>0</v>
      </c>
      <c r="F106" s="59">
        <v>194</v>
      </c>
    </row>
    <row r="107" spans="1:6">
      <c r="A107" s="54" t="s">
        <v>437</v>
      </c>
      <c r="B107" s="55" t="s">
        <v>615</v>
      </c>
      <c r="C107" s="55" t="s">
        <v>1028</v>
      </c>
      <c r="D107" s="55"/>
      <c r="E107" s="55" t="s">
        <v>0</v>
      </c>
      <c r="F107" s="59">
        <v>13</v>
      </c>
    </row>
    <row r="108" spans="1:6">
      <c r="A108" s="54" t="s">
        <v>437</v>
      </c>
      <c r="B108" s="55" t="s">
        <v>615</v>
      </c>
      <c r="C108" s="55" t="s">
        <v>1027</v>
      </c>
      <c r="D108" s="55"/>
      <c r="E108" s="55" t="s">
        <v>0</v>
      </c>
      <c r="F108" s="59">
        <v>60</v>
      </c>
    </row>
    <row r="109" spans="1:6">
      <c r="A109" s="54" t="s">
        <v>152</v>
      </c>
      <c r="B109" s="55" t="s">
        <v>615</v>
      </c>
      <c r="C109" s="55" t="s">
        <v>1030</v>
      </c>
      <c r="D109" s="55"/>
      <c r="E109" s="55" t="s">
        <v>0</v>
      </c>
      <c r="F109" s="59">
        <v>129</v>
      </c>
    </row>
    <row r="110" spans="1:6">
      <c r="A110" s="54" t="s">
        <v>152</v>
      </c>
      <c r="B110" s="55" t="s">
        <v>615</v>
      </c>
      <c r="C110" s="55" t="s">
        <v>1032</v>
      </c>
      <c r="D110" s="55"/>
      <c r="E110" s="55" t="s">
        <v>0</v>
      </c>
      <c r="F110" s="59">
        <v>8</v>
      </c>
    </row>
    <row r="111" spans="1:6">
      <c r="A111" s="54" t="s">
        <v>608</v>
      </c>
      <c r="B111" s="55" t="s">
        <v>615</v>
      </c>
      <c r="C111" s="55" t="s">
        <v>1027</v>
      </c>
      <c r="D111" s="55"/>
      <c r="E111" s="55" t="s">
        <v>0</v>
      </c>
      <c r="F111" s="59">
        <v>9</v>
      </c>
    </row>
    <row r="112" spans="1:6">
      <c r="A112" s="54" t="s">
        <v>608</v>
      </c>
      <c r="B112" s="55" t="s">
        <v>615</v>
      </c>
      <c r="C112" s="55" t="s">
        <v>1030</v>
      </c>
      <c r="D112" s="55"/>
      <c r="E112" s="55" t="s">
        <v>0</v>
      </c>
      <c r="F112" s="59">
        <v>198</v>
      </c>
    </row>
    <row r="113" spans="1:6">
      <c r="A113" s="54" t="s">
        <v>461</v>
      </c>
      <c r="B113" s="55" t="s">
        <v>615</v>
      </c>
      <c r="C113" s="55" t="s">
        <v>1032</v>
      </c>
      <c r="D113" s="55"/>
      <c r="E113" s="55" t="s">
        <v>0</v>
      </c>
      <c r="F113" s="59">
        <v>20</v>
      </c>
    </row>
    <row r="114" spans="1:6">
      <c r="A114" s="54" t="s">
        <v>461</v>
      </c>
      <c r="B114" s="55" t="s">
        <v>615</v>
      </c>
      <c r="C114" s="55" t="s">
        <v>1027</v>
      </c>
      <c r="D114" s="55"/>
      <c r="E114" s="55" t="s">
        <v>0</v>
      </c>
      <c r="F114" s="59">
        <v>480</v>
      </c>
    </row>
    <row r="115" spans="1:6">
      <c r="A115" s="54" t="s">
        <v>166</v>
      </c>
      <c r="B115" s="55" t="s">
        <v>615</v>
      </c>
      <c r="C115" s="55" t="s">
        <v>1028</v>
      </c>
      <c r="D115" s="55"/>
      <c r="E115" s="55" t="s">
        <v>0</v>
      </c>
      <c r="F115" s="59">
        <v>319</v>
      </c>
    </row>
    <row r="116" spans="1:6">
      <c r="A116" s="54" t="s">
        <v>438</v>
      </c>
      <c r="B116" s="55" t="s">
        <v>615</v>
      </c>
      <c r="C116" s="55" t="s">
        <v>1030</v>
      </c>
      <c r="D116" s="55"/>
      <c r="E116" s="55" t="s">
        <v>0</v>
      </c>
      <c r="F116" s="59">
        <v>25</v>
      </c>
    </row>
    <row r="117" spans="1:6">
      <c r="A117" s="54" t="s">
        <v>512</v>
      </c>
      <c r="B117" s="55" t="s">
        <v>615</v>
      </c>
      <c r="C117" s="55" t="s">
        <v>1028</v>
      </c>
      <c r="D117" s="55"/>
      <c r="E117" s="55" t="s">
        <v>0</v>
      </c>
      <c r="F117" s="59">
        <v>160</v>
      </c>
    </row>
    <row r="118" spans="1:6">
      <c r="A118" s="54" t="s">
        <v>175</v>
      </c>
      <c r="B118" s="55" t="s">
        <v>615</v>
      </c>
      <c r="C118" s="55" t="s">
        <v>1027</v>
      </c>
      <c r="D118" s="55"/>
      <c r="E118" s="55" t="s">
        <v>0</v>
      </c>
      <c r="F118" s="59">
        <v>1180</v>
      </c>
    </row>
    <row r="119" spans="1:6">
      <c r="A119" s="54" t="s">
        <v>809</v>
      </c>
      <c r="B119" s="55" t="s">
        <v>615</v>
      </c>
      <c r="C119" s="55" t="s">
        <v>1028</v>
      </c>
      <c r="D119" s="55"/>
      <c r="E119" s="55" t="s">
        <v>0</v>
      </c>
      <c r="F119" s="59">
        <v>36</v>
      </c>
    </row>
    <row r="120" spans="1:6">
      <c r="A120" s="54" t="s">
        <v>812</v>
      </c>
      <c r="B120" s="55" t="s">
        <v>615</v>
      </c>
      <c r="C120" s="55" t="s">
        <v>1027</v>
      </c>
      <c r="D120" s="55"/>
      <c r="E120" s="55" t="s">
        <v>0</v>
      </c>
      <c r="F120" s="59">
        <v>154</v>
      </c>
    </row>
    <row r="121" spans="1:6">
      <c r="A121" s="54" t="s">
        <v>809</v>
      </c>
      <c r="B121" s="55" t="s">
        <v>615</v>
      </c>
      <c r="C121" s="55" t="s">
        <v>1028</v>
      </c>
      <c r="D121" s="55"/>
      <c r="E121" s="55" t="s">
        <v>0</v>
      </c>
      <c r="F121" s="59">
        <v>8</v>
      </c>
    </row>
    <row r="122" spans="1:6">
      <c r="A122" s="54" t="s">
        <v>668</v>
      </c>
      <c r="B122" s="55" t="s">
        <v>615</v>
      </c>
      <c r="C122" s="55" t="s">
        <v>1030</v>
      </c>
      <c r="D122" s="55"/>
      <c r="E122" s="55" t="s">
        <v>0</v>
      </c>
      <c r="F122" s="59">
        <v>1</v>
      </c>
    </row>
    <row r="123" spans="1:6">
      <c r="A123" s="54" t="s">
        <v>668</v>
      </c>
      <c r="B123" s="55" t="s">
        <v>615</v>
      </c>
      <c r="C123" s="55" t="s">
        <v>1027</v>
      </c>
      <c r="D123" s="55"/>
      <c r="E123" s="55" t="s">
        <v>0</v>
      </c>
      <c r="F123" s="59">
        <v>190</v>
      </c>
    </row>
    <row r="124" spans="1:6">
      <c r="A124" s="54" t="s">
        <v>677</v>
      </c>
      <c r="B124" s="55" t="s">
        <v>615</v>
      </c>
      <c r="C124" s="55" t="s">
        <v>1027</v>
      </c>
      <c r="D124" s="55"/>
      <c r="E124" s="55" t="s">
        <v>0</v>
      </c>
      <c r="F124" s="59">
        <v>1224</v>
      </c>
    </row>
    <row r="125" spans="1:6">
      <c r="A125" s="54" t="s">
        <v>677</v>
      </c>
      <c r="B125" s="55" t="s">
        <v>615</v>
      </c>
      <c r="C125" s="55" t="s">
        <v>1030</v>
      </c>
      <c r="D125" s="55"/>
      <c r="E125" s="55" t="s">
        <v>0</v>
      </c>
      <c r="F125" s="59">
        <v>4</v>
      </c>
    </row>
    <row r="126" spans="1:6">
      <c r="A126" s="54" t="s">
        <v>329</v>
      </c>
      <c r="B126" s="55" t="s">
        <v>615</v>
      </c>
      <c r="C126" s="55" t="s">
        <v>1028</v>
      </c>
      <c r="D126" s="55"/>
      <c r="E126" s="55" t="s">
        <v>0</v>
      </c>
      <c r="F126" s="59">
        <v>6</v>
      </c>
    </row>
    <row r="127" spans="1:6">
      <c r="A127" s="54" t="s">
        <v>23</v>
      </c>
      <c r="B127" s="55" t="s">
        <v>615</v>
      </c>
      <c r="C127" s="55" t="s">
        <v>1030</v>
      </c>
      <c r="D127" s="55"/>
      <c r="E127" s="55" t="s">
        <v>0</v>
      </c>
      <c r="F127" s="59">
        <v>8</v>
      </c>
    </row>
    <row r="128" spans="1:6">
      <c r="A128" s="54" t="s">
        <v>24</v>
      </c>
      <c r="B128" s="55" t="s">
        <v>615</v>
      </c>
      <c r="C128" s="55" t="s">
        <v>1030</v>
      </c>
      <c r="D128" s="55"/>
      <c r="E128" s="55" t="s">
        <v>0</v>
      </c>
      <c r="F128" s="59">
        <v>126</v>
      </c>
    </row>
    <row r="129" spans="1:6">
      <c r="A129" s="54" t="s">
        <v>369</v>
      </c>
      <c r="B129" s="55" t="s">
        <v>615</v>
      </c>
      <c r="C129" s="55" t="s">
        <v>1028</v>
      </c>
      <c r="D129" s="55"/>
      <c r="E129" s="55" t="s">
        <v>0</v>
      </c>
      <c r="F129" s="59">
        <v>146</v>
      </c>
    </row>
    <row r="130" spans="1:6">
      <c r="A130" s="54" t="s">
        <v>370</v>
      </c>
      <c r="B130" s="55" t="s">
        <v>615</v>
      </c>
      <c r="C130" s="55" t="s">
        <v>1027</v>
      </c>
      <c r="D130" s="55"/>
      <c r="E130" s="55" t="s">
        <v>0</v>
      </c>
      <c r="F130" s="59">
        <v>40</v>
      </c>
    </row>
    <row r="131" spans="1:6">
      <c r="A131" s="54" t="s">
        <v>504</v>
      </c>
      <c r="B131" s="55" t="s">
        <v>615</v>
      </c>
      <c r="C131" s="55" t="s">
        <v>1029</v>
      </c>
      <c r="D131" s="55"/>
      <c r="E131" s="55" t="s">
        <v>0</v>
      </c>
      <c r="F131" s="59">
        <v>82</v>
      </c>
    </row>
    <row r="132" spans="1:6">
      <c r="A132" s="54" t="s">
        <v>25</v>
      </c>
      <c r="B132" s="55" t="s">
        <v>615</v>
      </c>
      <c r="C132" s="55" t="s">
        <v>1028</v>
      </c>
      <c r="D132" s="55"/>
      <c r="E132" s="55" t="s">
        <v>0</v>
      </c>
      <c r="F132" s="59">
        <v>124</v>
      </c>
    </row>
    <row r="133" spans="1:6">
      <c r="A133" s="54" t="s">
        <v>387</v>
      </c>
      <c r="B133" s="55" t="s">
        <v>615</v>
      </c>
      <c r="C133" s="55" t="s">
        <v>1030</v>
      </c>
      <c r="D133" s="55"/>
      <c r="E133" s="55" t="s">
        <v>0</v>
      </c>
      <c r="F133" s="59">
        <v>30</v>
      </c>
    </row>
    <row r="134" spans="1:6">
      <c r="A134" s="54" t="s">
        <v>996</v>
      </c>
      <c r="B134" s="55" t="s">
        <v>615</v>
      </c>
      <c r="C134" s="55" t="s">
        <v>1030</v>
      </c>
      <c r="D134" s="55"/>
      <c r="E134" s="55" t="s">
        <v>0</v>
      </c>
      <c r="F134" s="59">
        <v>76</v>
      </c>
    </row>
    <row r="135" spans="1:6">
      <c r="A135" s="54" t="s">
        <v>26</v>
      </c>
      <c r="B135" s="55" t="s">
        <v>615</v>
      </c>
      <c r="C135" s="55" t="s">
        <v>1028</v>
      </c>
      <c r="D135" s="55"/>
      <c r="E135" s="55" t="s">
        <v>0</v>
      </c>
      <c r="F135" s="59">
        <v>76</v>
      </c>
    </row>
    <row r="136" spans="1:6">
      <c r="A136" s="54" t="s">
        <v>408</v>
      </c>
      <c r="B136" s="55" t="s">
        <v>615</v>
      </c>
      <c r="C136" s="55" t="s">
        <v>1027</v>
      </c>
      <c r="D136" s="55"/>
      <c r="E136" s="55" t="s">
        <v>0</v>
      </c>
      <c r="F136" s="59">
        <v>8</v>
      </c>
    </row>
    <row r="137" spans="1:6">
      <c r="A137" s="54" t="s">
        <v>408</v>
      </c>
      <c r="B137" s="55" t="s">
        <v>615</v>
      </c>
      <c r="C137" s="55" t="s">
        <v>1030</v>
      </c>
      <c r="D137" s="55"/>
      <c r="E137" s="55" t="s">
        <v>0</v>
      </c>
      <c r="F137" s="59">
        <v>20</v>
      </c>
    </row>
    <row r="138" spans="1:6">
      <c r="A138" s="54" t="s">
        <v>165</v>
      </c>
      <c r="B138" s="55" t="s">
        <v>615</v>
      </c>
      <c r="C138" s="55" t="s">
        <v>1030</v>
      </c>
      <c r="D138" s="55"/>
      <c r="E138" s="55" t="s">
        <v>0</v>
      </c>
      <c r="F138" s="59">
        <v>133</v>
      </c>
    </row>
    <row r="139" spans="1:6">
      <c r="A139" s="54" t="s">
        <v>408</v>
      </c>
      <c r="B139" s="55" t="s">
        <v>615</v>
      </c>
      <c r="C139" s="55" t="s">
        <v>1027</v>
      </c>
      <c r="D139" s="55"/>
      <c r="E139" s="55" t="s">
        <v>0</v>
      </c>
      <c r="F139" s="59">
        <v>8</v>
      </c>
    </row>
    <row r="140" spans="1:6">
      <c r="A140" s="54" t="s">
        <v>405</v>
      </c>
      <c r="B140" s="55" t="s">
        <v>615</v>
      </c>
      <c r="C140" s="55" t="s">
        <v>1030</v>
      </c>
      <c r="D140" s="55"/>
      <c r="E140" s="55" t="s">
        <v>0</v>
      </c>
      <c r="F140" s="59">
        <v>5</v>
      </c>
    </row>
    <row r="141" spans="1:6">
      <c r="A141" s="54" t="s">
        <v>404</v>
      </c>
      <c r="B141" s="55" t="s">
        <v>615</v>
      </c>
      <c r="C141" s="55" t="s">
        <v>1030</v>
      </c>
      <c r="D141" s="55"/>
      <c r="E141" s="55" t="s">
        <v>0</v>
      </c>
      <c r="F141" s="59">
        <v>1</v>
      </c>
    </row>
    <row r="142" spans="1:6">
      <c r="A142" s="54" t="s">
        <v>406</v>
      </c>
      <c r="B142" s="55" t="s">
        <v>615</v>
      </c>
      <c r="C142" s="55" t="s">
        <v>1027</v>
      </c>
      <c r="D142" s="55"/>
      <c r="E142" s="55" t="s">
        <v>0</v>
      </c>
      <c r="F142" s="59">
        <v>9</v>
      </c>
    </row>
    <row r="143" spans="1:6">
      <c r="A143" s="54" t="s">
        <v>407</v>
      </c>
      <c r="B143" s="55" t="s">
        <v>615</v>
      </c>
      <c r="C143" s="55" t="s">
        <v>1030</v>
      </c>
      <c r="D143" s="55"/>
      <c r="E143" s="55" t="s">
        <v>0</v>
      </c>
      <c r="F143" s="59">
        <v>5</v>
      </c>
    </row>
    <row r="144" spans="1:6">
      <c r="A144" s="54" t="s">
        <v>423</v>
      </c>
      <c r="B144" s="55" t="s">
        <v>615</v>
      </c>
      <c r="C144" s="55" t="s">
        <v>1030</v>
      </c>
      <c r="D144" s="55"/>
      <c r="E144" s="55" t="s">
        <v>0</v>
      </c>
      <c r="F144" s="59">
        <v>5</v>
      </c>
    </row>
    <row r="145" spans="1:6">
      <c r="A145" s="54" t="s">
        <v>423</v>
      </c>
      <c r="B145" s="55" t="s">
        <v>615</v>
      </c>
      <c r="C145" s="55" t="s">
        <v>1028</v>
      </c>
      <c r="D145" s="55"/>
      <c r="E145" s="55" t="s">
        <v>0</v>
      </c>
      <c r="F145" s="59">
        <v>132</v>
      </c>
    </row>
    <row r="146" spans="1:6">
      <c r="A146" s="54" t="s">
        <v>423</v>
      </c>
      <c r="B146" s="55" t="s">
        <v>615</v>
      </c>
      <c r="C146" s="55" t="s">
        <v>1030</v>
      </c>
      <c r="D146" s="55"/>
      <c r="E146" s="55" t="s">
        <v>0</v>
      </c>
      <c r="F146" s="59">
        <v>12</v>
      </c>
    </row>
    <row r="147" spans="1:6">
      <c r="A147" s="54" t="s">
        <v>27</v>
      </c>
      <c r="B147" s="55" t="s">
        <v>615</v>
      </c>
      <c r="C147" s="55" t="s">
        <v>1028</v>
      </c>
      <c r="D147" s="55"/>
      <c r="E147" s="55" t="s">
        <v>0</v>
      </c>
      <c r="F147" s="59">
        <v>540</v>
      </c>
    </row>
    <row r="148" spans="1:6">
      <c r="A148" s="54" t="s">
        <v>27</v>
      </c>
      <c r="B148" s="55" t="s">
        <v>615</v>
      </c>
      <c r="C148" s="55" t="s">
        <v>1027</v>
      </c>
      <c r="D148" s="55"/>
      <c r="E148" s="55" t="s">
        <v>0</v>
      </c>
      <c r="F148" s="59">
        <v>11</v>
      </c>
    </row>
    <row r="149" spans="1:6">
      <c r="A149" s="54" t="s">
        <v>459</v>
      </c>
      <c r="B149" s="55" t="s">
        <v>615</v>
      </c>
      <c r="C149" s="55" t="s">
        <v>1027</v>
      </c>
      <c r="D149" s="55"/>
      <c r="E149" s="55" t="s">
        <v>0</v>
      </c>
      <c r="F149" s="59">
        <v>200</v>
      </c>
    </row>
    <row r="150" spans="1:6">
      <c r="A150" s="54" t="s">
        <v>163</v>
      </c>
      <c r="B150" s="55" t="s">
        <v>615</v>
      </c>
      <c r="C150" s="55" t="s">
        <v>1027</v>
      </c>
      <c r="D150" s="55"/>
      <c r="E150" s="55" t="s">
        <v>0</v>
      </c>
      <c r="F150" s="59">
        <v>1586</v>
      </c>
    </row>
    <row r="151" spans="1:6">
      <c r="A151" s="54" t="s">
        <v>163</v>
      </c>
      <c r="B151" s="55" t="s">
        <v>615</v>
      </c>
      <c r="C151" s="55" t="s">
        <v>1027</v>
      </c>
      <c r="D151" s="55"/>
      <c r="E151" s="55" t="s">
        <v>0</v>
      </c>
      <c r="F151" s="59">
        <v>3</v>
      </c>
    </row>
    <row r="152" spans="1:6">
      <c r="A152" s="54" t="s">
        <v>502</v>
      </c>
      <c r="B152" s="55" t="s">
        <v>615</v>
      </c>
      <c r="C152" s="55" t="s">
        <v>1029</v>
      </c>
      <c r="D152" s="55"/>
      <c r="E152" s="55" t="s">
        <v>0</v>
      </c>
      <c r="F152" s="59">
        <v>9</v>
      </c>
    </row>
    <row r="153" spans="1:6">
      <c r="A153" s="54" t="s">
        <v>502</v>
      </c>
      <c r="B153" s="55" t="s">
        <v>615</v>
      </c>
      <c r="C153" s="55" t="s">
        <v>1028</v>
      </c>
      <c r="D153" s="55"/>
      <c r="E153" s="55" t="s">
        <v>0</v>
      </c>
      <c r="F153" s="59">
        <v>90</v>
      </c>
    </row>
    <row r="154" spans="1:6">
      <c r="A154" s="54" t="s">
        <v>176</v>
      </c>
      <c r="B154" s="55" t="s">
        <v>615</v>
      </c>
      <c r="C154" s="55" t="s">
        <v>1030</v>
      </c>
      <c r="D154" s="55"/>
      <c r="E154" s="55" t="s">
        <v>0</v>
      </c>
      <c r="F154" s="59">
        <v>326</v>
      </c>
    </row>
    <row r="155" spans="1:6">
      <c r="A155" s="54" t="s">
        <v>411</v>
      </c>
      <c r="B155" s="55" t="s">
        <v>615</v>
      </c>
      <c r="C155" s="55" t="s">
        <v>1034</v>
      </c>
      <c r="D155" s="55"/>
      <c r="E155" s="55" t="s">
        <v>0</v>
      </c>
      <c r="F155" s="59">
        <v>25</v>
      </c>
    </row>
    <row r="156" spans="1:6">
      <c r="A156" s="54" t="s">
        <v>411</v>
      </c>
      <c r="B156" s="55" t="s">
        <v>615</v>
      </c>
      <c r="C156" s="55" t="s">
        <v>1028</v>
      </c>
      <c r="D156" s="55"/>
      <c r="E156" s="55" t="s">
        <v>0</v>
      </c>
      <c r="F156" s="59">
        <v>24</v>
      </c>
    </row>
    <row r="157" spans="1:6">
      <c r="A157" s="54" t="s">
        <v>411</v>
      </c>
      <c r="B157" s="55" t="s">
        <v>615</v>
      </c>
      <c r="C157" s="55" t="s">
        <v>1029</v>
      </c>
      <c r="D157" s="55"/>
      <c r="E157" s="55" t="s">
        <v>0</v>
      </c>
      <c r="F157" s="59">
        <v>16</v>
      </c>
    </row>
    <row r="158" spans="1:6">
      <c r="A158" s="54" t="s">
        <v>28</v>
      </c>
      <c r="B158" s="55" t="s">
        <v>615</v>
      </c>
      <c r="C158" s="55" t="s">
        <v>1028</v>
      </c>
      <c r="D158" s="55"/>
      <c r="E158" s="55" t="s">
        <v>0</v>
      </c>
      <c r="F158" s="59">
        <v>15</v>
      </c>
    </row>
    <row r="159" spans="1:6">
      <c r="A159" s="54" t="s">
        <v>28</v>
      </c>
      <c r="B159" s="55" t="s">
        <v>615</v>
      </c>
      <c r="C159" s="55" t="s">
        <v>1030</v>
      </c>
      <c r="D159" s="55"/>
      <c r="E159" s="55" t="s">
        <v>0</v>
      </c>
      <c r="F159" s="59">
        <v>456</v>
      </c>
    </row>
    <row r="160" spans="1:6">
      <c r="A160" s="54" t="s">
        <v>28</v>
      </c>
      <c r="B160" s="55" t="s">
        <v>615</v>
      </c>
      <c r="C160" s="55" t="s">
        <v>1028</v>
      </c>
      <c r="D160" s="55"/>
      <c r="E160" s="55" t="s">
        <v>0</v>
      </c>
      <c r="F160" s="59">
        <v>4</v>
      </c>
    </row>
    <row r="161" spans="1:6">
      <c r="A161" s="54" t="s">
        <v>398</v>
      </c>
      <c r="B161" s="55" t="s">
        <v>615</v>
      </c>
      <c r="C161" s="55" t="s">
        <v>1027</v>
      </c>
      <c r="D161" s="55"/>
      <c r="E161" s="55" t="s">
        <v>0</v>
      </c>
      <c r="F161" s="59">
        <v>15</v>
      </c>
    </row>
    <row r="162" spans="1:6">
      <c r="A162" s="54" t="s">
        <v>398</v>
      </c>
      <c r="B162" s="55" t="s">
        <v>615</v>
      </c>
      <c r="C162" s="55" t="s">
        <v>1028</v>
      </c>
      <c r="D162" s="55"/>
      <c r="E162" s="55" t="s">
        <v>0</v>
      </c>
      <c r="F162" s="59">
        <v>16</v>
      </c>
    </row>
    <row r="163" spans="1:6">
      <c r="A163" s="54" t="s">
        <v>29</v>
      </c>
      <c r="B163" s="55" t="s">
        <v>615</v>
      </c>
      <c r="C163" s="55" t="s">
        <v>1030</v>
      </c>
      <c r="D163" s="55"/>
      <c r="E163" s="55" t="s">
        <v>0</v>
      </c>
      <c r="F163" s="59">
        <v>152</v>
      </c>
    </row>
    <row r="164" spans="1:6">
      <c r="A164" s="54" t="s">
        <v>417</v>
      </c>
      <c r="B164" s="55" t="s">
        <v>615</v>
      </c>
      <c r="C164" s="55" t="s">
        <v>1027</v>
      </c>
      <c r="D164" s="55"/>
      <c r="E164" s="55" t="s">
        <v>0</v>
      </c>
      <c r="F164" s="59">
        <v>8</v>
      </c>
    </row>
    <row r="165" spans="1:6">
      <c r="A165" s="54" t="s">
        <v>30</v>
      </c>
      <c r="B165" s="55" t="s">
        <v>615</v>
      </c>
      <c r="C165" s="55" t="s">
        <v>1028</v>
      </c>
      <c r="D165" s="55"/>
      <c r="E165" s="55" t="s">
        <v>0</v>
      </c>
      <c r="F165" s="59">
        <v>48</v>
      </c>
    </row>
    <row r="166" spans="1:6">
      <c r="A166" s="54" t="s">
        <v>31</v>
      </c>
      <c r="B166" s="55" t="s">
        <v>615</v>
      </c>
      <c r="C166" s="55" t="s">
        <v>1030</v>
      </c>
      <c r="D166" s="55"/>
      <c r="E166" s="55" t="s">
        <v>0</v>
      </c>
      <c r="F166" s="59">
        <v>87</v>
      </c>
    </row>
    <row r="167" spans="1:6">
      <c r="A167" s="54" t="s">
        <v>650</v>
      </c>
      <c r="B167" s="55" t="s">
        <v>615</v>
      </c>
      <c r="C167" s="55" t="s">
        <v>1027</v>
      </c>
      <c r="D167" s="55"/>
      <c r="E167" s="55" t="s">
        <v>0</v>
      </c>
      <c r="F167" s="59">
        <v>623</v>
      </c>
    </row>
    <row r="168" spans="1:6">
      <c r="A168" s="54" t="s">
        <v>413</v>
      </c>
      <c r="B168" s="55" t="s">
        <v>615</v>
      </c>
      <c r="C168" s="55" t="s">
        <v>1029</v>
      </c>
      <c r="D168" s="55"/>
      <c r="E168" s="55" t="s">
        <v>0</v>
      </c>
      <c r="F168" s="59">
        <v>24</v>
      </c>
    </row>
    <row r="169" spans="1:6">
      <c r="A169" s="54" t="s">
        <v>413</v>
      </c>
      <c r="B169" s="55" t="s">
        <v>615</v>
      </c>
      <c r="C169" s="55" t="s">
        <v>1030</v>
      </c>
      <c r="D169" s="55"/>
      <c r="E169" s="55" t="s">
        <v>0</v>
      </c>
      <c r="F169" s="59">
        <v>168</v>
      </c>
    </row>
    <row r="170" spans="1:6">
      <c r="A170" s="54" t="s">
        <v>33</v>
      </c>
      <c r="B170" s="55" t="s">
        <v>615</v>
      </c>
      <c r="C170" s="55" t="s">
        <v>1028</v>
      </c>
      <c r="D170" s="55"/>
      <c r="E170" s="55" t="s">
        <v>0</v>
      </c>
      <c r="F170" s="59">
        <v>908</v>
      </c>
    </row>
    <row r="171" spans="1:6">
      <c r="A171" s="54" t="s">
        <v>33</v>
      </c>
      <c r="B171" s="55" t="s">
        <v>615</v>
      </c>
      <c r="C171" s="55" t="s">
        <v>1027</v>
      </c>
      <c r="D171" s="55"/>
      <c r="E171" s="55" t="s">
        <v>0</v>
      </c>
      <c r="F171" s="59">
        <v>12</v>
      </c>
    </row>
    <row r="172" spans="1:6">
      <c r="A172" s="54" t="s">
        <v>415</v>
      </c>
      <c r="B172" s="55" t="s">
        <v>615</v>
      </c>
      <c r="C172" s="55" t="s">
        <v>1030</v>
      </c>
      <c r="D172" s="55"/>
      <c r="E172" s="55" t="s">
        <v>0</v>
      </c>
      <c r="F172" s="59">
        <v>1</v>
      </c>
    </row>
    <row r="173" spans="1:6">
      <c r="A173" s="54" t="s">
        <v>415</v>
      </c>
      <c r="B173" s="55" t="s">
        <v>615</v>
      </c>
      <c r="C173" s="55" t="s">
        <v>1030</v>
      </c>
      <c r="D173" s="55"/>
      <c r="E173" s="55" t="s">
        <v>0</v>
      </c>
      <c r="F173" s="59">
        <v>24</v>
      </c>
    </row>
    <row r="174" spans="1:6">
      <c r="A174" s="54" t="s">
        <v>415</v>
      </c>
      <c r="B174" s="55" t="s">
        <v>615</v>
      </c>
      <c r="C174" s="55" t="s">
        <v>1030</v>
      </c>
      <c r="D174" s="55"/>
      <c r="E174" s="55" t="s">
        <v>0</v>
      </c>
      <c r="F174" s="59">
        <v>48</v>
      </c>
    </row>
    <row r="175" spans="1:6">
      <c r="A175" s="54" t="s">
        <v>34</v>
      </c>
      <c r="B175" s="55" t="s">
        <v>615</v>
      </c>
      <c r="C175" s="55" t="s">
        <v>1029</v>
      </c>
      <c r="D175" s="55"/>
      <c r="E175" s="55" t="s">
        <v>0</v>
      </c>
      <c r="F175" s="59">
        <v>374</v>
      </c>
    </row>
    <row r="176" spans="1:6">
      <c r="A176" s="54" t="s">
        <v>34</v>
      </c>
      <c r="B176" s="55" t="s">
        <v>615</v>
      </c>
      <c r="C176" s="55" t="s">
        <v>1030</v>
      </c>
      <c r="D176" s="55"/>
      <c r="E176" s="55" t="s">
        <v>0</v>
      </c>
      <c r="F176" s="59">
        <v>16</v>
      </c>
    </row>
    <row r="177" spans="1:6">
      <c r="A177" s="54" t="s">
        <v>418</v>
      </c>
      <c r="B177" s="55" t="s">
        <v>615</v>
      </c>
      <c r="C177" s="55" t="s">
        <v>1031</v>
      </c>
      <c r="D177" s="55"/>
      <c r="E177" s="55" t="s">
        <v>0</v>
      </c>
      <c r="F177" s="59">
        <v>6</v>
      </c>
    </row>
    <row r="178" spans="1:6">
      <c r="A178" s="54" t="s">
        <v>418</v>
      </c>
      <c r="B178" s="55" t="s">
        <v>615</v>
      </c>
      <c r="C178" s="55" t="s">
        <v>1027</v>
      </c>
      <c r="D178" s="55"/>
      <c r="E178" s="55" t="s">
        <v>0</v>
      </c>
      <c r="F178" s="59">
        <v>48</v>
      </c>
    </row>
    <row r="179" spans="1:6">
      <c r="A179" s="54" t="s">
        <v>418</v>
      </c>
      <c r="B179" s="55" t="s">
        <v>615</v>
      </c>
      <c r="C179" s="55" t="s">
        <v>1029</v>
      </c>
      <c r="D179" s="55"/>
      <c r="E179" s="55" t="s">
        <v>0</v>
      </c>
      <c r="F179" s="59">
        <v>144</v>
      </c>
    </row>
    <row r="180" spans="1:6">
      <c r="A180" s="54" t="s">
        <v>32</v>
      </c>
      <c r="B180" s="55" t="s">
        <v>615</v>
      </c>
      <c r="C180" s="55" t="s">
        <v>1028</v>
      </c>
      <c r="D180" s="55"/>
      <c r="E180" s="55" t="s">
        <v>0</v>
      </c>
      <c r="F180" s="59">
        <v>491</v>
      </c>
    </row>
    <row r="181" spans="1:6">
      <c r="A181" s="54" t="s">
        <v>32</v>
      </c>
      <c r="B181" s="55" t="s">
        <v>615</v>
      </c>
      <c r="C181" s="55" t="s">
        <v>1030</v>
      </c>
      <c r="D181" s="55"/>
      <c r="E181" s="55" t="s">
        <v>0</v>
      </c>
      <c r="F181" s="59">
        <v>20</v>
      </c>
    </row>
    <row r="182" spans="1:6">
      <c r="A182" s="54" t="s">
        <v>225</v>
      </c>
      <c r="B182" s="55" t="s">
        <v>615</v>
      </c>
      <c r="C182" s="55" t="s">
        <v>1028</v>
      </c>
      <c r="D182" s="55"/>
      <c r="E182" s="55" t="s">
        <v>0</v>
      </c>
      <c r="F182" s="59">
        <v>351</v>
      </c>
    </row>
    <row r="183" spans="1:6">
      <c r="A183" s="54" t="s">
        <v>810</v>
      </c>
      <c r="B183" s="55" t="s">
        <v>615</v>
      </c>
      <c r="C183" s="55" t="s">
        <v>1027</v>
      </c>
      <c r="D183" s="55"/>
      <c r="E183" s="55" t="s">
        <v>0</v>
      </c>
      <c r="F183" s="59">
        <v>1</v>
      </c>
    </row>
    <row r="184" spans="1:6">
      <c r="A184" s="54" t="s">
        <v>810</v>
      </c>
      <c r="B184" s="55" t="s">
        <v>615</v>
      </c>
      <c r="C184" s="55" t="s">
        <v>1029</v>
      </c>
      <c r="D184" s="55"/>
      <c r="E184" s="55" t="s">
        <v>0</v>
      </c>
      <c r="F184" s="59">
        <v>208</v>
      </c>
    </row>
    <row r="185" spans="1:6">
      <c r="A185" s="54" t="s">
        <v>813</v>
      </c>
      <c r="B185" s="55" t="s">
        <v>615</v>
      </c>
      <c r="C185" s="55" t="s">
        <v>1028</v>
      </c>
      <c r="D185" s="55"/>
      <c r="E185" s="55" t="s">
        <v>0</v>
      </c>
      <c r="F185" s="59">
        <v>1222</v>
      </c>
    </row>
    <row r="186" spans="1:6">
      <c r="A186" s="54" t="s">
        <v>810</v>
      </c>
      <c r="B186" s="55" t="s">
        <v>615</v>
      </c>
      <c r="C186" s="55" t="s">
        <v>1030</v>
      </c>
      <c r="D186" s="55"/>
      <c r="E186" s="55" t="s">
        <v>0</v>
      </c>
      <c r="F186" s="59">
        <v>128</v>
      </c>
    </row>
    <row r="187" spans="1:6">
      <c r="A187" s="54" t="s">
        <v>811</v>
      </c>
      <c r="B187" s="55" t="s">
        <v>615</v>
      </c>
      <c r="C187" s="55" t="s">
        <v>1031</v>
      </c>
      <c r="D187" s="55"/>
      <c r="E187" s="55" t="s">
        <v>0</v>
      </c>
      <c r="F187" s="59">
        <v>5</v>
      </c>
    </row>
    <row r="188" spans="1:6">
      <c r="A188" s="54" t="s">
        <v>811</v>
      </c>
      <c r="B188" s="55" t="s">
        <v>615</v>
      </c>
      <c r="C188" s="55" t="s">
        <v>1028</v>
      </c>
      <c r="D188" s="55"/>
      <c r="E188" s="55" t="s">
        <v>0</v>
      </c>
      <c r="F188" s="59">
        <v>256</v>
      </c>
    </row>
    <row r="189" spans="1:6">
      <c r="A189" s="54" t="s">
        <v>811</v>
      </c>
      <c r="B189" s="55" t="s">
        <v>615</v>
      </c>
      <c r="C189" s="55" t="s">
        <v>1027</v>
      </c>
      <c r="D189" s="55"/>
      <c r="E189" s="55" t="s">
        <v>0</v>
      </c>
      <c r="F189" s="59">
        <v>8</v>
      </c>
    </row>
    <row r="190" spans="1:6">
      <c r="A190" s="54" t="s">
        <v>814</v>
      </c>
      <c r="B190" s="55" t="s">
        <v>615</v>
      </c>
      <c r="C190" s="55" t="s">
        <v>1030</v>
      </c>
      <c r="D190" s="55"/>
      <c r="E190" s="55" t="s">
        <v>0</v>
      </c>
      <c r="F190" s="59">
        <v>967</v>
      </c>
    </row>
    <row r="191" spans="1:6">
      <c r="A191" s="54" t="s">
        <v>811</v>
      </c>
      <c r="B191" s="55" t="s">
        <v>615</v>
      </c>
      <c r="C191" s="55" t="s">
        <v>1027</v>
      </c>
      <c r="D191" s="55"/>
      <c r="E191" s="55" t="s">
        <v>0</v>
      </c>
      <c r="F191" s="59">
        <v>1368</v>
      </c>
    </row>
    <row r="192" spans="1:6">
      <c r="A192" s="54" t="s">
        <v>811</v>
      </c>
      <c r="B192" s="55" t="s">
        <v>615</v>
      </c>
      <c r="C192" s="55" t="s">
        <v>1029</v>
      </c>
      <c r="D192" s="55"/>
      <c r="E192" s="55" t="s">
        <v>0</v>
      </c>
      <c r="F192" s="59">
        <v>41</v>
      </c>
    </row>
    <row r="193" spans="1:6">
      <c r="A193" s="54" t="s">
        <v>305</v>
      </c>
      <c r="B193" s="55" t="s">
        <v>615</v>
      </c>
      <c r="C193" s="55" t="s">
        <v>1028</v>
      </c>
      <c r="D193" s="55"/>
      <c r="E193" s="55" t="s">
        <v>0</v>
      </c>
      <c r="F193" s="59">
        <v>150</v>
      </c>
    </row>
    <row r="194" spans="1:6">
      <c r="A194" s="54" t="s">
        <v>227</v>
      </c>
      <c r="B194" s="55" t="s">
        <v>615</v>
      </c>
      <c r="C194" s="55" t="s">
        <v>1030</v>
      </c>
      <c r="D194" s="55"/>
      <c r="E194" s="55" t="s">
        <v>0</v>
      </c>
      <c r="F194" s="59">
        <v>72</v>
      </c>
    </row>
    <row r="195" spans="1:6">
      <c r="A195" s="54" t="s">
        <v>227</v>
      </c>
      <c r="B195" s="55" t="s">
        <v>615</v>
      </c>
      <c r="C195" s="55" t="s">
        <v>1035</v>
      </c>
      <c r="D195" s="55"/>
      <c r="E195" s="55" t="s">
        <v>0</v>
      </c>
      <c r="F195" s="59">
        <v>36</v>
      </c>
    </row>
    <row r="196" spans="1:6">
      <c r="A196" s="54" t="s">
        <v>227</v>
      </c>
      <c r="B196" s="55" t="s">
        <v>615</v>
      </c>
      <c r="C196" s="55" t="s">
        <v>1028</v>
      </c>
      <c r="D196" s="55"/>
      <c r="E196" s="55" t="s">
        <v>0</v>
      </c>
      <c r="F196" s="59">
        <v>1</v>
      </c>
    </row>
    <row r="197" spans="1:6">
      <c r="A197" s="54" t="s">
        <v>35</v>
      </c>
      <c r="B197" s="55" t="s">
        <v>615</v>
      </c>
      <c r="C197" s="55" t="s">
        <v>1027</v>
      </c>
      <c r="D197" s="55"/>
      <c r="E197" s="55" t="s">
        <v>0</v>
      </c>
      <c r="F197" s="59">
        <v>2</v>
      </c>
    </row>
    <row r="198" spans="1:6">
      <c r="A198" s="54" t="s">
        <v>887</v>
      </c>
      <c r="B198" s="55" t="s">
        <v>615</v>
      </c>
      <c r="C198" s="55" t="s">
        <v>1029</v>
      </c>
      <c r="D198" s="55"/>
      <c r="E198" s="55" t="s">
        <v>0</v>
      </c>
      <c r="F198" s="59">
        <v>2</v>
      </c>
    </row>
    <row r="199" spans="1:6">
      <c r="A199" s="54" t="s">
        <v>834</v>
      </c>
      <c r="B199" s="55" t="s">
        <v>615</v>
      </c>
      <c r="C199" s="55" t="s">
        <v>1028</v>
      </c>
      <c r="D199" s="55"/>
      <c r="E199" s="55" t="s">
        <v>0</v>
      </c>
      <c r="F199" s="59">
        <v>1211</v>
      </c>
    </row>
    <row r="200" spans="1:6">
      <c r="A200" s="54" t="s">
        <v>839</v>
      </c>
      <c r="B200" s="55" t="s">
        <v>615</v>
      </c>
      <c r="C200" s="55" t="s">
        <v>1030</v>
      </c>
      <c r="D200" s="55"/>
      <c r="E200" s="55" t="s">
        <v>0</v>
      </c>
      <c r="F200" s="59">
        <v>2128</v>
      </c>
    </row>
    <row r="201" spans="1:6">
      <c r="A201" s="54" t="s">
        <v>839</v>
      </c>
      <c r="B201" s="55" t="s">
        <v>615</v>
      </c>
      <c r="C201" s="55" t="s">
        <v>1035</v>
      </c>
      <c r="D201" s="55"/>
      <c r="E201" s="55" t="s">
        <v>0</v>
      </c>
      <c r="F201" s="59">
        <v>650</v>
      </c>
    </row>
    <row r="202" spans="1:6">
      <c r="A202" s="54" t="s">
        <v>839</v>
      </c>
      <c r="B202" s="55" t="s">
        <v>615</v>
      </c>
      <c r="C202" s="55" t="s">
        <v>1030</v>
      </c>
      <c r="D202" s="55"/>
      <c r="E202" s="55" t="s">
        <v>0</v>
      </c>
      <c r="F202" s="59">
        <v>14</v>
      </c>
    </row>
    <row r="203" spans="1:6">
      <c r="A203" s="54" t="s">
        <v>522</v>
      </c>
      <c r="B203" s="55" t="s">
        <v>615</v>
      </c>
      <c r="C203" s="55" t="s">
        <v>1028</v>
      </c>
      <c r="D203" s="55"/>
      <c r="E203" s="55" t="s">
        <v>0</v>
      </c>
      <c r="F203" s="59">
        <v>14</v>
      </c>
    </row>
    <row r="204" spans="1:6">
      <c r="A204" s="54" t="s">
        <v>679</v>
      </c>
      <c r="B204" s="55" t="s">
        <v>615</v>
      </c>
      <c r="C204" s="55" t="s">
        <v>1027</v>
      </c>
      <c r="D204" s="55"/>
      <c r="E204" s="55" t="s">
        <v>0</v>
      </c>
      <c r="F204" s="59">
        <v>1050</v>
      </c>
    </row>
    <row r="205" spans="1:6">
      <c r="A205" s="54" t="s">
        <v>679</v>
      </c>
      <c r="B205" s="55" t="s">
        <v>615</v>
      </c>
      <c r="C205" s="55" t="s">
        <v>1027</v>
      </c>
      <c r="D205" s="55"/>
      <c r="E205" s="55" t="s">
        <v>0</v>
      </c>
      <c r="F205" s="59">
        <v>20</v>
      </c>
    </row>
    <row r="206" spans="1:6">
      <c r="A206" s="54" t="s">
        <v>678</v>
      </c>
      <c r="B206" s="55" t="s">
        <v>615</v>
      </c>
      <c r="C206" s="55" t="s">
        <v>1028</v>
      </c>
      <c r="D206" s="55"/>
      <c r="E206" s="55" t="s">
        <v>0</v>
      </c>
      <c r="F206" s="59">
        <v>21</v>
      </c>
    </row>
    <row r="207" spans="1:6">
      <c r="A207" s="54" t="s">
        <v>678</v>
      </c>
      <c r="B207" s="55" t="s">
        <v>615</v>
      </c>
      <c r="C207" s="55" t="s">
        <v>1028</v>
      </c>
      <c r="D207" s="55"/>
      <c r="E207" s="55" t="s">
        <v>0</v>
      </c>
      <c r="F207" s="59">
        <v>30</v>
      </c>
    </row>
    <row r="208" spans="1:6">
      <c r="A208" s="54" t="s">
        <v>690</v>
      </c>
      <c r="B208" s="55" t="s">
        <v>615</v>
      </c>
      <c r="C208" s="55" t="s">
        <v>1027</v>
      </c>
      <c r="D208" s="55"/>
      <c r="E208" s="55" t="s">
        <v>0</v>
      </c>
      <c r="F208" s="59">
        <v>72</v>
      </c>
    </row>
    <row r="209" spans="1:6">
      <c r="A209" s="54" t="s">
        <v>693</v>
      </c>
      <c r="B209" s="55" t="s">
        <v>615</v>
      </c>
      <c r="C209" s="55" t="s">
        <v>1027</v>
      </c>
      <c r="D209" s="55"/>
      <c r="E209" s="55" t="s">
        <v>0</v>
      </c>
      <c r="F209" s="59">
        <v>961</v>
      </c>
    </row>
    <row r="210" spans="1:6">
      <c r="A210" s="54" t="s">
        <v>690</v>
      </c>
      <c r="B210" s="55" t="s">
        <v>615</v>
      </c>
      <c r="C210" s="55" t="s">
        <v>1028</v>
      </c>
      <c r="D210" s="55"/>
      <c r="E210" s="55" t="s">
        <v>0</v>
      </c>
      <c r="F210" s="59">
        <v>2</v>
      </c>
    </row>
    <row r="211" spans="1:6">
      <c r="A211" s="54" t="s">
        <v>802</v>
      </c>
      <c r="B211" s="55" t="s">
        <v>615</v>
      </c>
      <c r="C211" s="55" t="s">
        <v>1030</v>
      </c>
      <c r="D211" s="55"/>
      <c r="E211" s="55" t="s">
        <v>0</v>
      </c>
      <c r="F211" s="59">
        <v>420</v>
      </c>
    </row>
    <row r="212" spans="1:6">
      <c r="A212" s="54" t="s">
        <v>806</v>
      </c>
      <c r="B212" s="55" t="s">
        <v>615</v>
      </c>
      <c r="C212" s="55" t="s">
        <v>1036</v>
      </c>
      <c r="D212" s="55"/>
      <c r="E212" s="55" t="s">
        <v>0</v>
      </c>
      <c r="F212" s="59">
        <v>1776</v>
      </c>
    </row>
    <row r="213" spans="1:6">
      <c r="A213" s="54" t="s">
        <v>454</v>
      </c>
      <c r="B213" s="55" t="s">
        <v>615</v>
      </c>
      <c r="C213" s="55" t="s">
        <v>1037</v>
      </c>
      <c r="D213" s="55"/>
      <c r="E213" s="55" t="s">
        <v>0</v>
      </c>
      <c r="F213" s="59">
        <v>5</v>
      </c>
    </row>
    <row r="214" spans="1:6">
      <c r="A214" s="54" t="s">
        <v>454</v>
      </c>
      <c r="B214" s="55" t="s">
        <v>615</v>
      </c>
      <c r="C214" s="55" t="s">
        <v>1027</v>
      </c>
      <c r="D214" s="55"/>
      <c r="E214" s="55" t="s">
        <v>0</v>
      </c>
      <c r="F214" s="59">
        <v>5</v>
      </c>
    </row>
    <row r="215" spans="1:6">
      <c r="A215" s="54" t="s">
        <v>322</v>
      </c>
      <c r="B215" s="55" t="s">
        <v>615</v>
      </c>
      <c r="C215" s="55" t="s">
        <v>1027</v>
      </c>
      <c r="D215" s="55"/>
      <c r="E215" s="55" t="s">
        <v>0</v>
      </c>
      <c r="F215" s="59">
        <v>6</v>
      </c>
    </row>
    <row r="216" spans="1:6">
      <c r="A216" s="54" t="s">
        <v>428</v>
      </c>
      <c r="B216" s="55" t="s">
        <v>615</v>
      </c>
      <c r="C216" s="55" t="s">
        <v>1028</v>
      </c>
      <c r="D216" s="55"/>
      <c r="E216" s="55" t="s">
        <v>0</v>
      </c>
      <c r="F216" s="59">
        <v>665</v>
      </c>
    </row>
    <row r="217" spans="1:6">
      <c r="A217" s="54" t="s">
        <v>428</v>
      </c>
      <c r="B217" s="55" t="s">
        <v>615</v>
      </c>
      <c r="C217" s="55" t="s">
        <v>1030</v>
      </c>
      <c r="D217" s="55"/>
      <c r="E217" s="55" t="s">
        <v>0</v>
      </c>
      <c r="F217" s="59">
        <v>205</v>
      </c>
    </row>
    <row r="218" spans="1:6">
      <c r="A218" s="54" t="s">
        <v>428</v>
      </c>
      <c r="B218" s="55" t="s">
        <v>615</v>
      </c>
      <c r="C218" s="55" t="s">
        <v>1037</v>
      </c>
      <c r="D218" s="55"/>
      <c r="E218" s="55" t="s">
        <v>0</v>
      </c>
      <c r="F218" s="59">
        <v>350</v>
      </c>
    </row>
    <row r="219" spans="1:6">
      <c r="A219" s="54" t="s">
        <v>316</v>
      </c>
      <c r="B219" s="55" t="s">
        <v>615</v>
      </c>
      <c r="C219" s="55" t="s">
        <v>1027</v>
      </c>
      <c r="D219" s="55"/>
      <c r="E219" s="55" t="s">
        <v>0</v>
      </c>
      <c r="F219" s="59">
        <v>1646</v>
      </c>
    </row>
    <row r="220" spans="1:6">
      <c r="A220" s="54" t="s">
        <v>36</v>
      </c>
      <c r="B220" s="55" t="s">
        <v>615</v>
      </c>
      <c r="C220" s="55" t="s">
        <v>1027</v>
      </c>
      <c r="D220" s="55"/>
      <c r="E220" s="55" t="s">
        <v>0</v>
      </c>
      <c r="F220" s="59">
        <v>7</v>
      </c>
    </row>
    <row r="221" spans="1:6">
      <c r="A221" s="54" t="s">
        <v>453</v>
      </c>
      <c r="B221" s="55" t="s">
        <v>615</v>
      </c>
      <c r="C221" s="55" t="s">
        <v>1030</v>
      </c>
      <c r="D221" s="55"/>
      <c r="E221" s="55" t="s">
        <v>0</v>
      </c>
      <c r="F221" s="59">
        <v>1</v>
      </c>
    </row>
    <row r="222" spans="1:6">
      <c r="A222" s="54" t="s">
        <v>455</v>
      </c>
      <c r="B222" s="55" t="s">
        <v>615</v>
      </c>
      <c r="C222" s="55" t="s">
        <v>1030</v>
      </c>
      <c r="D222" s="55"/>
      <c r="E222" s="55" t="s">
        <v>0</v>
      </c>
      <c r="F222" s="59">
        <v>6</v>
      </c>
    </row>
    <row r="223" spans="1:6">
      <c r="A223" s="54" t="s">
        <v>664</v>
      </c>
      <c r="B223" s="55" t="s">
        <v>615</v>
      </c>
      <c r="C223" s="55" t="s">
        <v>1030</v>
      </c>
      <c r="D223" s="55"/>
      <c r="E223" s="55" t="s">
        <v>0</v>
      </c>
      <c r="F223" s="59">
        <v>72</v>
      </c>
    </row>
    <row r="224" spans="1:6">
      <c r="A224" s="54" t="s">
        <v>664</v>
      </c>
      <c r="B224" s="55" t="s">
        <v>615</v>
      </c>
      <c r="C224" s="55" t="s">
        <v>1037</v>
      </c>
      <c r="D224" s="55"/>
      <c r="E224" s="55" t="s">
        <v>0</v>
      </c>
      <c r="F224" s="59">
        <v>418</v>
      </c>
    </row>
    <row r="225" spans="1:6">
      <c r="A225" s="54" t="s">
        <v>818</v>
      </c>
      <c r="B225" s="55" t="s">
        <v>615</v>
      </c>
      <c r="C225" s="55" t="s">
        <v>1030</v>
      </c>
      <c r="D225" s="55"/>
      <c r="E225" s="55" t="s">
        <v>0</v>
      </c>
      <c r="F225" s="59">
        <v>326</v>
      </c>
    </row>
    <row r="226" spans="1:6">
      <c r="A226" s="54" t="s">
        <v>818</v>
      </c>
      <c r="B226" s="55" t="s">
        <v>615</v>
      </c>
      <c r="C226" s="55" t="s">
        <v>1027</v>
      </c>
      <c r="D226" s="55"/>
      <c r="E226" s="55" t="s">
        <v>0</v>
      </c>
      <c r="F226" s="59">
        <v>632</v>
      </c>
    </row>
    <row r="227" spans="1:6">
      <c r="A227" s="54" t="s">
        <v>665</v>
      </c>
      <c r="B227" s="55" t="s">
        <v>615</v>
      </c>
      <c r="C227" s="55" t="s">
        <v>1028</v>
      </c>
      <c r="D227" s="55"/>
      <c r="E227" s="55" t="s">
        <v>0</v>
      </c>
      <c r="F227" s="59">
        <v>148</v>
      </c>
    </row>
    <row r="228" spans="1:6">
      <c r="A228" s="54" t="s">
        <v>665</v>
      </c>
      <c r="B228" s="55" t="s">
        <v>615</v>
      </c>
      <c r="C228" s="55" t="s">
        <v>1027</v>
      </c>
      <c r="D228" s="55"/>
      <c r="E228" s="55" t="s">
        <v>0</v>
      </c>
      <c r="F228" s="59">
        <v>227</v>
      </c>
    </row>
    <row r="229" spans="1:6">
      <c r="A229" s="54" t="s">
        <v>373</v>
      </c>
      <c r="B229" s="55" t="s">
        <v>615</v>
      </c>
      <c r="C229" s="55" t="s">
        <v>1027</v>
      </c>
      <c r="D229" s="55"/>
      <c r="E229" s="55" t="s">
        <v>0</v>
      </c>
      <c r="F229" s="59">
        <v>6</v>
      </c>
    </row>
    <row r="230" spans="1:6">
      <c r="A230" s="54" t="s">
        <v>468</v>
      </c>
      <c r="B230" s="55" t="s">
        <v>615</v>
      </c>
      <c r="C230" s="55" t="s">
        <v>1029</v>
      </c>
      <c r="D230" s="55"/>
      <c r="E230" s="55" t="s">
        <v>0</v>
      </c>
      <c r="F230" s="59">
        <v>14</v>
      </c>
    </row>
    <row r="231" spans="1:6">
      <c r="A231" s="54" t="s">
        <v>170</v>
      </c>
      <c r="B231" s="55" t="s">
        <v>615</v>
      </c>
      <c r="C231" s="55" t="s">
        <v>1028</v>
      </c>
      <c r="D231" s="55"/>
      <c r="E231" s="55" t="s">
        <v>0</v>
      </c>
      <c r="F231" s="59">
        <v>876</v>
      </c>
    </row>
    <row r="232" spans="1:6">
      <c r="A232" s="54" t="s">
        <v>170</v>
      </c>
      <c r="B232" s="55" t="s">
        <v>615</v>
      </c>
      <c r="C232" s="55" t="s">
        <v>1030</v>
      </c>
      <c r="D232" s="55"/>
      <c r="E232" s="55" t="s">
        <v>0</v>
      </c>
      <c r="F232" s="59">
        <v>979</v>
      </c>
    </row>
    <row r="233" spans="1:6">
      <c r="A233" s="54" t="s">
        <v>170</v>
      </c>
      <c r="B233" s="55" t="s">
        <v>615</v>
      </c>
      <c r="C233" s="55" t="s">
        <v>1027</v>
      </c>
      <c r="D233" s="55"/>
      <c r="E233" s="55" t="s">
        <v>0</v>
      </c>
      <c r="F233" s="59">
        <v>39</v>
      </c>
    </row>
    <row r="234" spans="1:6">
      <c r="A234" s="54" t="s">
        <v>893</v>
      </c>
      <c r="B234" s="55" t="s">
        <v>615</v>
      </c>
      <c r="C234" s="55" t="s">
        <v>1030</v>
      </c>
      <c r="D234" s="55"/>
      <c r="E234" s="55" t="s">
        <v>0</v>
      </c>
      <c r="F234" s="59">
        <v>12</v>
      </c>
    </row>
    <row r="235" spans="1:6">
      <c r="A235" s="54" t="s">
        <v>893</v>
      </c>
      <c r="B235" s="55" t="s">
        <v>615</v>
      </c>
      <c r="C235" s="55" t="s">
        <v>1027</v>
      </c>
      <c r="D235" s="55"/>
      <c r="E235" s="55" t="s">
        <v>0</v>
      </c>
      <c r="F235" s="59">
        <v>72</v>
      </c>
    </row>
    <row r="236" spans="1:6">
      <c r="A236" s="54" t="s">
        <v>564</v>
      </c>
      <c r="B236" s="55" t="s">
        <v>615</v>
      </c>
      <c r="C236" s="55" t="s">
        <v>1029</v>
      </c>
      <c r="D236" s="55"/>
      <c r="E236" s="55" t="s">
        <v>0</v>
      </c>
      <c r="F236" s="59">
        <v>40</v>
      </c>
    </row>
    <row r="237" spans="1:6">
      <c r="A237" s="54" t="s">
        <v>564</v>
      </c>
      <c r="B237" s="55" t="s">
        <v>615</v>
      </c>
      <c r="C237" s="55" t="s">
        <v>1028</v>
      </c>
      <c r="D237" s="55"/>
      <c r="E237" s="55" t="s">
        <v>0</v>
      </c>
      <c r="F237" s="59">
        <v>1030</v>
      </c>
    </row>
    <row r="238" spans="1:6">
      <c r="A238" s="54" t="s">
        <v>564</v>
      </c>
      <c r="B238" s="55" t="s">
        <v>615</v>
      </c>
      <c r="C238" s="55" t="s">
        <v>1030</v>
      </c>
      <c r="D238" s="55"/>
      <c r="E238" s="55" t="s">
        <v>0</v>
      </c>
      <c r="F238" s="59">
        <v>6080</v>
      </c>
    </row>
    <row r="239" spans="1:6">
      <c r="A239" s="54" t="s">
        <v>200</v>
      </c>
      <c r="B239" s="55" t="s">
        <v>615</v>
      </c>
      <c r="C239" s="55" t="s">
        <v>1030</v>
      </c>
      <c r="D239" s="55"/>
      <c r="E239" s="55" t="s">
        <v>0</v>
      </c>
      <c r="F239" s="59">
        <v>227</v>
      </c>
    </row>
    <row r="240" spans="1:6">
      <c r="A240" s="54" t="s">
        <v>200</v>
      </c>
      <c r="B240" s="55" t="s">
        <v>615</v>
      </c>
      <c r="C240" s="55" t="s">
        <v>1029</v>
      </c>
      <c r="D240" s="55"/>
      <c r="E240" s="55" t="s">
        <v>0</v>
      </c>
      <c r="F240" s="59">
        <v>40</v>
      </c>
    </row>
    <row r="241" spans="1:6">
      <c r="A241" s="54" t="s">
        <v>313</v>
      </c>
      <c r="B241" s="55" t="s">
        <v>615</v>
      </c>
      <c r="C241" s="55" t="s">
        <v>1028</v>
      </c>
      <c r="D241" s="55"/>
      <c r="E241" s="55" t="s">
        <v>0</v>
      </c>
      <c r="F241" s="59">
        <v>35</v>
      </c>
    </row>
    <row r="242" spans="1:6">
      <c r="A242" s="54" t="s">
        <v>37</v>
      </c>
      <c r="B242" s="55" t="s">
        <v>615</v>
      </c>
      <c r="C242" s="55" t="s">
        <v>1030</v>
      </c>
      <c r="D242" s="55"/>
      <c r="E242" s="55" t="s">
        <v>0</v>
      </c>
      <c r="F242" s="59">
        <v>134</v>
      </c>
    </row>
    <row r="243" spans="1:6">
      <c r="A243" s="54" t="s">
        <v>40</v>
      </c>
      <c r="B243" s="55" t="s">
        <v>615</v>
      </c>
      <c r="C243" s="55" t="s">
        <v>1029</v>
      </c>
      <c r="D243" s="55"/>
      <c r="E243" s="55" t="s">
        <v>0</v>
      </c>
      <c r="F243" s="59">
        <v>74</v>
      </c>
    </row>
    <row r="244" spans="1:6">
      <c r="A244" s="54" t="s">
        <v>477</v>
      </c>
      <c r="B244" s="55" t="s">
        <v>615</v>
      </c>
      <c r="C244" s="55" t="s">
        <v>1028</v>
      </c>
      <c r="D244" s="55"/>
      <c r="E244" s="55" t="s">
        <v>0</v>
      </c>
      <c r="F244" s="59">
        <v>24</v>
      </c>
    </row>
    <row r="245" spans="1:6">
      <c r="A245" s="54" t="s">
        <v>473</v>
      </c>
      <c r="B245" s="55" t="s">
        <v>615</v>
      </c>
      <c r="C245" s="55" t="s">
        <v>1030</v>
      </c>
      <c r="D245" s="55"/>
      <c r="E245" s="55" t="s">
        <v>0</v>
      </c>
      <c r="F245" s="59">
        <v>1</v>
      </c>
    </row>
    <row r="246" spans="1:6">
      <c r="A246" s="54" t="s">
        <v>38</v>
      </c>
      <c r="B246" s="55" t="s">
        <v>615</v>
      </c>
      <c r="C246" s="55" t="s">
        <v>1027</v>
      </c>
      <c r="D246" s="55"/>
      <c r="E246" s="55" t="s">
        <v>0</v>
      </c>
      <c r="F246" s="59">
        <v>381</v>
      </c>
    </row>
    <row r="247" spans="1:6">
      <c r="A247" s="54" t="s">
        <v>38</v>
      </c>
      <c r="B247" s="55" t="s">
        <v>615</v>
      </c>
      <c r="C247" s="55" t="s">
        <v>1027</v>
      </c>
      <c r="D247" s="55"/>
      <c r="E247" s="55" t="s">
        <v>0</v>
      </c>
      <c r="F247" s="59">
        <v>532</v>
      </c>
    </row>
    <row r="248" spans="1:6">
      <c r="A248" s="54" t="s">
        <v>510</v>
      </c>
      <c r="B248" s="55" t="s">
        <v>615</v>
      </c>
      <c r="C248" s="55" t="s">
        <v>1030</v>
      </c>
      <c r="D248" s="55"/>
      <c r="E248" s="55" t="s">
        <v>0</v>
      </c>
      <c r="F248" s="59">
        <v>7</v>
      </c>
    </row>
    <row r="249" spans="1:6">
      <c r="A249" s="54" t="s">
        <v>357</v>
      </c>
      <c r="B249" s="55" t="s">
        <v>615</v>
      </c>
      <c r="C249" s="55" t="s">
        <v>1034</v>
      </c>
      <c r="D249" s="55"/>
      <c r="E249" s="55" t="s">
        <v>0</v>
      </c>
      <c r="F249" s="59">
        <v>4</v>
      </c>
    </row>
    <row r="250" spans="1:6">
      <c r="A250" s="54" t="s">
        <v>39</v>
      </c>
      <c r="B250" s="55" t="s">
        <v>615</v>
      </c>
      <c r="C250" s="55" t="s">
        <v>1028</v>
      </c>
      <c r="D250" s="55"/>
      <c r="E250" s="55" t="s">
        <v>0</v>
      </c>
      <c r="F250" s="59">
        <v>115</v>
      </c>
    </row>
    <row r="251" spans="1:6">
      <c r="A251" s="54" t="s">
        <v>389</v>
      </c>
      <c r="B251" s="55" t="s">
        <v>615</v>
      </c>
      <c r="C251" s="55" t="s">
        <v>1027</v>
      </c>
      <c r="D251" s="55"/>
      <c r="E251" s="55" t="s">
        <v>0</v>
      </c>
      <c r="F251" s="59">
        <v>44</v>
      </c>
    </row>
    <row r="252" spans="1:6">
      <c r="A252" s="54" t="s">
        <v>394</v>
      </c>
      <c r="B252" s="55" t="s">
        <v>615</v>
      </c>
      <c r="C252" s="55" t="s">
        <v>1029</v>
      </c>
      <c r="D252" s="55"/>
      <c r="E252" s="55" t="s">
        <v>0</v>
      </c>
      <c r="F252" s="59">
        <v>2</v>
      </c>
    </row>
    <row r="253" spans="1:6">
      <c r="A253" s="54" t="s">
        <v>171</v>
      </c>
      <c r="B253" s="55" t="s">
        <v>615</v>
      </c>
      <c r="C253" s="55" t="s">
        <v>1028</v>
      </c>
      <c r="D253" s="55"/>
      <c r="E253" s="55" t="s">
        <v>0</v>
      </c>
      <c r="F253" s="59">
        <v>93</v>
      </c>
    </row>
    <row r="254" spans="1:6">
      <c r="A254" s="54" t="s">
        <v>490</v>
      </c>
      <c r="B254" s="55" t="s">
        <v>615</v>
      </c>
      <c r="C254" s="55" t="s">
        <v>1030</v>
      </c>
      <c r="D254" s="55"/>
      <c r="E254" s="55" t="s">
        <v>0</v>
      </c>
      <c r="F254" s="59">
        <v>8</v>
      </c>
    </row>
    <row r="255" spans="1:6">
      <c r="A255" s="54" t="s">
        <v>228</v>
      </c>
      <c r="B255" s="55" t="s">
        <v>615</v>
      </c>
      <c r="C255" s="55" t="s">
        <v>1027</v>
      </c>
      <c r="D255" s="55"/>
      <c r="E255" s="55" t="s">
        <v>0</v>
      </c>
      <c r="F255" s="59">
        <v>14</v>
      </c>
    </row>
    <row r="256" spans="1:6">
      <c r="A256" s="54" t="s">
        <v>41</v>
      </c>
      <c r="B256" s="55" t="s">
        <v>615</v>
      </c>
      <c r="C256" s="55" t="s">
        <v>1030</v>
      </c>
      <c r="D256" s="55"/>
      <c r="E256" s="55" t="s">
        <v>0</v>
      </c>
      <c r="F256" s="59">
        <v>91</v>
      </c>
    </row>
    <row r="257" spans="1:6">
      <c r="A257" s="54" t="s">
        <v>673</v>
      </c>
      <c r="B257" s="55" t="s">
        <v>615</v>
      </c>
      <c r="C257" s="55" t="s">
        <v>1027</v>
      </c>
      <c r="D257" s="55"/>
      <c r="E257" s="55" t="s">
        <v>0</v>
      </c>
      <c r="F257" s="59">
        <v>768</v>
      </c>
    </row>
    <row r="258" spans="1:6">
      <c r="A258" s="54" t="s">
        <v>866</v>
      </c>
      <c r="B258" s="55" t="s">
        <v>615</v>
      </c>
      <c r="C258" s="55" t="s">
        <v>1027</v>
      </c>
      <c r="D258" s="55"/>
      <c r="E258" s="55" t="s">
        <v>0</v>
      </c>
      <c r="F258" s="59">
        <v>19</v>
      </c>
    </row>
    <row r="259" spans="1:6">
      <c r="A259" s="54" t="s">
        <v>822</v>
      </c>
      <c r="B259" s="55" t="s">
        <v>615</v>
      </c>
      <c r="C259" s="55" t="s">
        <v>1030</v>
      </c>
      <c r="D259" s="55"/>
      <c r="E259" s="55" t="s">
        <v>0</v>
      </c>
      <c r="F259" s="59">
        <v>7</v>
      </c>
    </row>
    <row r="260" spans="1:6">
      <c r="A260" s="54" t="s">
        <v>719</v>
      </c>
      <c r="B260" s="55" t="s">
        <v>615</v>
      </c>
      <c r="C260" s="55" t="s">
        <v>1035</v>
      </c>
      <c r="D260" s="55"/>
      <c r="E260" s="55" t="s">
        <v>0</v>
      </c>
      <c r="F260" s="59">
        <v>2999</v>
      </c>
    </row>
    <row r="261" spans="1:6">
      <c r="A261" s="54" t="s">
        <v>670</v>
      </c>
      <c r="B261" s="55" t="s">
        <v>615</v>
      </c>
      <c r="C261" s="55" t="s">
        <v>1027</v>
      </c>
      <c r="D261" s="55"/>
      <c r="E261" s="55" t="s">
        <v>0</v>
      </c>
      <c r="F261" s="59">
        <v>1405</v>
      </c>
    </row>
    <row r="262" spans="1:6">
      <c r="A262" s="54" t="s">
        <v>726</v>
      </c>
      <c r="B262" s="55" t="s">
        <v>615</v>
      </c>
      <c r="C262" s="55" t="s">
        <v>1027</v>
      </c>
      <c r="D262" s="55"/>
      <c r="E262" s="55" t="s">
        <v>0</v>
      </c>
      <c r="F262" s="59">
        <v>22</v>
      </c>
    </row>
    <row r="263" spans="1:6">
      <c r="A263" s="54" t="s">
        <v>726</v>
      </c>
      <c r="B263" s="55" t="s">
        <v>615</v>
      </c>
      <c r="C263" s="55" t="s">
        <v>1030</v>
      </c>
      <c r="D263" s="55"/>
      <c r="E263" s="55" t="s">
        <v>0</v>
      </c>
      <c r="F263" s="59">
        <v>29</v>
      </c>
    </row>
    <row r="264" spans="1:6">
      <c r="A264" s="54" t="s">
        <v>738</v>
      </c>
      <c r="B264" s="55" t="s">
        <v>615</v>
      </c>
      <c r="C264" s="55" t="s">
        <v>1029</v>
      </c>
      <c r="D264" s="55"/>
      <c r="E264" s="55" t="s">
        <v>0</v>
      </c>
      <c r="F264" s="59">
        <v>1</v>
      </c>
    </row>
    <row r="265" spans="1:6">
      <c r="A265" s="54" t="s">
        <v>953</v>
      </c>
      <c r="B265" s="55" t="s">
        <v>615</v>
      </c>
      <c r="C265" s="55" t="s">
        <v>1027</v>
      </c>
      <c r="D265" s="55"/>
      <c r="E265" s="55" t="s">
        <v>0</v>
      </c>
      <c r="F265" s="59">
        <v>26</v>
      </c>
    </row>
    <row r="266" spans="1:6">
      <c r="A266" s="54" t="s">
        <v>953</v>
      </c>
      <c r="B266" s="55" t="s">
        <v>615</v>
      </c>
      <c r="C266" s="55" t="s">
        <v>1030</v>
      </c>
      <c r="D266" s="55"/>
      <c r="E266" s="55" t="s">
        <v>0</v>
      </c>
      <c r="F266" s="59">
        <v>160</v>
      </c>
    </row>
    <row r="267" spans="1:6">
      <c r="A267" s="54" t="s">
        <v>953</v>
      </c>
      <c r="B267" s="55" t="s">
        <v>615</v>
      </c>
      <c r="C267" s="55" t="s">
        <v>1027</v>
      </c>
      <c r="D267" s="55"/>
      <c r="E267" s="55" t="s">
        <v>0</v>
      </c>
      <c r="F267" s="59">
        <v>600</v>
      </c>
    </row>
    <row r="268" spans="1:6">
      <c r="A268" s="54" t="s">
        <v>936</v>
      </c>
      <c r="B268" s="55" t="s">
        <v>615</v>
      </c>
      <c r="C268" s="55" t="s">
        <v>1027</v>
      </c>
      <c r="D268" s="55"/>
      <c r="E268" s="55" t="s">
        <v>0</v>
      </c>
      <c r="F268" s="59">
        <v>1076</v>
      </c>
    </row>
    <row r="269" spans="1:6">
      <c r="A269" s="54" t="s">
        <v>936</v>
      </c>
      <c r="B269" s="55" t="s">
        <v>615</v>
      </c>
      <c r="C269" s="55" t="s">
        <v>1030</v>
      </c>
      <c r="D269" s="55"/>
      <c r="E269" s="55" t="s">
        <v>0</v>
      </c>
      <c r="F269" s="59">
        <v>112</v>
      </c>
    </row>
    <row r="270" spans="1:6">
      <c r="A270" s="54" t="s">
        <v>936</v>
      </c>
      <c r="B270" s="55" t="s">
        <v>615</v>
      </c>
      <c r="C270" s="55" t="s">
        <v>1030</v>
      </c>
      <c r="D270" s="55"/>
      <c r="E270" s="55" t="s">
        <v>0</v>
      </c>
      <c r="F270" s="59">
        <v>12</v>
      </c>
    </row>
    <row r="271" spans="1:6">
      <c r="A271" s="54" t="s">
        <v>471</v>
      </c>
      <c r="B271" s="55" t="s">
        <v>615</v>
      </c>
      <c r="C271" s="55" t="s">
        <v>1027</v>
      </c>
      <c r="D271" s="55"/>
      <c r="E271" s="55" t="s">
        <v>0</v>
      </c>
      <c r="F271" s="59">
        <v>5</v>
      </c>
    </row>
    <row r="272" spans="1:6">
      <c r="A272" s="54" t="s">
        <v>43</v>
      </c>
      <c r="B272" s="55" t="s">
        <v>615</v>
      </c>
      <c r="C272" s="55" t="s">
        <v>1027</v>
      </c>
      <c r="D272" s="55"/>
      <c r="E272" s="55" t="s">
        <v>0</v>
      </c>
      <c r="F272" s="59">
        <v>81</v>
      </c>
    </row>
    <row r="273" spans="1:6">
      <c r="A273" s="54" t="s">
        <v>823</v>
      </c>
      <c r="B273" s="55" t="s">
        <v>615</v>
      </c>
      <c r="C273" s="55" t="s">
        <v>1030</v>
      </c>
      <c r="D273" s="55"/>
      <c r="E273" s="55" t="s">
        <v>0</v>
      </c>
      <c r="F273" s="59">
        <v>5</v>
      </c>
    </row>
    <row r="274" spans="1:6">
      <c r="A274" s="54" t="s">
        <v>720</v>
      </c>
      <c r="B274" s="55" t="s">
        <v>615</v>
      </c>
      <c r="C274" s="55" t="s">
        <v>1030</v>
      </c>
      <c r="D274" s="55"/>
      <c r="E274" s="55" t="s">
        <v>0</v>
      </c>
      <c r="F274" s="59">
        <v>3555</v>
      </c>
    </row>
    <row r="275" spans="1:6">
      <c r="A275" s="54" t="s">
        <v>605</v>
      </c>
      <c r="B275" s="55" t="s">
        <v>615</v>
      </c>
      <c r="C275" s="55" t="s">
        <v>1027</v>
      </c>
      <c r="D275" s="55"/>
      <c r="E275" s="55" t="s">
        <v>0</v>
      </c>
      <c r="F275" s="59">
        <v>28</v>
      </c>
    </row>
    <row r="276" spans="1:6">
      <c r="A276" s="54" t="s">
        <v>631</v>
      </c>
      <c r="B276" s="55" t="s">
        <v>615</v>
      </c>
      <c r="C276" s="55" t="s">
        <v>1029</v>
      </c>
      <c r="D276" s="55"/>
      <c r="E276" s="55" t="s">
        <v>0</v>
      </c>
      <c r="F276" s="59">
        <v>1603</v>
      </c>
    </row>
    <row r="277" spans="1:6">
      <c r="A277" s="54" t="s">
        <v>799</v>
      </c>
      <c r="B277" s="55" t="s">
        <v>615</v>
      </c>
      <c r="C277" s="55" t="s">
        <v>1027</v>
      </c>
      <c r="D277" s="55"/>
      <c r="E277" s="55" t="s">
        <v>0</v>
      </c>
      <c r="F277" s="59">
        <v>26</v>
      </c>
    </row>
    <row r="278" spans="1:6">
      <c r="A278" s="54" t="s">
        <v>669</v>
      </c>
      <c r="B278" s="55" t="s">
        <v>615</v>
      </c>
      <c r="C278" s="55" t="s">
        <v>1029</v>
      </c>
      <c r="D278" s="55"/>
      <c r="E278" s="55" t="s">
        <v>0</v>
      </c>
      <c r="F278" s="59">
        <v>688</v>
      </c>
    </row>
    <row r="279" spans="1:6">
      <c r="A279" s="54" t="s">
        <v>718</v>
      </c>
      <c r="B279" s="55" t="s">
        <v>615</v>
      </c>
      <c r="C279" s="55" t="s">
        <v>1028</v>
      </c>
      <c r="D279" s="55"/>
      <c r="E279" s="55" t="s">
        <v>0</v>
      </c>
      <c r="F279" s="59">
        <v>2535</v>
      </c>
    </row>
    <row r="280" spans="1:6">
      <c r="A280" s="54" t="s">
        <v>674</v>
      </c>
      <c r="B280" s="55" t="s">
        <v>615</v>
      </c>
      <c r="C280" s="55" t="s">
        <v>1030</v>
      </c>
      <c r="D280" s="55"/>
      <c r="E280" s="55" t="s">
        <v>0</v>
      </c>
      <c r="F280" s="59">
        <v>118</v>
      </c>
    </row>
    <row r="281" spans="1:6">
      <c r="A281" s="54" t="s">
        <v>958</v>
      </c>
      <c r="B281" s="55" t="s">
        <v>615</v>
      </c>
      <c r="C281" s="55" t="s">
        <v>1034</v>
      </c>
      <c r="D281" s="55"/>
      <c r="E281" s="55" t="s">
        <v>0</v>
      </c>
      <c r="F281" s="59">
        <v>29</v>
      </c>
    </row>
    <row r="282" spans="1:6">
      <c r="A282" s="54" t="s">
        <v>937</v>
      </c>
      <c r="B282" s="55" t="s">
        <v>615</v>
      </c>
      <c r="C282" s="55" t="s">
        <v>1027</v>
      </c>
      <c r="D282" s="55"/>
      <c r="E282" s="55" t="s">
        <v>0</v>
      </c>
      <c r="F282" s="59">
        <v>93</v>
      </c>
    </row>
    <row r="283" spans="1:6">
      <c r="A283" s="54" t="s">
        <v>937</v>
      </c>
      <c r="B283" s="55" t="s">
        <v>615</v>
      </c>
      <c r="C283" s="55" t="s">
        <v>1030</v>
      </c>
      <c r="D283" s="55"/>
      <c r="E283" s="55" t="s">
        <v>0</v>
      </c>
      <c r="F283" s="59">
        <v>1774</v>
      </c>
    </row>
    <row r="284" spans="1:6">
      <c r="A284" s="54" t="s">
        <v>959</v>
      </c>
      <c r="B284" s="55" t="s">
        <v>615</v>
      </c>
      <c r="C284" s="55" t="s">
        <v>1027</v>
      </c>
      <c r="D284" s="55"/>
      <c r="E284" s="55" t="s">
        <v>0</v>
      </c>
      <c r="F284" s="59">
        <v>19</v>
      </c>
    </row>
    <row r="285" spans="1:6">
      <c r="A285" s="54" t="s">
        <v>938</v>
      </c>
      <c r="B285" s="55" t="s">
        <v>615</v>
      </c>
      <c r="C285" s="55" t="s">
        <v>1030</v>
      </c>
      <c r="D285" s="55"/>
      <c r="E285" s="55" t="s">
        <v>0</v>
      </c>
      <c r="F285" s="59">
        <v>1112</v>
      </c>
    </row>
    <row r="286" spans="1:6">
      <c r="A286" s="54" t="s">
        <v>820</v>
      </c>
      <c r="B286" s="55" t="s">
        <v>615</v>
      </c>
      <c r="C286" s="55" t="s">
        <v>1030</v>
      </c>
      <c r="D286" s="55"/>
      <c r="E286" s="55" t="s">
        <v>0</v>
      </c>
      <c r="F286" s="59">
        <v>1</v>
      </c>
    </row>
    <row r="287" spans="1:6">
      <c r="A287" s="54" t="s">
        <v>820</v>
      </c>
      <c r="B287" s="55" t="s">
        <v>615</v>
      </c>
      <c r="C287" s="55" t="s">
        <v>1027</v>
      </c>
      <c r="D287" s="55"/>
      <c r="E287" s="55" t="s">
        <v>0</v>
      </c>
      <c r="F287" s="59">
        <v>222</v>
      </c>
    </row>
    <row r="288" spans="1:6">
      <c r="A288" s="54" t="s">
        <v>820</v>
      </c>
      <c r="B288" s="55" t="s">
        <v>615</v>
      </c>
      <c r="C288" s="55" t="s">
        <v>1030</v>
      </c>
      <c r="D288" s="55"/>
      <c r="E288" s="55" t="s">
        <v>0</v>
      </c>
      <c r="F288" s="59">
        <v>664</v>
      </c>
    </row>
    <row r="289" spans="1:6">
      <c r="A289" s="54" t="s">
        <v>954</v>
      </c>
      <c r="B289" s="55" t="s">
        <v>615</v>
      </c>
      <c r="C289" s="55" t="s">
        <v>1030</v>
      </c>
      <c r="D289" s="55"/>
      <c r="E289" s="55" t="s">
        <v>0</v>
      </c>
      <c r="F289" s="59">
        <v>2</v>
      </c>
    </row>
    <row r="290" spans="1:6">
      <c r="A290" s="54" t="s">
        <v>954</v>
      </c>
      <c r="B290" s="55" t="s">
        <v>615</v>
      </c>
      <c r="C290" s="55" t="s">
        <v>1027</v>
      </c>
      <c r="D290" s="55"/>
      <c r="E290" s="55" t="s">
        <v>0</v>
      </c>
      <c r="F290" s="59">
        <v>84</v>
      </c>
    </row>
    <row r="291" spans="1:6">
      <c r="A291" s="54" t="s">
        <v>954</v>
      </c>
      <c r="B291" s="55" t="s">
        <v>615</v>
      </c>
      <c r="C291" s="55" t="s">
        <v>1030</v>
      </c>
      <c r="D291" s="55"/>
      <c r="E291" s="55" t="s">
        <v>0</v>
      </c>
      <c r="F291" s="59">
        <v>112</v>
      </c>
    </row>
    <row r="292" spans="1:6">
      <c r="A292" s="54" t="s">
        <v>954</v>
      </c>
      <c r="B292" s="55" t="s">
        <v>615</v>
      </c>
      <c r="C292" s="55" t="s">
        <v>1027</v>
      </c>
      <c r="D292" s="55"/>
      <c r="E292" s="55" t="s">
        <v>0</v>
      </c>
      <c r="F292" s="59">
        <v>40</v>
      </c>
    </row>
    <row r="293" spans="1:6">
      <c r="A293" s="54" t="s">
        <v>955</v>
      </c>
      <c r="B293" s="55" t="s">
        <v>615</v>
      </c>
      <c r="C293" s="55" t="s">
        <v>1030</v>
      </c>
      <c r="D293" s="55"/>
      <c r="E293" s="55" t="s">
        <v>0</v>
      </c>
      <c r="F293" s="59">
        <v>2</v>
      </c>
    </row>
    <row r="294" spans="1:6">
      <c r="A294" s="54" t="s">
        <v>955</v>
      </c>
      <c r="B294" s="55" t="s">
        <v>615</v>
      </c>
      <c r="C294" s="55" t="s">
        <v>1034</v>
      </c>
      <c r="D294" s="55"/>
      <c r="E294" s="55" t="s">
        <v>0</v>
      </c>
      <c r="F294" s="59">
        <v>64</v>
      </c>
    </row>
    <row r="295" spans="1:6">
      <c r="A295" s="54" t="s">
        <v>955</v>
      </c>
      <c r="B295" s="55" t="s">
        <v>615</v>
      </c>
      <c r="C295" s="55" t="s">
        <v>1027</v>
      </c>
      <c r="D295" s="55"/>
      <c r="E295" s="55" t="s">
        <v>0</v>
      </c>
      <c r="F295" s="59">
        <v>156</v>
      </c>
    </row>
    <row r="296" spans="1:6">
      <c r="A296" s="54" t="s">
        <v>554</v>
      </c>
      <c r="B296" s="55" t="s">
        <v>615</v>
      </c>
      <c r="C296" s="55" t="s">
        <v>1030</v>
      </c>
      <c r="D296" s="55"/>
      <c r="E296" s="55" t="s">
        <v>0</v>
      </c>
      <c r="F296" s="59">
        <v>100</v>
      </c>
    </row>
    <row r="297" spans="1:6">
      <c r="A297" s="54" t="s">
        <v>554</v>
      </c>
      <c r="B297" s="55" t="s">
        <v>615</v>
      </c>
      <c r="C297" s="55" t="s">
        <v>1027</v>
      </c>
      <c r="D297" s="55"/>
      <c r="E297" s="55" t="s">
        <v>0</v>
      </c>
      <c r="F297" s="59">
        <v>336</v>
      </c>
    </row>
    <row r="298" spans="1:6">
      <c r="A298" s="54" t="s">
        <v>554</v>
      </c>
      <c r="B298" s="55" t="s">
        <v>615</v>
      </c>
      <c r="C298" s="55" t="s">
        <v>1029</v>
      </c>
      <c r="D298" s="55"/>
      <c r="E298" s="55" t="s">
        <v>0</v>
      </c>
      <c r="F298" s="59">
        <v>804</v>
      </c>
    </row>
    <row r="299" spans="1:6">
      <c r="A299" s="54" t="s">
        <v>44</v>
      </c>
      <c r="B299" s="55" t="s">
        <v>615</v>
      </c>
      <c r="C299" s="55" t="s">
        <v>1028</v>
      </c>
      <c r="D299" s="55"/>
      <c r="E299" s="55" t="s">
        <v>0</v>
      </c>
      <c r="F299" s="59">
        <v>2928</v>
      </c>
    </row>
    <row r="300" spans="1:6">
      <c r="A300" s="54" t="s">
        <v>44</v>
      </c>
      <c r="B300" s="55" t="s">
        <v>615</v>
      </c>
      <c r="C300" s="55" t="s">
        <v>1027</v>
      </c>
      <c r="D300" s="55"/>
      <c r="E300" s="55" t="s">
        <v>0</v>
      </c>
      <c r="F300" s="59">
        <v>528</v>
      </c>
    </row>
    <row r="301" spans="1:6">
      <c r="A301" s="54" t="s">
        <v>44</v>
      </c>
      <c r="B301" s="55" t="s">
        <v>615</v>
      </c>
      <c r="C301" s="55" t="s">
        <v>1029</v>
      </c>
      <c r="D301" s="55"/>
      <c r="E301" s="55" t="s">
        <v>0</v>
      </c>
      <c r="F301" s="59">
        <v>50</v>
      </c>
    </row>
    <row r="302" spans="1:6">
      <c r="A302" s="54" t="s">
        <v>44</v>
      </c>
      <c r="B302" s="55" t="s">
        <v>615</v>
      </c>
      <c r="C302" s="55" t="s">
        <v>1028</v>
      </c>
      <c r="D302" s="55"/>
      <c r="E302" s="55" t="s">
        <v>0</v>
      </c>
      <c r="F302" s="59">
        <v>4</v>
      </c>
    </row>
    <row r="303" spans="1:6">
      <c r="A303" s="54" t="s">
        <v>460</v>
      </c>
      <c r="B303" s="55" t="s">
        <v>615</v>
      </c>
      <c r="C303" s="55" t="s">
        <v>1027</v>
      </c>
      <c r="D303" s="55"/>
      <c r="E303" s="55" t="s">
        <v>0</v>
      </c>
      <c r="F303" s="59">
        <v>120</v>
      </c>
    </row>
    <row r="304" spans="1:6">
      <c r="A304" s="54" t="s">
        <v>42</v>
      </c>
      <c r="B304" s="55" t="s">
        <v>615</v>
      </c>
      <c r="C304" s="55" t="s">
        <v>1029</v>
      </c>
      <c r="D304" s="55"/>
      <c r="E304" s="55" t="s">
        <v>0</v>
      </c>
      <c r="F304" s="59">
        <v>100</v>
      </c>
    </row>
    <row r="305" spans="1:6">
      <c r="A305" s="54" t="s">
        <v>42</v>
      </c>
      <c r="B305" s="55" t="s">
        <v>615</v>
      </c>
      <c r="C305" s="55" t="s">
        <v>1028</v>
      </c>
      <c r="D305" s="55"/>
      <c r="E305" s="55" t="s">
        <v>0</v>
      </c>
      <c r="F305" s="59">
        <v>30</v>
      </c>
    </row>
    <row r="306" spans="1:6">
      <c r="A306" s="54" t="s">
        <v>908</v>
      </c>
      <c r="B306" s="55" t="s">
        <v>615</v>
      </c>
      <c r="C306" s="55" t="s">
        <v>1027</v>
      </c>
      <c r="D306" s="55"/>
      <c r="E306" s="55" t="s">
        <v>0</v>
      </c>
      <c r="F306" s="59">
        <v>57000</v>
      </c>
    </row>
    <row r="307" spans="1:6">
      <c r="A307" s="54" t="s">
        <v>912</v>
      </c>
      <c r="B307" s="55" t="s">
        <v>615</v>
      </c>
      <c r="C307" s="55" t="s">
        <v>1029</v>
      </c>
      <c r="D307" s="55"/>
      <c r="E307" s="55" t="s">
        <v>0</v>
      </c>
      <c r="F307" s="59">
        <v>3169</v>
      </c>
    </row>
    <row r="308" spans="1:6">
      <c r="A308" s="54" t="s">
        <v>912</v>
      </c>
      <c r="B308" s="55" t="s">
        <v>615</v>
      </c>
      <c r="C308" s="55" t="s">
        <v>1028</v>
      </c>
      <c r="D308" s="55"/>
      <c r="E308" s="55" t="s">
        <v>0</v>
      </c>
      <c r="F308" s="59">
        <v>2674</v>
      </c>
    </row>
    <row r="309" spans="1:6">
      <c r="A309" s="54" t="s">
        <v>912</v>
      </c>
      <c r="B309" s="55" t="s">
        <v>615</v>
      </c>
      <c r="C309" s="55" t="s">
        <v>1031</v>
      </c>
      <c r="D309" s="55"/>
      <c r="E309" s="55" t="s">
        <v>0</v>
      </c>
      <c r="F309" s="59">
        <v>2082</v>
      </c>
    </row>
    <row r="310" spans="1:6">
      <c r="A310" s="54" t="s">
        <v>912</v>
      </c>
      <c r="B310" s="55" t="s">
        <v>615</v>
      </c>
      <c r="C310" s="55" t="s">
        <v>1028</v>
      </c>
      <c r="D310" s="55"/>
      <c r="E310" s="55" t="s">
        <v>0</v>
      </c>
      <c r="F310" s="59">
        <v>1813</v>
      </c>
    </row>
    <row r="311" spans="1:6">
      <c r="A311" s="54" t="s">
        <v>331</v>
      </c>
      <c r="B311" s="55" t="s">
        <v>615</v>
      </c>
      <c r="C311" s="55" t="s">
        <v>1030</v>
      </c>
      <c r="D311" s="55"/>
      <c r="E311" s="55" t="s">
        <v>0</v>
      </c>
      <c r="F311" s="59">
        <v>4000</v>
      </c>
    </row>
    <row r="312" spans="1:6">
      <c r="A312" s="54" t="s">
        <v>45</v>
      </c>
      <c r="B312" s="55" t="s">
        <v>615</v>
      </c>
      <c r="C312" s="55" t="s">
        <v>1032</v>
      </c>
      <c r="D312" s="55"/>
      <c r="E312" s="55" t="s">
        <v>0</v>
      </c>
      <c r="F312" s="59">
        <v>312</v>
      </c>
    </row>
    <row r="313" spans="1:6">
      <c r="A313" s="54" t="s">
        <v>331</v>
      </c>
      <c r="B313" s="55" t="s">
        <v>615</v>
      </c>
      <c r="C313" s="55" t="s">
        <v>1031</v>
      </c>
      <c r="D313" s="55"/>
      <c r="E313" s="55" t="s">
        <v>0</v>
      </c>
      <c r="F313" s="59">
        <v>1977</v>
      </c>
    </row>
    <row r="314" spans="1:6">
      <c r="A314" s="54" t="s">
        <v>331</v>
      </c>
      <c r="B314" s="55" t="s">
        <v>615</v>
      </c>
      <c r="C314" s="55" t="s">
        <v>1034</v>
      </c>
      <c r="D314" s="55"/>
      <c r="E314" s="55" t="s">
        <v>0</v>
      </c>
      <c r="F314" s="59">
        <v>4675</v>
      </c>
    </row>
    <row r="315" spans="1:6">
      <c r="A315" s="54" t="s">
        <v>333</v>
      </c>
      <c r="B315" s="55" t="s">
        <v>615</v>
      </c>
      <c r="C315" s="55" t="s">
        <v>1030</v>
      </c>
      <c r="D315" s="55"/>
      <c r="E315" s="55" t="s">
        <v>0</v>
      </c>
      <c r="F315" s="59">
        <v>2000</v>
      </c>
    </row>
    <row r="316" spans="1:6">
      <c r="A316" s="54" t="s">
        <v>46</v>
      </c>
      <c r="B316" s="55" t="s">
        <v>615</v>
      </c>
      <c r="C316" s="55" t="s">
        <v>1030</v>
      </c>
      <c r="D316" s="55"/>
      <c r="E316" s="55" t="s">
        <v>0</v>
      </c>
      <c r="F316" s="59">
        <v>294</v>
      </c>
    </row>
    <row r="317" spans="1:6">
      <c r="A317" s="54" t="s">
        <v>46</v>
      </c>
      <c r="B317" s="55" t="s">
        <v>615</v>
      </c>
      <c r="C317" s="55" t="s">
        <v>1037</v>
      </c>
      <c r="D317" s="55"/>
      <c r="E317" s="55" t="s">
        <v>0</v>
      </c>
      <c r="F317" s="59">
        <v>3933</v>
      </c>
    </row>
    <row r="318" spans="1:6">
      <c r="A318" s="54" t="s">
        <v>694</v>
      </c>
      <c r="B318" s="55" t="s">
        <v>615</v>
      </c>
      <c r="C318" s="55" t="s">
        <v>1028</v>
      </c>
      <c r="D318" s="55"/>
      <c r="E318" s="55" t="s">
        <v>0</v>
      </c>
      <c r="F318" s="59">
        <v>237</v>
      </c>
    </row>
    <row r="319" spans="1:6">
      <c r="A319" s="54" t="s">
        <v>694</v>
      </c>
      <c r="B319" s="55" t="s">
        <v>615</v>
      </c>
      <c r="C319" s="55" t="s">
        <v>1030</v>
      </c>
      <c r="D319" s="55"/>
      <c r="E319" s="55" t="s">
        <v>0</v>
      </c>
      <c r="F319" s="59">
        <v>375</v>
      </c>
    </row>
    <row r="320" spans="1:6">
      <c r="A320" s="54" t="s">
        <v>700</v>
      </c>
      <c r="B320" s="55" t="s">
        <v>615</v>
      </c>
      <c r="C320" s="55" t="s">
        <v>1036</v>
      </c>
      <c r="D320" s="55"/>
      <c r="E320" s="55" t="s">
        <v>0</v>
      </c>
      <c r="F320" s="59">
        <v>42</v>
      </c>
    </row>
    <row r="321" spans="1:6">
      <c r="A321" s="54" t="s">
        <v>700</v>
      </c>
      <c r="B321" s="55" t="s">
        <v>615</v>
      </c>
      <c r="C321" s="55" t="s">
        <v>1037</v>
      </c>
      <c r="D321" s="55"/>
      <c r="E321" s="55" t="s">
        <v>0</v>
      </c>
      <c r="F321" s="59">
        <v>734</v>
      </c>
    </row>
    <row r="322" spans="1:6">
      <c r="A322" s="54" t="s">
        <v>695</v>
      </c>
      <c r="B322" s="55" t="s">
        <v>615</v>
      </c>
      <c r="C322" s="55" t="s">
        <v>1027</v>
      </c>
      <c r="D322" s="55"/>
      <c r="E322" s="55" t="s">
        <v>0</v>
      </c>
      <c r="F322" s="59">
        <v>74</v>
      </c>
    </row>
    <row r="323" spans="1:6">
      <c r="A323" s="54" t="s">
        <v>695</v>
      </c>
      <c r="B323" s="55" t="s">
        <v>615</v>
      </c>
      <c r="C323" s="55" t="s">
        <v>1028</v>
      </c>
      <c r="D323" s="55"/>
      <c r="E323" s="55" t="s">
        <v>0</v>
      </c>
      <c r="F323" s="59">
        <v>60</v>
      </c>
    </row>
    <row r="324" spans="1:6">
      <c r="A324" s="54" t="s">
        <v>701</v>
      </c>
      <c r="B324" s="55" t="s">
        <v>615</v>
      </c>
      <c r="C324" s="55" t="s">
        <v>1030</v>
      </c>
      <c r="D324" s="55"/>
      <c r="E324" s="55" t="s">
        <v>0</v>
      </c>
      <c r="F324" s="59">
        <v>548</v>
      </c>
    </row>
    <row r="325" spans="1:6">
      <c r="A325" s="54" t="s">
        <v>701</v>
      </c>
      <c r="B325" s="55" t="s">
        <v>615</v>
      </c>
      <c r="C325" s="55" t="s">
        <v>1037</v>
      </c>
      <c r="D325" s="55"/>
      <c r="E325" s="55" t="s">
        <v>0</v>
      </c>
      <c r="F325" s="59">
        <v>12</v>
      </c>
    </row>
    <row r="326" spans="1:6">
      <c r="A326" s="54" t="s">
        <v>401</v>
      </c>
      <c r="B326" s="55" t="s">
        <v>615</v>
      </c>
      <c r="C326" s="55" t="s">
        <v>1027</v>
      </c>
      <c r="D326" s="55"/>
      <c r="E326" s="55" t="s">
        <v>0</v>
      </c>
      <c r="F326" s="59">
        <v>1450</v>
      </c>
    </row>
    <row r="327" spans="1:6">
      <c r="A327" s="54" t="s">
        <v>47</v>
      </c>
      <c r="B327" s="55" t="s">
        <v>615</v>
      </c>
      <c r="C327" s="55" t="s">
        <v>1028</v>
      </c>
      <c r="D327" s="55"/>
      <c r="E327" s="55" t="s">
        <v>0</v>
      </c>
      <c r="F327" s="59">
        <v>922</v>
      </c>
    </row>
    <row r="328" spans="1:6">
      <c r="A328" s="54" t="s">
        <v>47</v>
      </c>
      <c r="B328" s="55" t="s">
        <v>615</v>
      </c>
      <c r="C328" s="55" t="s">
        <v>1030</v>
      </c>
      <c r="D328" s="55"/>
      <c r="E328" s="55" t="s">
        <v>0</v>
      </c>
      <c r="F328" s="59">
        <v>400</v>
      </c>
    </row>
    <row r="329" spans="1:6">
      <c r="A329" s="54" t="s">
        <v>47</v>
      </c>
      <c r="B329" s="55" t="s">
        <v>615</v>
      </c>
      <c r="C329" s="55" t="s">
        <v>1037</v>
      </c>
      <c r="D329" s="55"/>
      <c r="E329" s="55" t="s">
        <v>0</v>
      </c>
      <c r="F329" s="59">
        <v>9</v>
      </c>
    </row>
    <row r="330" spans="1:6">
      <c r="A330" s="54" t="s">
        <v>230</v>
      </c>
      <c r="B330" s="55" t="s">
        <v>615</v>
      </c>
      <c r="C330" s="55" t="s">
        <v>1030</v>
      </c>
      <c r="D330" s="55"/>
      <c r="E330" s="55" t="s">
        <v>0</v>
      </c>
      <c r="F330" s="59">
        <v>0</v>
      </c>
    </row>
    <row r="331" spans="1:6">
      <c r="A331" s="54" t="s">
        <v>680</v>
      </c>
      <c r="B331" s="55" t="s">
        <v>615</v>
      </c>
      <c r="C331" s="55" t="s">
        <v>1027</v>
      </c>
      <c r="D331" s="55"/>
      <c r="E331" s="55" t="s">
        <v>0</v>
      </c>
      <c r="F331" s="59">
        <v>27</v>
      </c>
    </row>
    <row r="332" spans="1:6">
      <c r="A332" s="54" t="s">
        <v>160</v>
      </c>
      <c r="B332" s="55" t="s">
        <v>615</v>
      </c>
      <c r="C332" s="55" t="s">
        <v>1027</v>
      </c>
      <c r="D332" s="55"/>
      <c r="E332" s="55" t="s">
        <v>0</v>
      </c>
      <c r="F332" s="59">
        <v>64</v>
      </c>
    </row>
    <row r="333" spans="1:6">
      <c r="A333" s="54" t="s">
        <v>350</v>
      </c>
      <c r="B333" s="55" t="s">
        <v>615</v>
      </c>
      <c r="C333" s="55" t="s">
        <v>1030</v>
      </c>
      <c r="D333" s="55"/>
      <c r="E333" s="55" t="s">
        <v>0</v>
      </c>
      <c r="F333" s="59">
        <v>168</v>
      </c>
    </row>
    <row r="334" spans="1:6">
      <c r="A334" s="54" t="s">
        <v>350</v>
      </c>
      <c r="B334" s="55" t="s">
        <v>615</v>
      </c>
      <c r="C334" s="55" t="s">
        <v>1027</v>
      </c>
      <c r="D334" s="55"/>
      <c r="E334" s="55" t="s">
        <v>0</v>
      </c>
      <c r="F334" s="59">
        <v>600</v>
      </c>
    </row>
    <row r="335" spans="1:6">
      <c r="A335" s="54" t="s">
        <v>646</v>
      </c>
      <c r="B335" s="55" t="s">
        <v>615</v>
      </c>
      <c r="C335" s="55" t="s">
        <v>1028</v>
      </c>
      <c r="D335" s="55"/>
      <c r="E335" s="55" t="s">
        <v>0</v>
      </c>
      <c r="F335" s="59">
        <v>2</v>
      </c>
    </row>
    <row r="336" spans="1:6">
      <c r="A336" s="54" t="s">
        <v>980</v>
      </c>
      <c r="B336" s="55" t="s">
        <v>615</v>
      </c>
      <c r="C336" s="55" t="s">
        <v>1030</v>
      </c>
      <c r="D336" s="55"/>
      <c r="E336" s="55" t="s">
        <v>0</v>
      </c>
      <c r="F336" s="59">
        <v>19</v>
      </c>
    </row>
    <row r="337" spans="1:6">
      <c r="A337" s="54" t="s">
        <v>1008</v>
      </c>
      <c r="B337" s="55" t="s">
        <v>615</v>
      </c>
      <c r="C337" s="55" t="s">
        <v>1027</v>
      </c>
      <c r="D337" s="55"/>
      <c r="E337" s="55" t="s">
        <v>0</v>
      </c>
      <c r="F337" s="59">
        <v>52</v>
      </c>
    </row>
    <row r="338" spans="1:6">
      <c r="A338" s="54" t="s">
        <v>939</v>
      </c>
      <c r="B338" s="55" t="s">
        <v>615</v>
      </c>
      <c r="C338" s="55" t="s">
        <v>1027</v>
      </c>
      <c r="D338" s="55"/>
      <c r="E338" s="55" t="s">
        <v>0</v>
      </c>
      <c r="F338" s="59">
        <v>3000</v>
      </c>
    </row>
    <row r="339" spans="1:6">
      <c r="A339" s="54" t="s">
        <v>939</v>
      </c>
      <c r="B339" s="55" t="s">
        <v>615</v>
      </c>
      <c r="C339" s="55" t="s">
        <v>1030</v>
      </c>
      <c r="D339" s="55"/>
      <c r="E339" s="55" t="s">
        <v>0</v>
      </c>
      <c r="F339" s="59">
        <v>1000</v>
      </c>
    </row>
    <row r="340" spans="1:6">
      <c r="A340" s="54" t="s">
        <v>942</v>
      </c>
      <c r="B340" s="55" t="s">
        <v>615</v>
      </c>
      <c r="C340" s="55" t="s">
        <v>1031</v>
      </c>
      <c r="D340" s="55"/>
      <c r="E340" s="55" t="s">
        <v>0</v>
      </c>
      <c r="F340" s="59">
        <v>3298</v>
      </c>
    </row>
    <row r="341" spans="1:6">
      <c r="A341" s="54" t="s">
        <v>913</v>
      </c>
      <c r="B341" s="55" t="s">
        <v>615</v>
      </c>
      <c r="C341" s="55" t="s">
        <v>1028</v>
      </c>
      <c r="D341" s="55"/>
      <c r="E341" s="55" t="s">
        <v>0</v>
      </c>
      <c r="F341" s="59">
        <v>926</v>
      </c>
    </row>
    <row r="342" spans="1:6">
      <c r="A342" s="54" t="s">
        <v>734</v>
      </c>
      <c r="B342" s="55" t="s">
        <v>615</v>
      </c>
      <c r="C342" s="55" t="s">
        <v>1030</v>
      </c>
      <c r="D342" s="55"/>
      <c r="E342" s="55" t="s">
        <v>0</v>
      </c>
      <c r="F342" s="59">
        <v>875</v>
      </c>
    </row>
    <row r="343" spans="1:6">
      <c r="A343" s="54" t="s">
        <v>734</v>
      </c>
      <c r="B343" s="55" t="s">
        <v>615</v>
      </c>
      <c r="C343" s="55" t="s">
        <v>1027</v>
      </c>
      <c r="D343" s="55"/>
      <c r="E343" s="55" t="s">
        <v>0</v>
      </c>
      <c r="F343" s="59">
        <v>36</v>
      </c>
    </row>
    <row r="344" spans="1:6">
      <c r="A344" s="54" t="s">
        <v>735</v>
      </c>
      <c r="B344" s="55" t="s">
        <v>615</v>
      </c>
      <c r="C344" s="55" t="s">
        <v>1030</v>
      </c>
      <c r="D344" s="55"/>
      <c r="E344" s="55" t="s">
        <v>0</v>
      </c>
      <c r="F344" s="59">
        <v>1216</v>
      </c>
    </row>
    <row r="345" spans="1:6">
      <c r="A345" s="54" t="s">
        <v>735</v>
      </c>
      <c r="B345" s="55" t="s">
        <v>615</v>
      </c>
      <c r="C345" s="55" t="s">
        <v>1028</v>
      </c>
      <c r="D345" s="55"/>
      <c r="E345" s="55" t="s">
        <v>0</v>
      </c>
      <c r="F345" s="59">
        <v>39</v>
      </c>
    </row>
    <row r="346" spans="1:6">
      <c r="A346" s="54" t="s">
        <v>732</v>
      </c>
      <c r="B346" s="55" t="s">
        <v>615</v>
      </c>
      <c r="C346" s="55" t="s">
        <v>1030</v>
      </c>
      <c r="D346" s="55"/>
      <c r="E346" s="55" t="s">
        <v>0</v>
      </c>
      <c r="F346" s="59">
        <v>200</v>
      </c>
    </row>
    <row r="347" spans="1:6">
      <c r="A347" s="54" t="s">
        <v>736</v>
      </c>
      <c r="B347" s="55" t="s">
        <v>615</v>
      </c>
      <c r="C347" s="55" t="s">
        <v>1028</v>
      </c>
      <c r="D347" s="55"/>
      <c r="E347" s="55" t="s">
        <v>0</v>
      </c>
      <c r="F347" s="59">
        <v>801</v>
      </c>
    </row>
    <row r="348" spans="1:6">
      <c r="A348" s="54" t="s">
        <v>816</v>
      </c>
      <c r="B348" s="55" t="s">
        <v>615</v>
      </c>
      <c r="C348" s="55" t="s">
        <v>1027</v>
      </c>
      <c r="D348" s="55"/>
      <c r="E348" s="55" t="s">
        <v>0</v>
      </c>
      <c r="F348" s="59">
        <v>1141</v>
      </c>
    </row>
    <row r="349" spans="1:6">
      <c r="A349" s="54" t="s">
        <v>816</v>
      </c>
      <c r="B349" s="55" t="s">
        <v>615</v>
      </c>
      <c r="C349" s="55" t="s">
        <v>1030</v>
      </c>
      <c r="D349" s="55"/>
      <c r="E349" s="55" t="s">
        <v>0</v>
      </c>
      <c r="F349" s="59">
        <v>59</v>
      </c>
    </row>
    <row r="350" spans="1:6">
      <c r="A350" s="54" t="s">
        <v>914</v>
      </c>
      <c r="B350" s="55" t="s">
        <v>615</v>
      </c>
      <c r="C350" s="55" t="s">
        <v>1030</v>
      </c>
      <c r="D350" s="55"/>
      <c r="E350" s="55" t="s">
        <v>0</v>
      </c>
      <c r="F350" s="59">
        <v>544</v>
      </c>
    </row>
    <row r="351" spans="1:6">
      <c r="A351" s="54" t="s">
        <v>841</v>
      </c>
      <c r="B351" s="55" t="s">
        <v>615</v>
      </c>
      <c r="C351" s="55" t="s">
        <v>1028</v>
      </c>
      <c r="D351" s="55"/>
      <c r="E351" s="55" t="s">
        <v>0</v>
      </c>
      <c r="F351" s="59">
        <v>325</v>
      </c>
    </row>
    <row r="352" spans="1:6">
      <c r="A352" s="54" t="s">
        <v>702</v>
      </c>
      <c r="B352" s="55" t="s">
        <v>615</v>
      </c>
      <c r="C352" s="55" t="s">
        <v>1030</v>
      </c>
      <c r="D352" s="55"/>
      <c r="E352" s="55" t="s">
        <v>0</v>
      </c>
      <c r="F352" s="59">
        <v>993</v>
      </c>
    </row>
    <row r="353" spans="1:6">
      <c r="A353" s="54" t="s">
        <v>702</v>
      </c>
      <c r="B353" s="55" t="s">
        <v>615</v>
      </c>
      <c r="C353" s="55" t="s">
        <v>1030</v>
      </c>
      <c r="D353" s="55"/>
      <c r="E353" s="55" t="s">
        <v>0</v>
      </c>
      <c r="F353" s="59">
        <v>1</v>
      </c>
    </row>
    <row r="354" spans="1:6">
      <c r="A354" s="54" t="s">
        <v>702</v>
      </c>
      <c r="B354" s="55" t="s">
        <v>615</v>
      </c>
      <c r="C354" s="55" t="s">
        <v>1030</v>
      </c>
      <c r="D354" s="55"/>
      <c r="E354" s="55" t="s">
        <v>0</v>
      </c>
      <c r="F354" s="59">
        <v>100</v>
      </c>
    </row>
    <row r="355" spans="1:6">
      <c r="A355" s="54" t="s">
        <v>698</v>
      </c>
      <c r="B355" s="55" t="s">
        <v>615</v>
      </c>
      <c r="C355" s="55" t="s">
        <v>1038</v>
      </c>
      <c r="D355" s="55"/>
      <c r="E355" s="55" t="s">
        <v>0</v>
      </c>
      <c r="F355" s="59">
        <v>500</v>
      </c>
    </row>
    <row r="356" spans="1:6">
      <c r="A356" s="54" t="s">
        <v>703</v>
      </c>
      <c r="B356" s="55" t="s">
        <v>615</v>
      </c>
      <c r="C356" s="55" t="s">
        <v>1030</v>
      </c>
      <c r="D356" s="55"/>
      <c r="E356" s="55" t="s">
        <v>0</v>
      </c>
      <c r="F356" s="59">
        <v>841</v>
      </c>
    </row>
    <row r="357" spans="1:6">
      <c r="A357" s="54" t="s">
        <v>703</v>
      </c>
      <c r="B357" s="55" t="s">
        <v>615</v>
      </c>
      <c r="C357" s="55" t="s">
        <v>1038</v>
      </c>
      <c r="D357" s="55"/>
      <c r="E357" s="55" t="s">
        <v>0</v>
      </c>
      <c r="F357" s="59">
        <v>100</v>
      </c>
    </row>
    <row r="358" spans="1:6">
      <c r="A358" s="54" t="s">
        <v>712</v>
      </c>
      <c r="B358" s="55" t="s">
        <v>615</v>
      </c>
      <c r="C358" s="55" t="s">
        <v>1028</v>
      </c>
      <c r="D358" s="55"/>
      <c r="E358" s="55" t="s">
        <v>0</v>
      </c>
      <c r="F358" s="60">
        <v>287</v>
      </c>
    </row>
    <row r="359" spans="1:6">
      <c r="A359" s="54" t="s">
        <v>712</v>
      </c>
      <c r="B359" s="55" t="s">
        <v>615</v>
      </c>
      <c r="C359" s="55" t="s">
        <v>1030</v>
      </c>
      <c r="D359" s="55"/>
      <c r="E359" s="55" t="s">
        <v>0</v>
      </c>
      <c r="F359" s="59">
        <v>24</v>
      </c>
    </row>
    <row r="360" spans="1:6">
      <c r="A360" s="54" t="s">
        <v>739</v>
      </c>
      <c r="B360" s="55" t="s">
        <v>615</v>
      </c>
      <c r="C360" s="55" t="s">
        <v>1031</v>
      </c>
      <c r="D360" s="55"/>
      <c r="E360" s="55" t="s">
        <v>0</v>
      </c>
      <c r="F360" s="59">
        <v>100</v>
      </c>
    </row>
    <row r="361" spans="1:6">
      <c r="A361" s="54" t="s">
        <v>715</v>
      </c>
      <c r="B361" s="55" t="s">
        <v>615</v>
      </c>
      <c r="C361" s="55" t="s">
        <v>1028</v>
      </c>
      <c r="D361" s="55"/>
      <c r="E361" s="55" t="s">
        <v>0</v>
      </c>
      <c r="F361" s="59">
        <v>1080</v>
      </c>
    </row>
    <row r="362" spans="1:6">
      <c r="A362" s="54" t="s">
        <v>715</v>
      </c>
      <c r="B362" s="55" t="s">
        <v>615</v>
      </c>
      <c r="C362" s="55" t="s">
        <v>1030</v>
      </c>
      <c r="D362" s="55"/>
      <c r="E362" s="55" t="s">
        <v>0</v>
      </c>
      <c r="F362" s="59">
        <v>6</v>
      </c>
    </row>
    <row r="363" spans="1:6">
      <c r="A363" s="54" t="s">
        <v>715</v>
      </c>
      <c r="B363" s="55" t="s">
        <v>615</v>
      </c>
      <c r="C363" s="55" t="s">
        <v>1038</v>
      </c>
      <c r="D363" s="55"/>
      <c r="E363" s="55" t="s">
        <v>0</v>
      </c>
      <c r="F363" s="59">
        <v>15</v>
      </c>
    </row>
    <row r="364" spans="1:6">
      <c r="A364" s="54" t="s">
        <v>1039</v>
      </c>
      <c r="B364" s="55" t="s">
        <v>615</v>
      </c>
      <c r="C364" s="55" t="s">
        <v>1027</v>
      </c>
      <c r="D364" s="55"/>
      <c r="E364" s="55" t="s">
        <v>0</v>
      </c>
      <c r="F364" s="59">
        <v>2000</v>
      </c>
    </row>
    <row r="365" spans="1:6">
      <c r="A365" s="54" t="s">
        <v>1040</v>
      </c>
      <c r="B365" s="55" t="s">
        <v>615</v>
      </c>
      <c r="C365" s="55" t="s">
        <v>1030</v>
      </c>
      <c r="D365" s="55"/>
      <c r="E365" s="55" t="s">
        <v>0</v>
      </c>
      <c r="F365" s="59">
        <v>2000</v>
      </c>
    </row>
    <row r="366" spans="1:6">
      <c r="A366" s="54" t="s">
        <v>48</v>
      </c>
      <c r="B366" s="55" t="s">
        <v>615</v>
      </c>
      <c r="C366" s="55" t="s">
        <v>1031</v>
      </c>
      <c r="D366" s="55"/>
      <c r="E366" s="55" t="s">
        <v>0</v>
      </c>
      <c r="F366" s="59">
        <v>64</v>
      </c>
    </row>
    <row r="367" spans="1:6">
      <c r="A367" s="54" t="s">
        <v>517</v>
      </c>
      <c r="B367" s="55" t="s">
        <v>615</v>
      </c>
      <c r="C367" s="55" t="s">
        <v>1027</v>
      </c>
      <c r="D367" s="55"/>
      <c r="E367" s="55" t="s">
        <v>0</v>
      </c>
      <c r="F367" s="59">
        <v>247</v>
      </c>
    </row>
    <row r="368" spans="1:6">
      <c r="A368" s="54" t="s">
        <v>517</v>
      </c>
      <c r="B368" s="55" t="s">
        <v>615</v>
      </c>
      <c r="C368" s="55" t="s">
        <v>1030</v>
      </c>
      <c r="D368" s="55"/>
      <c r="E368" s="55" t="s">
        <v>0</v>
      </c>
      <c r="F368" s="59">
        <v>480</v>
      </c>
    </row>
    <row r="369" spans="1:6">
      <c r="A369" s="54" t="s">
        <v>172</v>
      </c>
      <c r="B369" s="55" t="s">
        <v>615</v>
      </c>
      <c r="C369" s="55" t="s">
        <v>1037</v>
      </c>
      <c r="D369" s="55"/>
      <c r="E369" s="55" t="s">
        <v>0</v>
      </c>
      <c r="F369" s="59">
        <v>23</v>
      </c>
    </row>
    <row r="370" spans="1:6">
      <c r="A370" s="54" t="s">
        <v>427</v>
      </c>
      <c r="B370" s="55" t="s">
        <v>615</v>
      </c>
      <c r="C370" s="55" t="s">
        <v>1027</v>
      </c>
      <c r="D370" s="55"/>
      <c r="E370" s="55" t="s">
        <v>0</v>
      </c>
      <c r="F370" s="59">
        <v>300</v>
      </c>
    </row>
    <row r="371" spans="1:6">
      <c r="A371" s="54" t="s">
        <v>427</v>
      </c>
      <c r="B371" s="55" t="s">
        <v>615</v>
      </c>
      <c r="C371" s="55" t="s">
        <v>1029</v>
      </c>
      <c r="D371" s="55"/>
      <c r="E371" s="55" t="s">
        <v>0</v>
      </c>
      <c r="F371" s="59">
        <v>0</v>
      </c>
    </row>
    <row r="372" spans="1:6">
      <c r="A372" s="54" t="s">
        <v>7</v>
      </c>
      <c r="B372" s="55" t="s">
        <v>615</v>
      </c>
      <c r="C372" s="55" t="s">
        <v>1030</v>
      </c>
      <c r="D372" s="55"/>
      <c r="E372" s="55" t="s">
        <v>0</v>
      </c>
      <c r="F372" s="59">
        <v>1790</v>
      </c>
    </row>
    <row r="373" spans="1:6">
      <c r="A373" s="54" t="s">
        <v>49</v>
      </c>
      <c r="B373" s="55" t="s">
        <v>615</v>
      </c>
      <c r="C373" s="55" t="s">
        <v>1030</v>
      </c>
      <c r="D373" s="55"/>
      <c r="E373" s="55" t="s">
        <v>0</v>
      </c>
      <c r="F373" s="59">
        <v>1417</v>
      </c>
    </row>
    <row r="374" spans="1:6">
      <c r="A374" s="54" t="s">
        <v>49</v>
      </c>
      <c r="B374" s="55" t="s">
        <v>615</v>
      </c>
      <c r="C374" s="55" t="s">
        <v>1028</v>
      </c>
      <c r="D374" s="55"/>
      <c r="E374" s="55" t="s">
        <v>0</v>
      </c>
      <c r="F374" s="59">
        <v>24</v>
      </c>
    </row>
    <row r="375" spans="1:6">
      <c r="A375" s="54" t="s">
        <v>395</v>
      </c>
      <c r="B375" s="55" t="s">
        <v>615</v>
      </c>
      <c r="C375" s="55" t="s">
        <v>1027</v>
      </c>
      <c r="D375" s="55"/>
      <c r="E375" s="55" t="s">
        <v>0</v>
      </c>
      <c r="F375" s="59">
        <v>49</v>
      </c>
    </row>
    <row r="376" spans="1:6">
      <c r="A376" s="54" t="s">
        <v>50</v>
      </c>
      <c r="B376" s="55" t="s">
        <v>615</v>
      </c>
      <c r="C376" s="55" t="s">
        <v>1030</v>
      </c>
      <c r="D376" s="55"/>
      <c r="E376" s="55" t="s">
        <v>0</v>
      </c>
      <c r="F376" s="59">
        <v>296</v>
      </c>
    </row>
    <row r="377" spans="1:6">
      <c r="A377" s="54" t="s">
        <v>829</v>
      </c>
      <c r="B377" s="55" t="s">
        <v>615</v>
      </c>
      <c r="C377" s="55" t="s">
        <v>1027</v>
      </c>
      <c r="D377" s="55"/>
      <c r="E377" s="55" t="s">
        <v>0</v>
      </c>
      <c r="F377" s="59">
        <v>57000</v>
      </c>
    </row>
    <row r="378" spans="1:6">
      <c r="A378" s="54" t="s">
        <v>833</v>
      </c>
      <c r="B378" s="55" t="s">
        <v>615</v>
      </c>
      <c r="C378" s="55" t="s">
        <v>1030</v>
      </c>
      <c r="D378" s="55"/>
      <c r="E378" s="55" t="s">
        <v>0</v>
      </c>
      <c r="F378" s="59">
        <v>23415</v>
      </c>
    </row>
    <row r="379" spans="1:6">
      <c r="A379" s="54" t="s">
        <v>829</v>
      </c>
      <c r="B379" s="55" t="s">
        <v>615</v>
      </c>
      <c r="C379" s="55" t="s">
        <v>1030</v>
      </c>
      <c r="D379" s="55"/>
      <c r="E379" s="55" t="s">
        <v>0</v>
      </c>
      <c r="F379" s="59">
        <v>105646</v>
      </c>
    </row>
    <row r="380" spans="1:6">
      <c r="A380" s="54" t="s">
        <v>829</v>
      </c>
      <c r="B380" s="55" t="s">
        <v>615</v>
      </c>
      <c r="C380" s="55" t="s">
        <v>1028</v>
      </c>
      <c r="D380" s="55"/>
      <c r="E380" s="55" t="s">
        <v>0</v>
      </c>
      <c r="F380" s="59">
        <v>95672</v>
      </c>
    </row>
    <row r="381" spans="1:6">
      <c r="A381" s="54" t="s">
        <v>918</v>
      </c>
      <c r="B381" s="55" t="s">
        <v>615</v>
      </c>
      <c r="C381" s="55" t="s">
        <v>1027</v>
      </c>
      <c r="D381" s="55"/>
      <c r="E381" s="55" t="s">
        <v>0</v>
      </c>
      <c r="F381" s="59">
        <v>8000</v>
      </c>
    </row>
    <row r="382" spans="1:6">
      <c r="A382" s="54" t="s">
        <v>915</v>
      </c>
      <c r="B382" s="55" t="s">
        <v>615</v>
      </c>
      <c r="C382" s="55" t="s">
        <v>1030</v>
      </c>
      <c r="D382" s="55"/>
      <c r="E382" s="55" t="s">
        <v>0</v>
      </c>
      <c r="F382" s="59">
        <v>299106</v>
      </c>
    </row>
    <row r="383" spans="1:6">
      <c r="A383" s="54" t="s">
        <v>915</v>
      </c>
      <c r="B383" s="55" t="s">
        <v>615</v>
      </c>
      <c r="C383" s="55" t="s">
        <v>1034</v>
      </c>
      <c r="D383" s="55"/>
      <c r="E383" s="55" t="s">
        <v>0</v>
      </c>
      <c r="F383" s="59">
        <v>91130</v>
      </c>
    </row>
    <row r="384" spans="1:6">
      <c r="A384" s="54" t="s">
        <v>915</v>
      </c>
      <c r="B384" s="55" t="s">
        <v>615</v>
      </c>
      <c r="C384" s="55" t="s">
        <v>1027</v>
      </c>
      <c r="D384" s="55"/>
      <c r="E384" s="55" t="s">
        <v>0</v>
      </c>
      <c r="F384" s="59">
        <v>366</v>
      </c>
    </row>
    <row r="385" spans="1:6">
      <c r="A385" s="54" t="s">
        <v>487</v>
      </c>
      <c r="B385" s="55" t="s">
        <v>615</v>
      </c>
      <c r="C385" s="55" t="s">
        <v>1028</v>
      </c>
      <c r="D385" s="55"/>
      <c r="E385" s="55" t="s">
        <v>0</v>
      </c>
      <c r="F385" s="59">
        <v>5</v>
      </c>
    </row>
    <row r="386" spans="1:6">
      <c r="A386" s="54" t="s">
        <v>487</v>
      </c>
      <c r="B386" s="55" t="s">
        <v>615</v>
      </c>
      <c r="C386" s="55" t="s">
        <v>1030</v>
      </c>
      <c r="D386" s="55"/>
      <c r="E386" s="55" t="s">
        <v>0</v>
      </c>
      <c r="F386" s="59">
        <v>40</v>
      </c>
    </row>
    <row r="387" spans="1:6">
      <c r="A387" s="54" t="s">
        <v>487</v>
      </c>
      <c r="B387" s="55" t="s">
        <v>615</v>
      </c>
      <c r="C387" s="55" t="s">
        <v>1028</v>
      </c>
      <c r="D387" s="55"/>
      <c r="E387" s="55" t="s">
        <v>0</v>
      </c>
      <c r="F387" s="59">
        <v>30</v>
      </c>
    </row>
    <row r="388" spans="1:6">
      <c r="A388" s="54" t="s">
        <v>487</v>
      </c>
      <c r="B388" s="55" t="s">
        <v>615</v>
      </c>
      <c r="C388" s="55" t="s">
        <v>1028</v>
      </c>
      <c r="D388" s="55"/>
      <c r="E388" s="55" t="s">
        <v>0</v>
      </c>
      <c r="F388" s="59">
        <v>4</v>
      </c>
    </row>
    <row r="389" spans="1:6">
      <c r="A389" s="54" t="s">
        <v>489</v>
      </c>
      <c r="B389" s="55" t="s">
        <v>615</v>
      </c>
      <c r="C389" s="55" t="s">
        <v>1029</v>
      </c>
      <c r="D389" s="55"/>
      <c r="E389" s="55" t="s">
        <v>0</v>
      </c>
      <c r="F389" s="59">
        <v>100</v>
      </c>
    </row>
    <row r="390" spans="1:6">
      <c r="A390" s="54" t="s">
        <v>489</v>
      </c>
      <c r="B390" s="55" t="s">
        <v>615</v>
      </c>
      <c r="C390" s="55" t="s">
        <v>1028</v>
      </c>
      <c r="D390" s="55"/>
      <c r="E390" s="55" t="s">
        <v>0</v>
      </c>
      <c r="F390" s="59">
        <v>43</v>
      </c>
    </row>
    <row r="391" spans="1:6">
      <c r="A391" s="54" t="s">
        <v>563</v>
      </c>
      <c r="B391" s="55" t="s">
        <v>615</v>
      </c>
      <c r="C391" s="55" t="s">
        <v>1030</v>
      </c>
      <c r="D391" s="55"/>
      <c r="E391" s="55" t="s">
        <v>0</v>
      </c>
      <c r="F391" s="59">
        <v>10</v>
      </c>
    </row>
    <row r="392" spans="1:6">
      <c r="A392" s="54" t="s">
        <v>563</v>
      </c>
      <c r="B392" s="55" t="s">
        <v>615</v>
      </c>
      <c r="C392" s="55" t="s">
        <v>1028</v>
      </c>
      <c r="D392" s="55"/>
      <c r="E392" s="55" t="s">
        <v>0</v>
      </c>
      <c r="F392" s="59">
        <v>55</v>
      </c>
    </row>
    <row r="393" spans="1:6">
      <c r="A393" s="54" t="s">
        <v>563</v>
      </c>
      <c r="B393" s="55" t="s">
        <v>615</v>
      </c>
      <c r="C393" s="55" t="s">
        <v>1027</v>
      </c>
      <c r="D393" s="55"/>
      <c r="E393" s="55" t="s">
        <v>0</v>
      </c>
      <c r="F393" s="59">
        <v>1100</v>
      </c>
    </row>
    <row r="394" spans="1:6">
      <c r="A394" s="54" t="s">
        <v>563</v>
      </c>
      <c r="B394" s="55" t="s">
        <v>615</v>
      </c>
      <c r="C394" s="55" t="s">
        <v>1029</v>
      </c>
      <c r="D394" s="55"/>
      <c r="E394" s="55" t="s">
        <v>0</v>
      </c>
      <c r="F394" s="59">
        <v>1</v>
      </c>
    </row>
    <row r="395" spans="1:6">
      <c r="A395" s="54" t="s">
        <v>491</v>
      </c>
      <c r="B395" s="55" t="s">
        <v>615</v>
      </c>
      <c r="C395" s="55" t="s">
        <v>1028</v>
      </c>
      <c r="D395" s="55"/>
      <c r="E395" s="55" t="s">
        <v>0</v>
      </c>
      <c r="F395" s="59">
        <v>8</v>
      </c>
    </row>
    <row r="396" spans="1:6">
      <c r="A396" s="54" t="s">
        <v>491</v>
      </c>
      <c r="B396" s="55" t="s">
        <v>615</v>
      </c>
      <c r="C396" s="55" t="s">
        <v>1030</v>
      </c>
      <c r="D396" s="55"/>
      <c r="E396" s="55" t="s">
        <v>0</v>
      </c>
      <c r="F396" s="59">
        <v>130</v>
      </c>
    </row>
    <row r="397" spans="1:6">
      <c r="A397" s="54" t="s">
        <v>491</v>
      </c>
      <c r="B397" s="55" t="s">
        <v>615</v>
      </c>
      <c r="C397" s="55" t="s">
        <v>1028</v>
      </c>
      <c r="D397" s="55"/>
      <c r="E397" s="55" t="s">
        <v>0</v>
      </c>
      <c r="F397" s="59">
        <v>160</v>
      </c>
    </row>
    <row r="398" spans="1:6">
      <c r="A398" s="54" t="s">
        <v>491</v>
      </c>
      <c r="B398" s="55" t="s">
        <v>615</v>
      </c>
      <c r="C398" s="55" t="s">
        <v>1027</v>
      </c>
      <c r="D398" s="55"/>
      <c r="E398" s="55" t="s">
        <v>0</v>
      </c>
      <c r="F398" s="59">
        <v>1560</v>
      </c>
    </row>
    <row r="399" spans="1:6">
      <c r="A399" s="54" t="s">
        <v>491</v>
      </c>
      <c r="B399" s="55" t="s">
        <v>615</v>
      </c>
      <c r="C399" s="55" t="s">
        <v>1029</v>
      </c>
      <c r="D399" s="55"/>
      <c r="E399" s="55" t="s">
        <v>0</v>
      </c>
      <c r="F399" s="59">
        <v>2</v>
      </c>
    </row>
    <row r="400" spans="1:6">
      <c r="A400" s="54" t="s">
        <v>666</v>
      </c>
      <c r="B400" s="55" t="s">
        <v>615</v>
      </c>
      <c r="C400" s="55" t="s">
        <v>1028</v>
      </c>
      <c r="D400" s="55"/>
      <c r="E400" s="55" t="s">
        <v>0</v>
      </c>
      <c r="F400" s="59">
        <v>5</v>
      </c>
    </row>
    <row r="401" spans="1:6">
      <c r="A401" s="54" t="s">
        <v>666</v>
      </c>
      <c r="B401" s="55" t="s">
        <v>615</v>
      </c>
      <c r="C401" s="55" t="s">
        <v>1028</v>
      </c>
      <c r="D401" s="55"/>
      <c r="E401" s="55" t="s">
        <v>0</v>
      </c>
      <c r="F401" s="59">
        <v>72</v>
      </c>
    </row>
    <row r="402" spans="1:6">
      <c r="A402" s="54" t="s">
        <v>666</v>
      </c>
      <c r="B402" s="55" t="s">
        <v>615</v>
      </c>
      <c r="C402" s="55" t="s">
        <v>1035</v>
      </c>
      <c r="D402" s="55"/>
      <c r="E402" s="55" t="s">
        <v>0</v>
      </c>
      <c r="F402" s="59">
        <v>624</v>
      </c>
    </row>
    <row r="403" spans="1:6">
      <c r="A403" s="54" t="s">
        <v>666</v>
      </c>
      <c r="B403" s="55" t="s">
        <v>615</v>
      </c>
      <c r="C403" s="55" t="s">
        <v>1030</v>
      </c>
      <c r="D403" s="55"/>
      <c r="E403" s="55" t="s">
        <v>0</v>
      </c>
      <c r="F403" s="59">
        <v>725</v>
      </c>
    </row>
    <row r="404" spans="1:6">
      <c r="A404" s="54" t="s">
        <v>672</v>
      </c>
      <c r="B404" s="55" t="s">
        <v>615</v>
      </c>
      <c r="C404" s="55" t="s">
        <v>1035</v>
      </c>
      <c r="D404" s="55"/>
      <c r="E404" s="55" t="s">
        <v>0</v>
      </c>
      <c r="F404" s="59">
        <v>593</v>
      </c>
    </row>
    <row r="405" spans="1:6">
      <c r="A405" s="54" t="s">
        <v>672</v>
      </c>
      <c r="B405" s="55" t="s">
        <v>615</v>
      </c>
      <c r="C405" s="55" t="s">
        <v>1027</v>
      </c>
      <c r="D405" s="55"/>
      <c r="E405" s="55" t="s">
        <v>0</v>
      </c>
      <c r="F405" s="59">
        <v>1529</v>
      </c>
    </row>
    <row r="406" spans="1:6">
      <c r="A406" s="54" t="s">
        <v>671</v>
      </c>
      <c r="B406" s="55" t="s">
        <v>615</v>
      </c>
      <c r="C406" s="55" t="s">
        <v>1029</v>
      </c>
      <c r="D406" s="55"/>
      <c r="E406" s="55" t="s">
        <v>0</v>
      </c>
      <c r="F406" s="59">
        <v>750</v>
      </c>
    </row>
    <row r="407" spans="1:6">
      <c r="A407" s="54" t="s">
        <v>671</v>
      </c>
      <c r="B407" s="55" t="s">
        <v>615</v>
      </c>
      <c r="C407" s="55" t="s">
        <v>1028</v>
      </c>
      <c r="D407" s="55"/>
      <c r="E407" s="55" t="s">
        <v>0</v>
      </c>
      <c r="F407" s="59">
        <v>371</v>
      </c>
    </row>
    <row r="408" spans="1:6">
      <c r="A408" s="54" t="s">
        <v>667</v>
      </c>
      <c r="B408" s="55" t="s">
        <v>615</v>
      </c>
      <c r="C408" s="55" t="s">
        <v>1030</v>
      </c>
      <c r="D408" s="55"/>
      <c r="E408" s="55" t="s">
        <v>0</v>
      </c>
      <c r="F408" s="59">
        <v>2</v>
      </c>
    </row>
    <row r="409" spans="1:6">
      <c r="A409" s="54" t="s">
        <v>667</v>
      </c>
      <c r="B409" s="55" t="s">
        <v>615</v>
      </c>
      <c r="C409" s="55" t="s">
        <v>1030</v>
      </c>
      <c r="D409" s="55"/>
      <c r="E409" s="55" t="s">
        <v>0</v>
      </c>
      <c r="F409" s="59">
        <v>48</v>
      </c>
    </row>
    <row r="410" spans="1:6">
      <c r="A410" s="54" t="s">
        <v>667</v>
      </c>
      <c r="B410" s="55" t="s">
        <v>615</v>
      </c>
      <c r="C410" s="55" t="s">
        <v>1034</v>
      </c>
      <c r="D410" s="55"/>
      <c r="E410" s="55" t="s">
        <v>0</v>
      </c>
      <c r="F410" s="59">
        <v>480</v>
      </c>
    </row>
    <row r="411" spans="1:6">
      <c r="A411" s="54" t="s">
        <v>667</v>
      </c>
      <c r="B411" s="55" t="s">
        <v>615</v>
      </c>
      <c r="C411" s="55" t="s">
        <v>1030</v>
      </c>
      <c r="D411" s="55"/>
      <c r="E411" s="55" t="s">
        <v>0</v>
      </c>
      <c r="F411" s="59">
        <v>1680</v>
      </c>
    </row>
    <row r="412" spans="1:6">
      <c r="A412" s="54" t="s">
        <v>667</v>
      </c>
      <c r="B412" s="55" t="s">
        <v>615</v>
      </c>
      <c r="C412" s="55" t="s">
        <v>1030</v>
      </c>
      <c r="D412" s="55"/>
      <c r="E412" s="55" t="s">
        <v>0</v>
      </c>
      <c r="F412" s="59">
        <v>4</v>
      </c>
    </row>
    <row r="413" spans="1:6">
      <c r="A413" s="54" t="s">
        <v>667</v>
      </c>
      <c r="B413" s="55" t="s">
        <v>615</v>
      </c>
      <c r="C413" s="55" t="s">
        <v>1035</v>
      </c>
      <c r="D413" s="55"/>
      <c r="E413" s="55" t="s">
        <v>0</v>
      </c>
      <c r="F413" s="59">
        <v>1</v>
      </c>
    </row>
    <row r="414" spans="1:6">
      <c r="A414" s="54" t="s">
        <v>676</v>
      </c>
      <c r="B414" s="55" t="s">
        <v>615</v>
      </c>
      <c r="C414" s="55" t="s">
        <v>1030</v>
      </c>
      <c r="D414" s="55"/>
      <c r="E414" s="55" t="s">
        <v>0</v>
      </c>
      <c r="F414" s="59">
        <v>18</v>
      </c>
    </row>
    <row r="415" spans="1:6">
      <c r="A415" s="54" t="s">
        <v>676</v>
      </c>
      <c r="B415" s="55" t="s">
        <v>615</v>
      </c>
      <c r="C415" s="55" t="s">
        <v>1030</v>
      </c>
      <c r="D415" s="55"/>
      <c r="E415" s="55" t="s">
        <v>0</v>
      </c>
      <c r="F415" s="59">
        <v>883</v>
      </c>
    </row>
    <row r="416" spans="1:6">
      <c r="A416" s="54" t="s">
        <v>675</v>
      </c>
      <c r="B416" s="55" t="s">
        <v>615</v>
      </c>
      <c r="C416" s="55" t="s">
        <v>1035</v>
      </c>
      <c r="D416" s="55"/>
      <c r="E416" s="55" t="s">
        <v>0</v>
      </c>
      <c r="F416" s="59">
        <v>10</v>
      </c>
    </row>
    <row r="417" spans="1:6">
      <c r="A417" s="54" t="s">
        <v>675</v>
      </c>
      <c r="B417" s="55" t="s">
        <v>615</v>
      </c>
      <c r="C417" s="55" t="s">
        <v>1030</v>
      </c>
      <c r="D417" s="55"/>
      <c r="E417" s="55" t="s">
        <v>0</v>
      </c>
      <c r="F417" s="59">
        <v>471</v>
      </c>
    </row>
    <row r="418" spans="1:6">
      <c r="A418" s="54" t="s">
        <v>205</v>
      </c>
      <c r="B418" s="55" t="s">
        <v>615</v>
      </c>
      <c r="C418" s="55" t="s">
        <v>1035</v>
      </c>
      <c r="D418" s="55"/>
      <c r="E418" s="55" t="s">
        <v>0</v>
      </c>
      <c r="F418" s="59">
        <v>1</v>
      </c>
    </row>
    <row r="419" spans="1:6">
      <c r="A419" s="54" t="s">
        <v>195</v>
      </c>
      <c r="B419" s="55" t="s">
        <v>615</v>
      </c>
      <c r="C419" s="55" t="s">
        <v>1030</v>
      </c>
      <c r="D419" s="55"/>
      <c r="E419" s="55" t="s">
        <v>0</v>
      </c>
      <c r="F419" s="59">
        <v>4</v>
      </c>
    </row>
    <row r="420" spans="1:6">
      <c r="A420" s="54" t="s">
        <v>616</v>
      </c>
      <c r="B420" s="55" t="s">
        <v>615</v>
      </c>
      <c r="C420" s="55" t="s">
        <v>1027</v>
      </c>
      <c r="D420" s="55"/>
      <c r="E420" s="55" t="s">
        <v>0</v>
      </c>
      <c r="F420" s="59">
        <v>23</v>
      </c>
    </row>
    <row r="421" spans="1:6">
      <c r="A421" s="54" t="s">
        <v>206</v>
      </c>
      <c r="B421" s="55" t="s">
        <v>615</v>
      </c>
      <c r="C421" s="55" t="s">
        <v>1027</v>
      </c>
      <c r="D421" s="55"/>
      <c r="E421" s="55" t="s">
        <v>0</v>
      </c>
      <c r="F421" s="59">
        <v>71</v>
      </c>
    </row>
    <row r="422" spans="1:6">
      <c r="A422" s="54" t="s">
        <v>1041</v>
      </c>
      <c r="B422" s="55" t="s">
        <v>615</v>
      </c>
      <c r="C422" s="55" t="s">
        <v>1027</v>
      </c>
      <c r="D422" s="55"/>
      <c r="E422" s="55" t="s">
        <v>0</v>
      </c>
      <c r="F422" s="59">
        <v>1522</v>
      </c>
    </row>
    <row r="423" spans="1:6">
      <c r="A423" s="54" t="s">
        <v>462</v>
      </c>
      <c r="B423" s="55" t="s">
        <v>615</v>
      </c>
      <c r="C423" s="55" t="s">
        <v>1030</v>
      </c>
      <c r="D423" s="55"/>
      <c r="E423" s="55" t="s">
        <v>0</v>
      </c>
      <c r="F423" s="59">
        <v>12</v>
      </c>
    </row>
    <row r="424" spans="1:6">
      <c r="A424" s="54" t="s">
        <v>462</v>
      </c>
      <c r="B424" s="55" t="s">
        <v>615</v>
      </c>
      <c r="C424" s="55" t="s">
        <v>1027</v>
      </c>
      <c r="D424" s="55"/>
      <c r="E424" s="55" t="s">
        <v>0</v>
      </c>
      <c r="F424" s="59">
        <v>60</v>
      </c>
    </row>
    <row r="425" spans="1:6">
      <c r="A425" s="54" t="s">
        <v>53</v>
      </c>
      <c r="B425" s="55" t="s">
        <v>615</v>
      </c>
      <c r="C425" s="55" t="s">
        <v>1030</v>
      </c>
      <c r="D425" s="55"/>
      <c r="E425" s="55" t="s">
        <v>0</v>
      </c>
      <c r="F425" s="59">
        <v>422</v>
      </c>
    </row>
    <row r="426" spans="1:6">
      <c r="A426" s="54" t="s">
        <v>53</v>
      </c>
      <c r="B426" s="55" t="s">
        <v>615</v>
      </c>
      <c r="C426" s="55" t="s">
        <v>1030</v>
      </c>
      <c r="D426" s="55"/>
      <c r="E426" s="55" t="s">
        <v>0</v>
      </c>
      <c r="F426" s="59">
        <v>6</v>
      </c>
    </row>
    <row r="427" spans="1:6">
      <c r="A427" s="54" t="s">
        <v>463</v>
      </c>
      <c r="B427" s="55" t="s">
        <v>615</v>
      </c>
      <c r="C427" s="55" t="s">
        <v>1027</v>
      </c>
      <c r="D427" s="55"/>
      <c r="E427" s="55" t="s">
        <v>0</v>
      </c>
      <c r="F427" s="59">
        <v>31</v>
      </c>
    </row>
    <row r="428" spans="1:6">
      <c r="A428" s="54" t="s">
        <v>362</v>
      </c>
      <c r="B428" s="55" t="s">
        <v>615</v>
      </c>
      <c r="C428" s="55" t="s">
        <v>1037</v>
      </c>
      <c r="D428" s="55"/>
      <c r="E428" s="55" t="s">
        <v>0</v>
      </c>
      <c r="F428" s="59">
        <v>52</v>
      </c>
    </row>
    <row r="429" spans="1:6">
      <c r="A429" s="54" t="s">
        <v>364</v>
      </c>
      <c r="B429" s="55" t="s">
        <v>615</v>
      </c>
      <c r="C429" s="55" t="s">
        <v>1027</v>
      </c>
      <c r="D429" s="55"/>
      <c r="E429" s="55" t="s">
        <v>0</v>
      </c>
      <c r="F429" s="59">
        <v>12</v>
      </c>
    </row>
    <row r="430" spans="1:6">
      <c r="A430" s="54" t="s">
        <v>51</v>
      </c>
      <c r="B430" s="55" t="s">
        <v>615</v>
      </c>
      <c r="C430" s="55" t="s">
        <v>1028</v>
      </c>
      <c r="D430" s="55"/>
      <c r="E430" s="55" t="s">
        <v>0</v>
      </c>
      <c r="F430" s="59">
        <v>16</v>
      </c>
    </row>
    <row r="431" spans="1:6">
      <c r="A431" s="54" t="s">
        <v>363</v>
      </c>
      <c r="B431" s="55" t="s">
        <v>615</v>
      </c>
      <c r="C431" s="55" t="s">
        <v>1030</v>
      </c>
      <c r="D431" s="55"/>
      <c r="E431" s="55" t="s">
        <v>0</v>
      </c>
      <c r="F431" s="59">
        <v>26</v>
      </c>
    </row>
    <row r="432" spans="1:6">
      <c r="A432" s="54" t="s">
        <v>52</v>
      </c>
      <c r="B432" s="55" t="s">
        <v>615</v>
      </c>
      <c r="C432" s="55" t="s">
        <v>1036</v>
      </c>
      <c r="D432" s="55"/>
      <c r="E432" s="55" t="s">
        <v>0</v>
      </c>
      <c r="F432" s="59">
        <v>10</v>
      </c>
    </row>
    <row r="433" spans="1:6">
      <c r="A433" s="54" t="s">
        <v>368</v>
      </c>
      <c r="B433" s="55" t="s">
        <v>615</v>
      </c>
      <c r="C433" s="55" t="s">
        <v>1030</v>
      </c>
      <c r="D433" s="55"/>
      <c r="E433" s="55" t="s">
        <v>0</v>
      </c>
      <c r="F433" s="59">
        <v>540</v>
      </c>
    </row>
    <row r="434" spans="1:6">
      <c r="A434" s="54" t="s">
        <v>366</v>
      </c>
      <c r="B434" s="55" t="s">
        <v>615</v>
      </c>
      <c r="C434" s="55" t="s">
        <v>1027</v>
      </c>
      <c r="D434" s="55"/>
      <c r="E434" s="55" t="s">
        <v>0</v>
      </c>
      <c r="F434" s="59">
        <v>295</v>
      </c>
    </row>
    <row r="435" spans="1:6">
      <c r="A435" s="54" t="s">
        <v>753</v>
      </c>
      <c r="B435" s="55" t="s">
        <v>615</v>
      </c>
      <c r="C435" s="55" t="s">
        <v>1028</v>
      </c>
      <c r="D435" s="55"/>
      <c r="E435" s="55" t="s">
        <v>0</v>
      </c>
      <c r="F435" s="59">
        <v>130</v>
      </c>
    </row>
    <row r="436" spans="1:6">
      <c r="A436" s="54" t="s">
        <v>753</v>
      </c>
      <c r="B436" s="55" t="s">
        <v>615</v>
      </c>
      <c r="C436" s="55" t="s">
        <v>1028</v>
      </c>
      <c r="D436" s="55"/>
      <c r="E436" s="55" t="s">
        <v>0</v>
      </c>
      <c r="F436" s="59">
        <v>65</v>
      </c>
    </row>
    <row r="437" spans="1:6">
      <c r="A437" s="54" t="s">
        <v>717</v>
      </c>
      <c r="B437" s="55" t="s">
        <v>615</v>
      </c>
      <c r="C437" s="55" t="s">
        <v>1027</v>
      </c>
      <c r="D437" s="55"/>
      <c r="E437" s="55" t="s">
        <v>0</v>
      </c>
      <c r="F437" s="59">
        <v>110</v>
      </c>
    </row>
    <row r="438" spans="1:6">
      <c r="A438" s="54" t="s">
        <v>717</v>
      </c>
      <c r="B438" s="55" t="s">
        <v>615</v>
      </c>
      <c r="C438" s="55" t="s">
        <v>1028</v>
      </c>
      <c r="D438" s="55"/>
      <c r="E438" s="55" t="s">
        <v>0</v>
      </c>
      <c r="F438" s="59">
        <v>398</v>
      </c>
    </row>
    <row r="439" spans="1:6">
      <c r="A439" s="54" t="s">
        <v>753</v>
      </c>
      <c r="B439" s="55" t="s">
        <v>615</v>
      </c>
      <c r="C439" s="55" t="s">
        <v>1030</v>
      </c>
      <c r="D439" s="55"/>
      <c r="E439" s="55" t="s">
        <v>0</v>
      </c>
      <c r="F439" s="59">
        <v>255</v>
      </c>
    </row>
    <row r="440" spans="1:6">
      <c r="A440" s="54" t="s">
        <v>519</v>
      </c>
      <c r="B440" s="55" t="s">
        <v>615</v>
      </c>
      <c r="C440" s="55" t="s">
        <v>1028</v>
      </c>
      <c r="D440" s="55"/>
      <c r="E440" s="55" t="s">
        <v>0</v>
      </c>
      <c r="F440" s="59">
        <v>11</v>
      </c>
    </row>
    <row r="441" spans="1:6">
      <c r="A441" s="54" t="s">
        <v>520</v>
      </c>
      <c r="B441" s="55" t="s">
        <v>615</v>
      </c>
      <c r="C441" s="55" t="s">
        <v>1027</v>
      </c>
      <c r="D441" s="55"/>
      <c r="E441" s="55" t="s">
        <v>0</v>
      </c>
      <c r="F441" s="59">
        <v>1</v>
      </c>
    </row>
    <row r="442" spans="1:6">
      <c r="A442" s="54" t="s">
        <v>409</v>
      </c>
      <c r="B442" s="55" t="s">
        <v>615</v>
      </c>
      <c r="C442" s="55" t="s">
        <v>1028</v>
      </c>
      <c r="D442" s="55"/>
      <c r="E442" s="55" t="s">
        <v>0</v>
      </c>
      <c r="F442" s="59">
        <v>3</v>
      </c>
    </row>
    <row r="443" spans="1:6">
      <c r="A443" s="54" t="s">
        <v>409</v>
      </c>
      <c r="B443" s="55" t="s">
        <v>615</v>
      </c>
      <c r="C443" s="55" t="s">
        <v>1030</v>
      </c>
      <c r="D443" s="55"/>
      <c r="E443" s="55" t="s">
        <v>0</v>
      </c>
      <c r="F443" s="59">
        <v>210</v>
      </c>
    </row>
    <row r="444" spans="1:6">
      <c r="A444" s="54" t="s">
        <v>54</v>
      </c>
      <c r="B444" s="55" t="s">
        <v>615</v>
      </c>
      <c r="C444" s="55" t="s">
        <v>1030</v>
      </c>
      <c r="D444" s="55"/>
      <c r="E444" s="55" t="s">
        <v>0</v>
      </c>
      <c r="F444" s="59">
        <v>256</v>
      </c>
    </row>
    <row r="445" spans="1:6">
      <c r="A445" s="54" t="s">
        <v>54</v>
      </c>
      <c r="B445" s="55" t="s">
        <v>615</v>
      </c>
      <c r="C445" s="55" t="s">
        <v>1038</v>
      </c>
      <c r="D445" s="55"/>
      <c r="E445" s="55" t="s">
        <v>0</v>
      </c>
      <c r="F445" s="59">
        <v>8</v>
      </c>
    </row>
    <row r="446" spans="1:6">
      <c r="A446" s="54" t="s">
        <v>467</v>
      </c>
      <c r="B446" s="55" t="s">
        <v>615</v>
      </c>
      <c r="C446" s="55" t="s">
        <v>1027</v>
      </c>
      <c r="D446" s="55"/>
      <c r="E446" s="55" t="s">
        <v>0</v>
      </c>
      <c r="F446" s="59">
        <v>222</v>
      </c>
    </row>
    <row r="447" spans="1:6">
      <c r="A447" s="54" t="s">
        <v>467</v>
      </c>
      <c r="B447" s="55" t="s">
        <v>615</v>
      </c>
      <c r="C447" s="55" t="s">
        <v>1030</v>
      </c>
      <c r="D447" s="55"/>
      <c r="E447" s="55" t="s">
        <v>0</v>
      </c>
      <c r="F447" s="59">
        <v>2640</v>
      </c>
    </row>
    <row r="448" spans="1:6">
      <c r="A448" s="54" t="s">
        <v>162</v>
      </c>
      <c r="B448" s="55" t="s">
        <v>615</v>
      </c>
      <c r="C448" s="55" t="s">
        <v>1028</v>
      </c>
      <c r="D448" s="55"/>
      <c r="E448" s="55" t="s">
        <v>0</v>
      </c>
      <c r="F448" s="59">
        <v>1727</v>
      </c>
    </row>
    <row r="449" spans="1:6">
      <c r="A449" s="54" t="s">
        <v>162</v>
      </c>
      <c r="B449" s="55" t="s">
        <v>615</v>
      </c>
      <c r="C449" s="55" t="s">
        <v>1027</v>
      </c>
      <c r="D449" s="55"/>
      <c r="E449" s="55" t="s">
        <v>0</v>
      </c>
      <c r="F449" s="59">
        <v>17</v>
      </c>
    </row>
    <row r="450" spans="1:6">
      <c r="A450" s="54" t="s">
        <v>430</v>
      </c>
      <c r="B450" s="55" t="s">
        <v>615</v>
      </c>
      <c r="C450" s="55" t="s">
        <v>1030</v>
      </c>
      <c r="D450" s="55"/>
      <c r="E450" s="55" t="s">
        <v>0</v>
      </c>
      <c r="F450" s="59">
        <v>30</v>
      </c>
    </row>
    <row r="451" spans="1:6">
      <c r="A451" s="54" t="s">
        <v>430</v>
      </c>
      <c r="B451" s="55" t="s">
        <v>615</v>
      </c>
      <c r="C451" s="55" t="s">
        <v>1027</v>
      </c>
      <c r="D451" s="55"/>
      <c r="E451" s="55" t="s">
        <v>0</v>
      </c>
      <c r="F451" s="59">
        <v>60</v>
      </c>
    </row>
    <row r="452" spans="1:6">
      <c r="A452" s="54" t="s">
        <v>56</v>
      </c>
      <c r="B452" s="55" t="s">
        <v>615</v>
      </c>
      <c r="C452" s="55" t="s">
        <v>1030</v>
      </c>
      <c r="D452" s="55"/>
      <c r="E452" s="55" t="s">
        <v>0</v>
      </c>
      <c r="F452" s="59">
        <v>3679</v>
      </c>
    </row>
    <row r="453" spans="1:6">
      <c r="A453" s="54" t="s">
        <v>434</v>
      </c>
      <c r="B453" s="55" t="s">
        <v>615</v>
      </c>
      <c r="C453" s="55" t="s">
        <v>1028</v>
      </c>
      <c r="D453" s="55"/>
      <c r="E453" s="55" t="s">
        <v>0</v>
      </c>
      <c r="F453" s="59">
        <v>20</v>
      </c>
    </row>
    <row r="454" spans="1:6">
      <c r="A454" s="54" t="s">
        <v>57</v>
      </c>
      <c r="B454" s="55" t="s">
        <v>615</v>
      </c>
      <c r="C454" s="55" t="s">
        <v>1027</v>
      </c>
      <c r="D454" s="55"/>
      <c r="E454" s="55" t="s">
        <v>0</v>
      </c>
      <c r="F454" s="59">
        <v>821</v>
      </c>
    </row>
    <row r="455" spans="1:6">
      <c r="A455" s="54" t="s">
        <v>57</v>
      </c>
      <c r="B455" s="55" t="s">
        <v>615</v>
      </c>
      <c r="C455" s="55" t="s">
        <v>1028</v>
      </c>
      <c r="D455" s="55"/>
      <c r="E455" s="55" t="s">
        <v>0</v>
      </c>
      <c r="F455" s="59">
        <v>1148</v>
      </c>
    </row>
    <row r="456" spans="1:6">
      <c r="A456" s="54" t="s">
        <v>436</v>
      </c>
      <c r="B456" s="55" t="s">
        <v>615</v>
      </c>
      <c r="C456" s="55" t="s">
        <v>1030</v>
      </c>
      <c r="D456" s="55"/>
      <c r="E456" s="55" t="s">
        <v>0</v>
      </c>
      <c r="F456" s="59">
        <v>84</v>
      </c>
    </row>
    <row r="457" spans="1:6">
      <c r="A457" s="54" t="s">
        <v>58</v>
      </c>
      <c r="B457" s="55" t="s">
        <v>615</v>
      </c>
      <c r="C457" s="55" t="s">
        <v>1028</v>
      </c>
      <c r="D457" s="55"/>
      <c r="E457" s="55" t="s">
        <v>0</v>
      </c>
      <c r="F457" s="59">
        <v>261</v>
      </c>
    </row>
    <row r="458" spans="1:6">
      <c r="A458" s="54" t="s">
        <v>58</v>
      </c>
      <c r="B458" s="55" t="s">
        <v>615</v>
      </c>
      <c r="C458" s="55" t="s">
        <v>1027</v>
      </c>
      <c r="D458" s="55"/>
      <c r="E458" s="55" t="s">
        <v>0</v>
      </c>
      <c r="F458" s="59">
        <v>23</v>
      </c>
    </row>
    <row r="459" spans="1:6">
      <c r="A459" s="54" t="s">
        <v>289</v>
      </c>
      <c r="B459" s="55" t="s">
        <v>615</v>
      </c>
      <c r="C459" s="55" t="s">
        <v>1030</v>
      </c>
      <c r="D459" s="55"/>
      <c r="E459" s="55" t="s">
        <v>0</v>
      </c>
      <c r="F459" s="59">
        <v>41</v>
      </c>
    </row>
    <row r="460" spans="1:6">
      <c r="A460" s="54" t="s">
        <v>55</v>
      </c>
      <c r="B460" s="55" t="s">
        <v>615</v>
      </c>
      <c r="C460" s="55" t="s">
        <v>1028</v>
      </c>
      <c r="D460" s="55"/>
      <c r="E460" s="55" t="s">
        <v>0</v>
      </c>
      <c r="F460" s="59">
        <v>117</v>
      </c>
    </row>
    <row r="461" spans="1:6">
      <c r="A461" s="54" t="s">
        <v>508</v>
      </c>
      <c r="B461" s="55" t="s">
        <v>615</v>
      </c>
      <c r="C461" s="55" t="s">
        <v>1027</v>
      </c>
      <c r="D461" s="55"/>
      <c r="E461" s="55" t="s">
        <v>0</v>
      </c>
      <c r="F461" s="59">
        <v>19</v>
      </c>
    </row>
    <row r="462" spans="1:6">
      <c r="A462" s="54" t="s">
        <v>180</v>
      </c>
      <c r="B462" s="55" t="s">
        <v>615</v>
      </c>
      <c r="C462" s="55" t="s">
        <v>1027</v>
      </c>
      <c r="D462" s="55"/>
      <c r="E462" s="55" t="s">
        <v>0</v>
      </c>
      <c r="F462" s="59">
        <v>427</v>
      </c>
    </row>
    <row r="463" spans="1:6">
      <c r="A463" s="54" t="s">
        <v>180</v>
      </c>
      <c r="B463" s="55" t="s">
        <v>615</v>
      </c>
      <c r="C463" s="55" t="s">
        <v>1028</v>
      </c>
      <c r="D463" s="55"/>
      <c r="E463" s="55" t="s">
        <v>0</v>
      </c>
      <c r="F463" s="59">
        <v>23</v>
      </c>
    </row>
    <row r="464" spans="1:6">
      <c r="A464" s="54" t="s">
        <v>432</v>
      </c>
      <c r="B464" s="55" t="s">
        <v>615</v>
      </c>
      <c r="C464" s="55" t="s">
        <v>1030</v>
      </c>
      <c r="D464" s="55"/>
      <c r="E464" s="55" t="s">
        <v>0</v>
      </c>
      <c r="F464" s="59">
        <v>10</v>
      </c>
    </row>
    <row r="465" spans="1:6">
      <c r="A465" s="54" t="s">
        <v>59</v>
      </c>
      <c r="B465" s="55" t="s">
        <v>615</v>
      </c>
      <c r="C465" s="55" t="s">
        <v>1028</v>
      </c>
      <c r="D465" s="55"/>
      <c r="E465" s="55" t="s">
        <v>0</v>
      </c>
      <c r="F465" s="59">
        <v>336</v>
      </c>
    </row>
    <row r="466" spans="1:6">
      <c r="A466" s="54" t="s">
        <v>59</v>
      </c>
      <c r="B466" s="55" t="s">
        <v>615</v>
      </c>
      <c r="C466" s="55" t="s">
        <v>1027</v>
      </c>
      <c r="D466" s="55"/>
      <c r="E466" s="55" t="s">
        <v>0</v>
      </c>
      <c r="F466" s="59">
        <v>35</v>
      </c>
    </row>
    <row r="467" spans="1:6">
      <c r="A467" s="54" t="s">
        <v>431</v>
      </c>
      <c r="B467" s="55" t="s">
        <v>615</v>
      </c>
      <c r="C467" s="55" t="s">
        <v>1029</v>
      </c>
      <c r="D467" s="55"/>
      <c r="E467" s="55" t="s">
        <v>0</v>
      </c>
      <c r="F467" s="59">
        <v>30</v>
      </c>
    </row>
    <row r="468" spans="1:6">
      <c r="A468" s="54" t="s">
        <v>60</v>
      </c>
      <c r="B468" s="55" t="s">
        <v>615</v>
      </c>
      <c r="C468" s="55" t="s">
        <v>1028</v>
      </c>
      <c r="D468" s="55"/>
      <c r="E468" s="55" t="s">
        <v>0</v>
      </c>
      <c r="F468" s="59">
        <v>853</v>
      </c>
    </row>
    <row r="469" spans="1:6">
      <c r="A469" s="54" t="s">
        <v>60</v>
      </c>
      <c r="B469" s="55" t="s">
        <v>615</v>
      </c>
      <c r="C469" s="55" t="s">
        <v>1030</v>
      </c>
      <c r="D469" s="55"/>
      <c r="E469" s="55" t="s">
        <v>0</v>
      </c>
      <c r="F469" s="59">
        <v>8</v>
      </c>
    </row>
    <row r="470" spans="1:6">
      <c r="A470" s="54" t="s">
        <v>60</v>
      </c>
      <c r="B470" s="55" t="s">
        <v>615</v>
      </c>
      <c r="C470" s="55" t="s">
        <v>1031</v>
      </c>
      <c r="D470" s="55"/>
      <c r="E470" s="55" t="s">
        <v>0</v>
      </c>
      <c r="F470" s="59">
        <v>10</v>
      </c>
    </row>
    <row r="471" spans="1:6">
      <c r="A471" s="54" t="s">
        <v>231</v>
      </c>
      <c r="B471" s="55" t="s">
        <v>615</v>
      </c>
      <c r="C471" s="55" t="s">
        <v>1030</v>
      </c>
      <c r="D471" s="55"/>
      <c r="E471" s="55" t="s">
        <v>0</v>
      </c>
      <c r="F471" s="59">
        <v>104</v>
      </c>
    </row>
    <row r="472" spans="1:6">
      <c r="A472" s="54" t="s">
        <v>61</v>
      </c>
      <c r="B472" s="55" t="s">
        <v>615</v>
      </c>
      <c r="C472" s="55" t="s">
        <v>1027</v>
      </c>
      <c r="D472" s="55"/>
      <c r="E472" s="55" t="s">
        <v>0</v>
      </c>
      <c r="F472" s="60">
        <v>20</v>
      </c>
    </row>
    <row r="473" spans="1:6">
      <c r="A473" s="54" t="s">
        <v>505</v>
      </c>
      <c r="B473" s="55" t="s">
        <v>615</v>
      </c>
      <c r="C473" s="55" t="s">
        <v>1030</v>
      </c>
      <c r="D473" s="55"/>
      <c r="E473" s="55" t="s">
        <v>0</v>
      </c>
      <c r="F473" s="59">
        <v>6</v>
      </c>
    </row>
    <row r="474" spans="1:6">
      <c r="A474" s="54" t="s">
        <v>505</v>
      </c>
      <c r="B474" s="55" t="s">
        <v>615</v>
      </c>
      <c r="C474" s="55" t="s">
        <v>1028</v>
      </c>
      <c r="D474" s="55"/>
      <c r="E474" s="55" t="s">
        <v>0</v>
      </c>
      <c r="F474" s="59">
        <v>72</v>
      </c>
    </row>
    <row r="475" spans="1:6">
      <c r="A475" s="54" t="s">
        <v>184</v>
      </c>
      <c r="B475" s="55" t="s">
        <v>615</v>
      </c>
      <c r="C475" s="55" t="s">
        <v>1030</v>
      </c>
      <c r="D475" s="55"/>
      <c r="E475" s="55" t="s">
        <v>0</v>
      </c>
      <c r="F475" s="59">
        <v>532</v>
      </c>
    </row>
    <row r="476" spans="1:6">
      <c r="A476" s="54" t="s">
        <v>184</v>
      </c>
      <c r="B476" s="55" t="s">
        <v>615</v>
      </c>
      <c r="C476" s="55" t="s">
        <v>1028</v>
      </c>
      <c r="D476" s="55"/>
      <c r="E476" s="55" t="s">
        <v>0</v>
      </c>
      <c r="F476" s="59">
        <v>6</v>
      </c>
    </row>
    <row r="477" spans="1:6">
      <c r="A477" s="54" t="s">
        <v>456</v>
      </c>
      <c r="B477" s="55" t="s">
        <v>615</v>
      </c>
      <c r="C477" s="55" t="s">
        <v>1027</v>
      </c>
      <c r="D477" s="55"/>
      <c r="E477" s="55" t="s">
        <v>0</v>
      </c>
      <c r="F477" s="59">
        <v>44</v>
      </c>
    </row>
    <row r="478" spans="1:6">
      <c r="A478" s="54" t="s">
        <v>456</v>
      </c>
      <c r="B478" s="55" t="s">
        <v>615</v>
      </c>
      <c r="C478" s="55" t="s">
        <v>1028</v>
      </c>
      <c r="D478" s="55"/>
      <c r="E478" s="55" t="s">
        <v>0</v>
      </c>
      <c r="F478" s="59">
        <v>10</v>
      </c>
    </row>
    <row r="479" spans="1:6">
      <c r="A479" s="54" t="s">
        <v>456</v>
      </c>
      <c r="B479" s="55" t="s">
        <v>615</v>
      </c>
      <c r="C479" s="55" t="s">
        <v>1030</v>
      </c>
      <c r="D479" s="55"/>
      <c r="E479" s="55" t="s">
        <v>0</v>
      </c>
      <c r="F479" s="59">
        <v>40</v>
      </c>
    </row>
    <row r="480" spans="1:6">
      <c r="A480" s="54" t="s">
        <v>169</v>
      </c>
      <c r="B480" s="55" t="s">
        <v>615</v>
      </c>
      <c r="C480" s="55" t="s">
        <v>1031</v>
      </c>
      <c r="D480" s="55"/>
      <c r="E480" s="55" t="s">
        <v>0</v>
      </c>
      <c r="F480" s="59">
        <v>999</v>
      </c>
    </row>
    <row r="481" spans="1:6">
      <c r="A481" s="54" t="s">
        <v>169</v>
      </c>
      <c r="B481" s="55" t="s">
        <v>615</v>
      </c>
      <c r="C481" s="55" t="s">
        <v>1028</v>
      </c>
      <c r="D481" s="55"/>
      <c r="E481" s="55" t="s">
        <v>0</v>
      </c>
      <c r="F481" s="59">
        <v>240</v>
      </c>
    </row>
    <row r="482" spans="1:6">
      <c r="A482" s="54" t="s">
        <v>62</v>
      </c>
      <c r="B482" s="55" t="s">
        <v>615</v>
      </c>
      <c r="C482" s="55" t="s">
        <v>1027</v>
      </c>
      <c r="D482" s="55"/>
      <c r="E482" s="55" t="s">
        <v>0</v>
      </c>
      <c r="F482" s="59">
        <v>1242</v>
      </c>
    </row>
    <row r="483" spans="1:6">
      <c r="A483" s="54" t="s">
        <v>365</v>
      </c>
      <c r="B483" s="55" t="s">
        <v>615</v>
      </c>
      <c r="C483" s="55" t="s">
        <v>1028</v>
      </c>
      <c r="D483" s="55"/>
      <c r="E483" s="55" t="s">
        <v>0</v>
      </c>
      <c r="F483" s="59">
        <v>9</v>
      </c>
    </row>
    <row r="484" spans="1:6">
      <c r="A484" s="54" t="s">
        <v>63</v>
      </c>
      <c r="B484" s="55" t="s">
        <v>615</v>
      </c>
      <c r="C484" s="55" t="s">
        <v>1030</v>
      </c>
      <c r="D484" s="55"/>
      <c r="E484" s="55" t="s">
        <v>0</v>
      </c>
      <c r="F484" s="59">
        <v>113</v>
      </c>
    </row>
    <row r="485" spans="1:6">
      <c r="A485" s="54" t="s">
        <v>64</v>
      </c>
      <c r="B485" s="55" t="s">
        <v>615</v>
      </c>
      <c r="C485" s="55" t="s">
        <v>1031</v>
      </c>
      <c r="D485" s="55"/>
      <c r="E485" s="55" t="s">
        <v>0</v>
      </c>
      <c r="F485" s="59">
        <v>35</v>
      </c>
    </row>
    <row r="486" spans="1:6">
      <c r="A486" s="54" t="s">
        <v>64</v>
      </c>
      <c r="B486" s="55" t="s">
        <v>615</v>
      </c>
      <c r="C486" s="55" t="s">
        <v>1027</v>
      </c>
      <c r="D486" s="55"/>
      <c r="E486" s="55" t="s">
        <v>0</v>
      </c>
      <c r="F486" s="59">
        <v>10</v>
      </c>
    </row>
    <row r="487" spans="1:6">
      <c r="A487" s="54" t="s">
        <v>319</v>
      </c>
      <c r="B487" s="55" t="s">
        <v>615</v>
      </c>
      <c r="C487" s="55" t="s">
        <v>1028</v>
      </c>
      <c r="D487" s="55"/>
      <c r="E487" s="55" t="s">
        <v>0</v>
      </c>
      <c r="F487" s="59">
        <v>300</v>
      </c>
    </row>
    <row r="488" spans="1:6">
      <c r="A488" s="54" t="s">
        <v>65</v>
      </c>
      <c r="B488" s="55" t="s">
        <v>615</v>
      </c>
      <c r="C488" s="55" t="s">
        <v>1028</v>
      </c>
      <c r="D488" s="55"/>
      <c r="E488" s="55" t="s">
        <v>0</v>
      </c>
      <c r="F488" s="59">
        <v>3973</v>
      </c>
    </row>
    <row r="489" spans="1:6">
      <c r="A489" s="54" t="s">
        <v>65</v>
      </c>
      <c r="B489" s="55" t="s">
        <v>615</v>
      </c>
      <c r="C489" s="55" t="s">
        <v>1027</v>
      </c>
      <c r="D489" s="55"/>
      <c r="E489" s="55" t="s">
        <v>0</v>
      </c>
      <c r="F489" s="59">
        <v>1625</v>
      </c>
    </row>
    <row r="490" spans="1:6">
      <c r="A490" s="54" t="s">
        <v>65</v>
      </c>
      <c r="B490" s="55" t="s">
        <v>615</v>
      </c>
      <c r="C490" s="55" t="s">
        <v>1028</v>
      </c>
      <c r="D490" s="55"/>
      <c r="E490" s="55" t="s">
        <v>0</v>
      </c>
      <c r="F490" s="59">
        <v>14</v>
      </c>
    </row>
    <row r="491" spans="1:6">
      <c r="A491" s="54" t="s">
        <v>888</v>
      </c>
      <c r="B491" s="55" t="s">
        <v>615</v>
      </c>
      <c r="C491" s="55" t="s">
        <v>1030</v>
      </c>
      <c r="D491" s="55"/>
      <c r="E491" s="55" t="s">
        <v>0</v>
      </c>
      <c r="F491" s="59">
        <v>9.952</v>
      </c>
    </row>
    <row r="492" spans="1:6">
      <c r="A492" s="54" t="s">
        <v>450</v>
      </c>
      <c r="B492" s="55" t="s">
        <v>615</v>
      </c>
      <c r="C492" s="55" t="s">
        <v>1027</v>
      </c>
      <c r="D492" s="55"/>
      <c r="E492" s="55" t="s">
        <v>0</v>
      </c>
      <c r="F492" s="59">
        <v>12</v>
      </c>
    </row>
    <row r="493" spans="1:6">
      <c r="A493" s="54" t="s">
        <v>450</v>
      </c>
      <c r="B493" s="55" t="s">
        <v>615</v>
      </c>
      <c r="C493" s="55" t="s">
        <v>1030</v>
      </c>
      <c r="D493" s="55"/>
      <c r="E493" s="55" t="s">
        <v>0</v>
      </c>
      <c r="F493" s="59">
        <v>30</v>
      </c>
    </row>
    <row r="494" spans="1:6">
      <c r="A494" s="54" t="s">
        <v>168</v>
      </c>
      <c r="B494" s="55" t="s">
        <v>615</v>
      </c>
      <c r="C494" s="55" t="s">
        <v>1030</v>
      </c>
      <c r="D494" s="55"/>
      <c r="E494" s="55" t="s">
        <v>0</v>
      </c>
      <c r="F494" s="59">
        <v>270</v>
      </c>
    </row>
    <row r="495" spans="1:6">
      <c r="A495" s="54" t="s">
        <v>168</v>
      </c>
      <c r="B495" s="55" t="s">
        <v>615</v>
      </c>
      <c r="C495" s="55" t="s">
        <v>1037</v>
      </c>
      <c r="D495" s="55"/>
      <c r="E495" s="55" t="s">
        <v>0</v>
      </c>
      <c r="F495" s="59">
        <v>5</v>
      </c>
    </row>
    <row r="496" spans="1:6">
      <c r="A496" s="54" t="s">
        <v>451</v>
      </c>
      <c r="B496" s="55" t="s">
        <v>615</v>
      </c>
      <c r="C496" s="55" t="s">
        <v>1030</v>
      </c>
      <c r="D496" s="55"/>
      <c r="E496" s="55" t="s">
        <v>0</v>
      </c>
      <c r="F496" s="59">
        <v>45</v>
      </c>
    </row>
    <row r="497" spans="1:6">
      <c r="A497" s="54" t="s">
        <v>451</v>
      </c>
      <c r="B497" s="55" t="s">
        <v>615</v>
      </c>
      <c r="C497" s="55" t="s">
        <v>1027</v>
      </c>
      <c r="D497" s="55"/>
      <c r="E497" s="55" t="s">
        <v>0</v>
      </c>
      <c r="F497" s="59">
        <v>30</v>
      </c>
    </row>
    <row r="498" spans="1:6">
      <c r="A498" s="54" t="s">
        <v>451</v>
      </c>
      <c r="B498" s="55" t="s">
        <v>615</v>
      </c>
      <c r="C498" s="55" t="s">
        <v>1028</v>
      </c>
      <c r="D498" s="55"/>
      <c r="E498" s="55" t="s">
        <v>0</v>
      </c>
      <c r="F498" s="59">
        <v>6</v>
      </c>
    </row>
    <row r="499" spans="1:6">
      <c r="A499" s="54" t="s">
        <v>500</v>
      </c>
      <c r="B499" s="55" t="s">
        <v>615</v>
      </c>
      <c r="C499" s="55" t="s">
        <v>1037</v>
      </c>
      <c r="D499" s="55"/>
      <c r="E499" s="55" t="s">
        <v>0</v>
      </c>
      <c r="F499" s="59">
        <v>28</v>
      </c>
    </row>
    <row r="500" spans="1:6">
      <c r="A500" s="54" t="s">
        <v>174</v>
      </c>
      <c r="B500" s="55" t="s">
        <v>615</v>
      </c>
      <c r="C500" s="55" t="s">
        <v>1030</v>
      </c>
      <c r="D500" s="55"/>
      <c r="E500" s="55" t="s">
        <v>0</v>
      </c>
      <c r="F500" s="59">
        <v>456</v>
      </c>
    </row>
    <row r="501" spans="1:6">
      <c r="A501" s="54" t="s">
        <v>371</v>
      </c>
      <c r="B501" s="55" t="s">
        <v>615</v>
      </c>
      <c r="C501" s="55" t="s">
        <v>1037</v>
      </c>
      <c r="D501" s="55"/>
      <c r="E501" s="55" t="s">
        <v>0</v>
      </c>
      <c r="F501" s="59">
        <v>38</v>
      </c>
    </row>
    <row r="502" spans="1:6">
      <c r="A502" s="54" t="s">
        <v>66</v>
      </c>
      <c r="B502" s="55" t="s">
        <v>615</v>
      </c>
      <c r="C502" s="55" t="s">
        <v>1027</v>
      </c>
      <c r="D502" s="55"/>
      <c r="E502" s="55" t="s">
        <v>0</v>
      </c>
      <c r="F502" s="59">
        <v>1466</v>
      </c>
    </row>
    <row r="503" spans="1:6">
      <c r="A503" s="54" t="s">
        <v>964</v>
      </c>
      <c r="B503" s="55" t="s">
        <v>615</v>
      </c>
      <c r="C503" s="55" t="s">
        <v>1030</v>
      </c>
      <c r="D503" s="55"/>
      <c r="E503" s="55" t="s">
        <v>0</v>
      </c>
      <c r="F503" s="59">
        <v>42</v>
      </c>
    </row>
    <row r="504" spans="1:6">
      <c r="A504" s="54" t="s">
        <v>964</v>
      </c>
      <c r="B504" s="55" t="s">
        <v>615</v>
      </c>
      <c r="C504" s="55" t="s">
        <v>1028</v>
      </c>
      <c r="D504" s="55"/>
      <c r="E504" s="55" t="s">
        <v>0</v>
      </c>
      <c r="F504" s="59">
        <v>692</v>
      </c>
    </row>
    <row r="505" spans="1:6">
      <c r="A505" s="54" t="s">
        <v>189</v>
      </c>
      <c r="B505" s="55" t="s">
        <v>615</v>
      </c>
      <c r="C505" s="55" t="s">
        <v>1027</v>
      </c>
      <c r="D505" s="55"/>
      <c r="E505" s="55" t="s">
        <v>0</v>
      </c>
      <c r="F505" s="59">
        <v>398</v>
      </c>
    </row>
    <row r="506" spans="1:6">
      <c r="A506" s="54" t="s">
        <v>965</v>
      </c>
      <c r="B506" s="55" t="s">
        <v>615</v>
      </c>
      <c r="C506" s="55" t="s">
        <v>1028</v>
      </c>
      <c r="D506" s="55"/>
      <c r="E506" s="55" t="s">
        <v>0</v>
      </c>
      <c r="F506" s="59">
        <v>281</v>
      </c>
    </row>
    <row r="507" spans="1:6">
      <c r="A507" s="54" t="s">
        <v>188</v>
      </c>
      <c r="B507" s="55" t="s">
        <v>615</v>
      </c>
      <c r="C507" s="55" t="s">
        <v>1030</v>
      </c>
      <c r="D507" s="55"/>
      <c r="E507" s="55" t="s">
        <v>0</v>
      </c>
      <c r="F507" s="59">
        <v>15</v>
      </c>
    </row>
    <row r="508" spans="1:6">
      <c r="A508" s="54" t="s">
        <v>173</v>
      </c>
      <c r="B508" s="55" t="s">
        <v>615</v>
      </c>
      <c r="C508" s="55" t="s">
        <v>1036</v>
      </c>
      <c r="D508" s="55"/>
      <c r="E508" s="55" t="s">
        <v>0</v>
      </c>
      <c r="F508" s="59">
        <v>7677</v>
      </c>
    </row>
    <row r="509" spans="1:6">
      <c r="A509" s="54" t="s">
        <v>458</v>
      </c>
      <c r="B509" s="55" t="s">
        <v>615</v>
      </c>
      <c r="C509" s="55" t="s">
        <v>1037</v>
      </c>
      <c r="D509" s="55"/>
      <c r="E509" s="55" t="s">
        <v>0</v>
      </c>
      <c r="F509" s="59">
        <v>2100</v>
      </c>
    </row>
    <row r="510" spans="1:6">
      <c r="A510" s="54" t="s">
        <v>167</v>
      </c>
      <c r="B510" s="55" t="s">
        <v>615</v>
      </c>
      <c r="C510" s="55" t="s">
        <v>1027</v>
      </c>
      <c r="D510" s="55"/>
      <c r="E510" s="55" t="s">
        <v>0</v>
      </c>
      <c r="F510" s="59">
        <v>2194</v>
      </c>
    </row>
    <row r="511" spans="1:6">
      <c r="A511" s="54" t="s">
        <v>276</v>
      </c>
      <c r="B511" s="55" t="s">
        <v>615</v>
      </c>
      <c r="C511" s="55" t="s">
        <v>1030</v>
      </c>
      <c r="D511" s="55"/>
      <c r="E511" s="55" t="s">
        <v>0</v>
      </c>
      <c r="F511" s="59">
        <v>200</v>
      </c>
    </row>
    <row r="512" spans="1:6">
      <c r="A512" s="54" t="s">
        <v>149</v>
      </c>
      <c r="B512" s="55" t="s">
        <v>615</v>
      </c>
      <c r="C512" s="55" t="s">
        <v>1027</v>
      </c>
      <c r="D512" s="55"/>
      <c r="E512" s="55" t="s">
        <v>0</v>
      </c>
      <c r="F512" s="59">
        <v>700</v>
      </c>
    </row>
    <row r="513" spans="1:6">
      <c r="A513" s="54" t="s">
        <v>232</v>
      </c>
      <c r="B513" s="55" t="s">
        <v>615</v>
      </c>
      <c r="C513" s="55" t="s">
        <v>1030</v>
      </c>
      <c r="D513" s="55"/>
      <c r="E513" s="55" t="s">
        <v>0</v>
      </c>
      <c r="F513" s="59">
        <v>600</v>
      </c>
    </row>
    <row r="514" spans="1:6">
      <c r="A514" s="54" t="s">
        <v>67</v>
      </c>
      <c r="B514" s="55" t="s">
        <v>615</v>
      </c>
      <c r="C514" s="55" t="s">
        <v>1027</v>
      </c>
      <c r="D514" s="55"/>
      <c r="E514" s="55" t="s">
        <v>0</v>
      </c>
      <c r="F514" s="59">
        <v>306</v>
      </c>
    </row>
    <row r="515" spans="1:6">
      <c r="A515" s="54" t="s">
        <v>292</v>
      </c>
      <c r="B515" s="55" t="s">
        <v>615</v>
      </c>
      <c r="C515" s="55" t="s">
        <v>1030</v>
      </c>
      <c r="D515" s="55"/>
      <c r="E515" s="55" t="s">
        <v>0</v>
      </c>
      <c r="F515" s="59">
        <v>20</v>
      </c>
    </row>
    <row r="516" spans="1:6">
      <c r="A516" s="54" t="s">
        <v>68</v>
      </c>
      <c r="B516" s="55" t="s">
        <v>615</v>
      </c>
      <c r="C516" s="55" t="s">
        <v>1027</v>
      </c>
      <c r="D516" s="55"/>
      <c r="E516" s="55" t="s">
        <v>0</v>
      </c>
      <c r="F516" s="59">
        <v>232</v>
      </c>
    </row>
    <row r="517" spans="1:6">
      <c r="A517" s="54" t="s">
        <v>1042</v>
      </c>
      <c r="B517" s="55" t="s">
        <v>615</v>
      </c>
      <c r="C517" s="55" t="s">
        <v>1027</v>
      </c>
      <c r="D517" s="55"/>
      <c r="E517" s="55" t="s">
        <v>0</v>
      </c>
      <c r="F517" s="59">
        <v>200</v>
      </c>
    </row>
    <row r="518" spans="1:6">
      <c r="A518" s="54" t="s">
        <v>889</v>
      </c>
      <c r="B518" s="55" t="s">
        <v>615</v>
      </c>
      <c r="C518" s="55" t="s">
        <v>1028</v>
      </c>
      <c r="D518" s="55"/>
      <c r="E518" s="55" t="s">
        <v>0</v>
      </c>
      <c r="F518" s="59">
        <v>17</v>
      </c>
    </row>
    <row r="519" spans="1:6">
      <c r="A519" s="54" t="s">
        <v>400</v>
      </c>
      <c r="B519" s="55" t="s">
        <v>615</v>
      </c>
      <c r="C519" s="55" t="s">
        <v>1030</v>
      </c>
      <c r="D519" s="55"/>
      <c r="E519" s="55" t="s">
        <v>0</v>
      </c>
      <c r="F519" s="59">
        <v>43</v>
      </c>
    </row>
    <row r="520" spans="1:6">
      <c r="A520" s="54" t="s">
        <v>400</v>
      </c>
      <c r="B520" s="55" t="s">
        <v>615</v>
      </c>
      <c r="C520" s="55" t="s">
        <v>1027</v>
      </c>
      <c r="D520" s="55"/>
      <c r="E520" s="55" t="s">
        <v>0</v>
      </c>
      <c r="F520" s="59">
        <v>300</v>
      </c>
    </row>
    <row r="521" spans="1:6">
      <c r="A521" s="54" t="s">
        <v>69</v>
      </c>
      <c r="B521" s="55" t="s">
        <v>615</v>
      </c>
      <c r="C521" s="55" t="s">
        <v>1030</v>
      </c>
      <c r="D521" s="55"/>
      <c r="E521" s="55" t="s">
        <v>0</v>
      </c>
      <c r="F521" s="59">
        <v>1200</v>
      </c>
    </row>
    <row r="522" spans="1:6">
      <c r="A522" s="54" t="s">
        <v>378</v>
      </c>
      <c r="B522" s="55" t="s">
        <v>615</v>
      </c>
      <c r="C522" s="55" t="s">
        <v>1028</v>
      </c>
      <c r="D522" s="55"/>
      <c r="E522" s="55" t="s">
        <v>0</v>
      </c>
      <c r="F522" s="59">
        <v>11</v>
      </c>
    </row>
    <row r="523" spans="1:6">
      <c r="A523" s="54" t="s">
        <v>943</v>
      </c>
      <c r="B523" s="55" t="s">
        <v>615</v>
      </c>
      <c r="C523" s="55" t="s">
        <v>1030</v>
      </c>
      <c r="D523" s="55"/>
      <c r="E523" s="55" t="s">
        <v>0</v>
      </c>
      <c r="F523" s="59">
        <v>828</v>
      </c>
    </row>
    <row r="524" spans="1:6">
      <c r="A524" s="54" t="s">
        <v>944</v>
      </c>
      <c r="B524" s="55" t="s">
        <v>615</v>
      </c>
      <c r="C524" s="55" t="s">
        <v>1030</v>
      </c>
      <c r="D524" s="55"/>
      <c r="E524" s="55" t="s">
        <v>0</v>
      </c>
      <c r="F524" s="59">
        <v>84</v>
      </c>
    </row>
    <row r="525" spans="1:6">
      <c r="A525" s="54" t="s">
        <v>945</v>
      </c>
      <c r="B525" s="55" t="s">
        <v>615</v>
      </c>
      <c r="C525" s="55" t="s">
        <v>1031</v>
      </c>
      <c r="D525" s="55"/>
      <c r="E525" s="55" t="s">
        <v>0</v>
      </c>
      <c r="F525" s="59">
        <v>519</v>
      </c>
    </row>
    <row r="526" spans="1:6">
      <c r="A526" s="54" t="s">
        <v>946</v>
      </c>
      <c r="B526" s="55" t="s">
        <v>615</v>
      </c>
      <c r="C526" s="55" t="s">
        <v>1030</v>
      </c>
      <c r="D526" s="55"/>
      <c r="E526" s="55" t="s">
        <v>0</v>
      </c>
      <c r="F526" s="59">
        <v>322</v>
      </c>
    </row>
    <row r="527" spans="1:6">
      <c r="A527" s="54" t="s">
        <v>947</v>
      </c>
      <c r="B527" s="55" t="s">
        <v>615</v>
      </c>
      <c r="C527" s="55" t="s">
        <v>1030</v>
      </c>
      <c r="D527" s="55"/>
      <c r="E527" s="55" t="s">
        <v>0</v>
      </c>
      <c r="F527" s="59">
        <v>147</v>
      </c>
    </row>
    <row r="528" spans="1:6">
      <c r="A528" s="54" t="s">
        <v>951</v>
      </c>
      <c r="B528" s="55" t="s">
        <v>615</v>
      </c>
      <c r="C528" s="55" t="s">
        <v>1030</v>
      </c>
      <c r="D528" s="55"/>
      <c r="E528" s="55" t="s">
        <v>0</v>
      </c>
      <c r="F528" s="59">
        <v>565</v>
      </c>
    </row>
    <row r="529" spans="1:6">
      <c r="A529" s="54" t="s">
        <v>951</v>
      </c>
      <c r="B529" s="55" t="s">
        <v>615</v>
      </c>
      <c r="C529" s="55" t="s">
        <v>1043</v>
      </c>
      <c r="D529" s="55"/>
      <c r="E529" s="55" t="s">
        <v>0</v>
      </c>
      <c r="F529" s="59">
        <v>200</v>
      </c>
    </row>
    <row r="530" spans="1:6">
      <c r="A530" s="54" t="s">
        <v>951</v>
      </c>
      <c r="B530" s="55" t="s">
        <v>615</v>
      </c>
      <c r="C530" s="55" t="s">
        <v>1030</v>
      </c>
      <c r="D530" s="55"/>
      <c r="E530" s="55" t="s">
        <v>0</v>
      </c>
      <c r="F530" s="59">
        <v>47</v>
      </c>
    </row>
    <row r="531" spans="1:6">
      <c r="A531" s="54">
        <v>7552296440</v>
      </c>
      <c r="B531" s="55" t="s">
        <v>615</v>
      </c>
      <c r="C531" s="55" t="s">
        <v>1030</v>
      </c>
      <c r="D531" s="55"/>
      <c r="E531" s="55" t="s">
        <v>0</v>
      </c>
      <c r="F531" s="59">
        <v>40</v>
      </c>
    </row>
    <row r="532" spans="1:6">
      <c r="A532" s="54" t="s">
        <v>991</v>
      </c>
      <c r="B532" s="55" t="s">
        <v>615</v>
      </c>
      <c r="C532" s="55" t="s">
        <v>1031</v>
      </c>
      <c r="D532" s="55"/>
      <c r="E532" s="55" t="s">
        <v>0</v>
      </c>
      <c r="F532" s="59">
        <v>310</v>
      </c>
    </row>
    <row r="533" spans="1:6">
      <c r="A533" s="54" t="s">
        <v>991</v>
      </c>
      <c r="B533" s="55" t="s">
        <v>615</v>
      </c>
      <c r="C533" s="55" t="s">
        <v>1027</v>
      </c>
      <c r="D533" s="55"/>
      <c r="E533" s="55" t="s">
        <v>0</v>
      </c>
      <c r="F533" s="59">
        <v>600</v>
      </c>
    </row>
    <row r="534" spans="1:6">
      <c r="A534" s="54" t="s">
        <v>452</v>
      </c>
      <c r="B534" s="55" t="s">
        <v>615</v>
      </c>
      <c r="C534" s="55" t="s">
        <v>1030</v>
      </c>
      <c r="D534" s="55"/>
      <c r="E534" s="55" t="s">
        <v>0</v>
      </c>
      <c r="F534" s="59">
        <v>23</v>
      </c>
    </row>
    <row r="535" spans="1:6">
      <c r="A535" s="54" t="s">
        <v>185</v>
      </c>
      <c r="B535" s="55" t="s">
        <v>615</v>
      </c>
      <c r="C535" s="55" t="s">
        <v>1027</v>
      </c>
      <c r="D535" s="55"/>
      <c r="E535" s="55" t="s">
        <v>0</v>
      </c>
      <c r="F535" s="59">
        <v>100</v>
      </c>
    </row>
    <row r="536" spans="1:6">
      <c r="A536" s="54" t="s">
        <v>290</v>
      </c>
      <c r="B536" s="55" t="s">
        <v>615</v>
      </c>
      <c r="C536" s="55" t="s">
        <v>1027</v>
      </c>
      <c r="D536" s="55"/>
      <c r="E536" s="55" t="s">
        <v>0</v>
      </c>
      <c r="F536" s="59">
        <v>2</v>
      </c>
    </row>
    <row r="537" spans="1:6">
      <c r="A537" s="54" t="s">
        <v>266</v>
      </c>
      <c r="B537" s="55" t="s">
        <v>615</v>
      </c>
      <c r="C537" s="55" t="s">
        <v>1027</v>
      </c>
      <c r="D537" s="55"/>
      <c r="E537" s="55" t="s">
        <v>0</v>
      </c>
      <c r="F537" s="59">
        <v>7</v>
      </c>
    </row>
    <row r="538" spans="1:6">
      <c r="A538" s="54" t="s">
        <v>296</v>
      </c>
      <c r="B538" s="55" t="s">
        <v>615</v>
      </c>
      <c r="C538" s="55" t="s">
        <v>1027</v>
      </c>
      <c r="D538" s="55"/>
      <c r="E538" s="55" t="s">
        <v>0</v>
      </c>
      <c r="F538" s="59">
        <v>45</v>
      </c>
    </row>
    <row r="539" spans="1:6">
      <c r="A539" s="54" t="s">
        <v>287</v>
      </c>
      <c r="B539" s="55" t="s">
        <v>615</v>
      </c>
      <c r="C539" s="55" t="s">
        <v>1030</v>
      </c>
      <c r="D539" s="55"/>
      <c r="E539" s="55" t="s">
        <v>0</v>
      </c>
      <c r="F539" s="59">
        <v>6</v>
      </c>
    </row>
    <row r="540" spans="1:6">
      <c r="A540" s="54" t="s">
        <v>70</v>
      </c>
      <c r="B540" s="55" t="s">
        <v>615</v>
      </c>
      <c r="C540" s="55" t="s">
        <v>1027</v>
      </c>
      <c r="D540" s="55"/>
      <c r="E540" s="55" t="s">
        <v>0</v>
      </c>
      <c r="F540" s="59">
        <v>109</v>
      </c>
    </row>
    <row r="541" spans="1:6">
      <c r="A541" s="54" t="s">
        <v>340</v>
      </c>
      <c r="B541" s="55" t="s">
        <v>615</v>
      </c>
      <c r="C541" s="55" t="s">
        <v>1030</v>
      </c>
      <c r="D541" s="55"/>
      <c r="E541" s="55" t="s">
        <v>0</v>
      </c>
      <c r="F541" s="59">
        <v>1</v>
      </c>
    </row>
    <row r="542" spans="1:6">
      <c r="A542" s="54" t="s">
        <v>71</v>
      </c>
      <c r="B542" s="55" t="s">
        <v>615</v>
      </c>
      <c r="C542" s="55" t="s">
        <v>1035</v>
      </c>
      <c r="D542" s="55"/>
      <c r="E542" s="55" t="s">
        <v>0</v>
      </c>
      <c r="F542" s="59">
        <v>237</v>
      </c>
    </row>
    <row r="543" spans="1:6">
      <c r="A543" s="54" t="s">
        <v>233</v>
      </c>
      <c r="B543" s="55" t="s">
        <v>615</v>
      </c>
      <c r="C543" s="55" t="s">
        <v>1027</v>
      </c>
      <c r="D543" s="55"/>
      <c r="E543" s="55" t="s">
        <v>0</v>
      </c>
      <c r="F543" s="59">
        <v>0</v>
      </c>
    </row>
    <row r="544" spans="1:6">
      <c r="A544" s="54" t="s">
        <v>291</v>
      </c>
      <c r="B544" s="55" t="s">
        <v>615</v>
      </c>
      <c r="C544" s="55" t="s">
        <v>1030</v>
      </c>
      <c r="D544" s="55"/>
      <c r="E544" s="55" t="s">
        <v>0</v>
      </c>
      <c r="F544" s="59">
        <v>4</v>
      </c>
    </row>
    <row r="545" spans="1:6">
      <c r="A545" s="54" t="s">
        <v>269</v>
      </c>
      <c r="B545" s="55" t="s">
        <v>615</v>
      </c>
      <c r="C545" s="55" t="s">
        <v>1035</v>
      </c>
      <c r="D545" s="55"/>
      <c r="E545" s="55" t="s">
        <v>0</v>
      </c>
      <c r="F545" s="59">
        <v>3</v>
      </c>
    </row>
    <row r="546" spans="1:6">
      <c r="A546" s="54" t="s">
        <v>72</v>
      </c>
      <c r="B546" s="55" t="s">
        <v>615</v>
      </c>
      <c r="C546" s="55" t="s">
        <v>1027</v>
      </c>
      <c r="D546" s="55"/>
      <c r="E546" s="55" t="s">
        <v>0</v>
      </c>
      <c r="F546" s="59">
        <v>50</v>
      </c>
    </row>
    <row r="547" spans="1:6">
      <c r="A547" s="54" t="s">
        <v>297</v>
      </c>
      <c r="B547" s="55" t="s">
        <v>615</v>
      </c>
      <c r="C547" s="55" t="s">
        <v>1027</v>
      </c>
      <c r="D547" s="55"/>
      <c r="E547" s="55" t="s">
        <v>0</v>
      </c>
      <c r="F547" s="59">
        <v>36</v>
      </c>
    </row>
    <row r="548" spans="1:6">
      <c r="A548" s="54" t="s">
        <v>284</v>
      </c>
      <c r="B548" s="55" t="s">
        <v>615</v>
      </c>
      <c r="C548" s="55" t="s">
        <v>1027</v>
      </c>
      <c r="D548" s="55"/>
      <c r="E548" s="55" t="s">
        <v>0</v>
      </c>
      <c r="F548" s="59">
        <v>0</v>
      </c>
    </row>
    <row r="549" spans="1:6">
      <c r="A549" s="54" t="s">
        <v>73</v>
      </c>
      <c r="B549" s="55" t="s">
        <v>615</v>
      </c>
      <c r="C549" s="55" t="s">
        <v>1030</v>
      </c>
      <c r="D549" s="55"/>
      <c r="E549" s="55" t="s">
        <v>0</v>
      </c>
      <c r="F549" s="59">
        <v>250</v>
      </c>
    </row>
    <row r="550" spans="1:6">
      <c r="A550" s="54" t="s">
        <v>341</v>
      </c>
      <c r="B550" s="55" t="s">
        <v>615</v>
      </c>
      <c r="C550" s="55" t="s">
        <v>1027</v>
      </c>
      <c r="D550" s="55"/>
      <c r="E550" s="55" t="s">
        <v>0</v>
      </c>
      <c r="F550" s="59">
        <v>51</v>
      </c>
    </row>
    <row r="551" spans="1:6">
      <c r="A551" s="54" t="s">
        <v>75</v>
      </c>
      <c r="B551" s="55" t="s">
        <v>615</v>
      </c>
      <c r="C551" s="55" t="s">
        <v>1027</v>
      </c>
      <c r="D551" s="55"/>
      <c r="E551" s="55" t="s">
        <v>0</v>
      </c>
      <c r="F551" s="59">
        <v>50</v>
      </c>
    </row>
    <row r="552" spans="1:6">
      <c r="A552" s="54" t="s">
        <v>445</v>
      </c>
      <c r="B552" s="55" t="s">
        <v>615</v>
      </c>
      <c r="C552" s="55" t="s">
        <v>1030</v>
      </c>
      <c r="D552" s="55"/>
      <c r="E552" s="55" t="s">
        <v>0</v>
      </c>
      <c r="F552" s="59">
        <v>4</v>
      </c>
    </row>
    <row r="553" spans="1:6">
      <c r="A553" s="54" t="s">
        <v>74</v>
      </c>
      <c r="B553" s="55" t="s">
        <v>615</v>
      </c>
      <c r="C553" s="55" t="s">
        <v>1027</v>
      </c>
      <c r="D553" s="55"/>
      <c r="E553" s="55" t="s">
        <v>0</v>
      </c>
      <c r="F553" s="59">
        <v>164</v>
      </c>
    </row>
    <row r="554" spans="1:6">
      <c r="A554" s="54" t="s">
        <v>234</v>
      </c>
      <c r="B554" s="55" t="s">
        <v>615</v>
      </c>
      <c r="C554" s="55" t="s">
        <v>1030</v>
      </c>
      <c r="D554" s="55"/>
      <c r="E554" s="55" t="s">
        <v>0</v>
      </c>
      <c r="F554" s="59">
        <v>54</v>
      </c>
    </row>
    <row r="555" spans="1:6">
      <c r="A555" s="54" t="s">
        <v>77</v>
      </c>
      <c r="B555" s="55" t="s">
        <v>615</v>
      </c>
      <c r="C555" s="55" t="s">
        <v>1035</v>
      </c>
      <c r="D555" s="55"/>
      <c r="E555" s="55" t="s">
        <v>0</v>
      </c>
      <c r="F555" s="59">
        <v>90</v>
      </c>
    </row>
    <row r="556" spans="1:6">
      <c r="A556" s="54" t="s">
        <v>77</v>
      </c>
      <c r="B556" s="55" t="s">
        <v>615</v>
      </c>
      <c r="C556" s="55" t="s">
        <v>1028</v>
      </c>
      <c r="D556" s="55"/>
      <c r="E556" s="55" t="s">
        <v>0</v>
      </c>
      <c r="F556" s="59">
        <v>82</v>
      </c>
    </row>
    <row r="557" spans="1:6">
      <c r="A557" s="54" t="s">
        <v>306</v>
      </c>
      <c r="B557" s="55" t="s">
        <v>615</v>
      </c>
      <c r="C557" s="55" t="s">
        <v>1027</v>
      </c>
      <c r="D557" s="55"/>
      <c r="E557" s="55" t="s">
        <v>0</v>
      </c>
      <c r="F557" s="59">
        <v>37</v>
      </c>
    </row>
    <row r="558" spans="1:6">
      <c r="A558" s="54" t="s">
        <v>76</v>
      </c>
      <c r="B558" s="55" t="s">
        <v>615</v>
      </c>
      <c r="C558" s="55" t="s">
        <v>1035</v>
      </c>
      <c r="D558" s="55"/>
      <c r="E558" s="55" t="s">
        <v>0</v>
      </c>
      <c r="F558" s="59">
        <v>45</v>
      </c>
    </row>
    <row r="559" spans="1:6">
      <c r="A559" s="54" t="s">
        <v>268</v>
      </c>
      <c r="B559" s="55" t="s">
        <v>615</v>
      </c>
      <c r="C559" s="55" t="s">
        <v>1027</v>
      </c>
      <c r="D559" s="55"/>
      <c r="E559" s="55" t="s">
        <v>0</v>
      </c>
      <c r="F559" s="59">
        <v>0</v>
      </c>
    </row>
    <row r="560" spans="1:6">
      <c r="A560" s="54" t="s">
        <v>78</v>
      </c>
      <c r="B560" s="55" t="s">
        <v>615</v>
      </c>
      <c r="C560" s="55" t="s">
        <v>1030</v>
      </c>
      <c r="D560" s="55"/>
      <c r="E560" s="55" t="s">
        <v>0</v>
      </c>
      <c r="F560" s="59">
        <v>144</v>
      </c>
    </row>
    <row r="561" spans="1:6">
      <c r="A561" s="54" t="s">
        <v>354</v>
      </c>
      <c r="B561" s="55" t="s">
        <v>615</v>
      </c>
      <c r="C561" s="55" t="s">
        <v>1035</v>
      </c>
      <c r="D561" s="55"/>
      <c r="E561" s="55" t="s">
        <v>0</v>
      </c>
      <c r="F561" s="59">
        <v>50</v>
      </c>
    </row>
    <row r="562" spans="1:6">
      <c r="A562" s="54" t="s">
        <v>79</v>
      </c>
      <c r="B562" s="55" t="s">
        <v>615</v>
      </c>
      <c r="C562" s="55" t="s">
        <v>1027</v>
      </c>
      <c r="D562" s="55"/>
      <c r="E562" s="55" t="s">
        <v>0</v>
      </c>
      <c r="F562" s="59">
        <v>31</v>
      </c>
    </row>
    <row r="563" spans="1:6">
      <c r="A563" s="54" t="s">
        <v>298</v>
      </c>
      <c r="B563" s="55" t="s">
        <v>615</v>
      </c>
      <c r="C563" s="55" t="s">
        <v>1030</v>
      </c>
      <c r="D563" s="55"/>
      <c r="E563" s="55" t="s">
        <v>0</v>
      </c>
      <c r="F563" s="59">
        <v>75</v>
      </c>
    </row>
    <row r="564" spans="1:6">
      <c r="A564" s="54" t="s">
        <v>80</v>
      </c>
      <c r="B564" s="55" t="s">
        <v>615</v>
      </c>
      <c r="C564" s="55" t="s">
        <v>1027</v>
      </c>
      <c r="D564" s="55"/>
      <c r="E564" s="55" t="s">
        <v>0</v>
      </c>
      <c r="F564" s="59">
        <v>40</v>
      </c>
    </row>
    <row r="565" spans="1:6">
      <c r="A565" s="54" t="s">
        <v>285</v>
      </c>
      <c r="B565" s="55" t="s">
        <v>615</v>
      </c>
      <c r="C565" s="55" t="s">
        <v>1035</v>
      </c>
      <c r="D565" s="55"/>
      <c r="E565" s="55" t="s">
        <v>0</v>
      </c>
      <c r="F565" s="59">
        <v>12</v>
      </c>
    </row>
    <row r="566" spans="1:6">
      <c r="A566" s="54" t="s">
        <v>81</v>
      </c>
      <c r="B566" s="55" t="s">
        <v>615</v>
      </c>
      <c r="C566" s="55" t="s">
        <v>1027</v>
      </c>
      <c r="D566" s="55"/>
      <c r="E566" s="55" t="s">
        <v>0</v>
      </c>
      <c r="F566" s="59">
        <v>118</v>
      </c>
    </row>
    <row r="567" spans="1:6">
      <c r="A567" s="54" t="s">
        <v>343</v>
      </c>
      <c r="B567" s="55" t="s">
        <v>615</v>
      </c>
      <c r="C567" s="55" t="s">
        <v>1030</v>
      </c>
      <c r="D567" s="55"/>
      <c r="E567" s="55" t="s">
        <v>0</v>
      </c>
      <c r="F567" s="59">
        <v>25</v>
      </c>
    </row>
    <row r="568" spans="1:6">
      <c r="A568" s="54" t="s">
        <v>5</v>
      </c>
      <c r="B568" s="55" t="s">
        <v>615</v>
      </c>
      <c r="C568" s="55" t="s">
        <v>1027</v>
      </c>
      <c r="D568" s="55"/>
      <c r="E568" s="55" t="s">
        <v>0</v>
      </c>
      <c r="F568" s="59">
        <v>25</v>
      </c>
    </row>
    <row r="569" spans="1:6">
      <c r="A569" s="54" t="s">
        <v>346</v>
      </c>
      <c r="B569" s="55" t="s">
        <v>615</v>
      </c>
      <c r="C569" s="55" t="s">
        <v>1035</v>
      </c>
      <c r="D569" s="55"/>
      <c r="E569" s="55" t="s">
        <v>0</v>
      </c>
      <c r="F569" s="59">
        <v>1</v>
      </c>
    </row>
    <row r="570" spans="1:6">
      <c r="A570" s="54" t="s">
        <v>6</v>
      </c>
      <c r="B570" s="55" t="s">
        <v>615</v>
      </c>
      <c r="C570" s="55" t="s">
        <v>1027</v>
      </c>
      <c r="D570" s="55"/>
      <c r="E570" s="55" t="s">
        <v>0</v>
      </c>
      <c r="F570" s="59">
        <v>7</v>
      </c>
    </row>
    <row r="571" spans="1:6">
      <c r="A571" s="54" t="s">
        <v>235</v>
      </c>
      <c r="B571" s="55" t="s">
        <v>615</v>
      </c>
      <c r="C571" s="55" t="s">
        <v>1035</v>
      </c>
      <c r="D571" s="55"/>
      <c r="E571" s="55" t="s">
        <v>0</v>
      </c>
      <c r="F571" s="59">
        <v>59</v>
      </c>
    </row>
    <row r="572" spans="1:6">
      <c r="A572" s="54" t="s">
        <v>307</v>
      </c>
      <c r="B572" s="55" t="s">
        <v>615</v>
      </c>
      <c r="C572" s="55" t="s">
        <v>1027</v>
      </c>
      <c r="D572" s="55"/>
      <c r="E572" s="55" t="s">
        <v>0</v>
      </c>
      <c r="F572" s="59">
        <v>0</v>
      </c>
    </row>
    <row r="573" spans="1:6">
      <c r="A573" s="54" t="s">
        <v>153</v>
      </c>
      <c r="B573" s="55" t="s">
        <v>615</v>
      </c>
      <c r="C573" s="55" t="s">
        <v>1030</v>
      </c>
      <c r="D573" s="55"/>
      <c r="E573" s="55" t="s">
        <v>0</v>
      </c>
      <c r="F573" s="59">
        <v>50</v>
      </c>
    </row>
    <row r="574" spans="1:6">
      <c r="A574" s="54" t="s">
        <v>267</v>
      </c>
      <c r="B574" s="55" t="s">
        <v>615</v>
      </c>
      <c r="C574" s="55" t="s">
        <v>1027</v>
      </c>
      <c r="D574" s="55"/>
      <c r="E574" s="55" t="s">
        <v>0</v>
      </c>
      <c r="F574" s="59">
        <v>44</v>
      </c>
    </row>
    <row r="575" spans="1:6">
      <c r="A575" s="54" t="s">
        <v>8</v>
      </c>
      <c r="B575" s="55" t="s">
        <v>615</v>
      </c>
      <c r="C575" s="55" t="s">
        <v>1035</v>
      </c>
      <c r="D575" s="55"/>
      <c r="E575" s="55" t="s">
        <v>0</v>
      </c>
      <c r="F575" s="59">
        <v>20</v>
      </c>
    </row>
    <row r="576" spans="1:6">
      <c r="A576" s="54" t="s">
        <v>353</v>
      </c>
      <c r="B576" s="55" t="s">
        <v>615</v>
      </c>
      <c r="C576" s="55" t="s">
        <v>1027</v>
      </c>
      <c r="D576" s="55"/>
      <c r="E576" s="55" t="s">
        <v>0</v>
      </c>
      <c r="F576" s="59">
        <v>0</v>
      </c>
    </row>
    <row r="577" spans="1:6">
      <c r="A577" s="54" t="s">
        <v>154</v>
      </c>
      <c r="B577" s="55" t="s">
        <v>615</v>
      </c>
      <c r="C577" s="55" t="s">
        <v>1027</v>
      </c>
      <c r="D577" s="55"/>
      <c r="E577" s="55" t="s">
        <v>0</v>
      </c>
      <c r="F577" s="59">
        <v>22</v>
      </c>
    </row>
    <row r="578" spans="1:6">
      <c r="A578" s="54" t="s">
        <v>299</v>
      </c>
      <c r="B578" s="55" t="s">
        <v>615</v>
      </c>
      <c r="C578" s="55" t="s">
        <v>1030</v>
      </c>
      <c r="D578" s="55"/>
      <c r="E578" s="55" t="s">
        <v>0</v>
      </c>
      <c r="F578" s="59">
        <v>71</v>
      </c>
    </row>
    <row r="579" spans="1:6">
      <c r="A579" s="54" t="s">
        <v>155</v>
      </c>
      <c r="B579" s="55" t="s">
        <v>615</v>
      </c>
      <c r="C579" s="55" t="s">
        <v>1027</v>
      </c>
      <c r="D579" s="55"/>
      <c r="E579" s="55" t="s">
        <v>0</v>
      </c>
      <c r="F579" s="59">
        <v>59</v>
      </c>
    </row>
    <row r="580" spans="1:6">
      <c r="A580" s="54" t="s">
        <v>286</v>
      </c>
      <c r="B580" s="55" t="s">
        <v>615</v>
      </c>
      <c r="C580" s="55" t="s">
        <v>1035</v>
      </c>
      <c r="D580" s="55"/>
      <c r="E580" s="55" t="s">
        <v>0</v>
      </c>
      <c r="F580" s="59">
        <v>47</v>
      </c>
    </row>
    <row r="581" spans="1:6">
      <c r="A581" s="54" t="s">
        <v>156</v>
      </c>
      <c r="B581" s="55" t="s">
        <v>615</v>
      </c>
      <c r="C581" s="55" t="s">
        <v>1027</v>
      </c>
      <c r="D581" s="55"/>
      <c r="E581" s="55" t="s">
        <v>0</v>
      </c>
      <c r="F581" s="59">
        <v>98</v>
      </c>
    </row>
    <row r="582" spans="1:6">
      <c r="A582" s="54" t="s">
        <v>342</v>
      </c>
      <c r="B582" s="55" t="s">
        <v>615</v>
      </c>
      <c r="C582" s="55" t="s">
        <v>1030</v>
      </c>
      <c r="D582" s="55"/>
      <c r="E582" s="55" t="s">
        <v>0</v>
      </c>
      <c r="F582" s="59">
        <v>75</v>
      </c>
    </row>
    <row r="583" spans="1:6">
      <c r="A583" s="54" t="s">
        <v>158</v>
      </c>
      <c r="B583" s="55" t="s">
        <v>615</v>
      </c>
      <c r="C583" s="55" t="s">
        <v>1027</v>
      </c>
      <c r="D583" s="55"/>
      <c r="E583" s="55" t="s">
        <v>0</v>
      </c>
      <c r="F583" s="59">
        <v>129</v>
      </c>
    </row>
    <row r="584" spans="1:6">
      <c r="A584" s="54" t="s">
        <v>157</v>
      </c>
      <c r="B584" s="55" t="s">
        <v>615</v>
      </c>
      <c r="C584" s="55" t="s">
        <v>1035</v>
      </c>
      <c r="D584" s="55"/>
      <c r="E584" s="55" t="s">
        <v>0</v>
      </c>
      <c r="F584" s="59">
        <v>45</v>
      </c>
    </row>
    <row r="585" spans="1:6">
      <c r="A585" s="54" t="s">
        <v>515</v>
      </c>
      <c r="B585" s="55" t="s">
        <v>615</v>
      </c>
      <c r="C585" s="55" t="s">
        <v>1027</v>
      </c>
      <c r="D585" s="55"/>
      <c r="E585" s="55" t="s">
        <v>0</v>
      </c>
      <c r="F585" s="59">
        <v>35</v>
      </c>
    </row>
    <row r="586" spans="1:6">
      <c r="A586" s="54" t="s">
        <v>2</v>
      </c>
      <c r="B586" s="55" t="s">
        <v>615</v>
      </c>
      <c r="C586" s="55" t="s">
        <v>1035</v>
      </c>
      <c r="D586" s="55"/>
      <c r="E586" s="55" t="s">
        <v>0</v>
      </c>
      <c r="F586" s="59">
        <v>33</v>
      </c>
    </row>
    <row r="587" spans="1:6">
      <c r="A587" s="54" t="s">
        <v>475</v>
      </c>
      <c r="B587" s="55" t="s">
        <v>615</v>
      </c>
      <c r="C587" s="55" t="s">
        <v>1027</v>
      </c>
      <c r="D587" s="55"/>
      <c r="E587" s="55" t="s">
        <v>0</v>
      </c>
      <c r="F587" s="59">
        <v>0</v>
      </c>
    </row>
    <row r="588" spans="1:6">
      <c r="A588" s="54" t="s">
        <v>523</v>
      </c>
      <c r="B588" s="55" t="s">
        <v>615</v>
      </c>
      <c r="C588" s="55" t="s">
        <v>1030</v>
      </c>
      <c r="D588" s="55"/>
      <c r="E588" s="55" t="s">
        <v>0</v>
      </c>
      <c r="F588" s="59">
        <v>10</v>
      </c>
    </row>
    <row r="589" spans="1:6">
      <c r="A589" s="54" t="s">
        <v>523</v>
      </c>
      <c r="B589" s="55" t="s">
        <v>615</v>
      </c>
      <c r="C589" s="55" t="s">
        <v>1027</v>
      </c>
      <c r="D589" s="55"/>
      <c r="E589" s="55" t="s">
        <v>0</v>
      </c>
      <c r="F589" s="59">
        <v>450</v>
      </c>
    </row>
    <row r="590" spans="1:6">
      <c r="A590" s="54" t="s">
        <v>209</v>
      </c>
      <c r="B590" s="55" t="s">
        <v>615</v>
      </c>
      <c r="C590" s="55" t="s">
        <v>1035</v>
      </c>
      <c r="D590" s="55"/>
      <c r="E590" s="55" t="s">
        <v>0</v>
      </c>
      <c r="F590" s="59">
        <v>21</v>
      </c>
    </row>
    <row r="591" spans="1:6">
      <c r="A591" s="54" t="s">
        <v>355</v>
      </c>
      <c r="B591" s="55" t="s">
        <v>615</v>
      </c>
      <c r="C591" s="55" t="s">
        <v>1027</v>
      </c>
      <c r="D591" s="55"/>
      <c r="E591" s="55" t="s">
        <v>0</v>
      </c>
      <c r="F591" s="59">
        <v>6</v>
      </c>
    </row>
    <row r="592" spans="1:6">
      <c r="A592" s="54" t="s">
        <v>3</v>
      </c>
      <c r="B592" s="55" t="s">
        <v>615</v>
      </c>
      <c r="C592" s="55" t="s">
        <v>1035</v>
      </c>
      <c r="D592" s="55"/>
      <c r="E592" s="55" t="s">
        <v>0</v>
      </c>
      <c r="F592" s="59">
        <v>590</v>
      </c>
    </row>
    <row r="593" spans="1:6">
      <c r="A593" s="54" t="s">
        <v>265</v>
      </c>
      <c r="B593" s="55" t="s">
        <v>615</v>
      </c>
      <c r="C593" s="55" t="s">
        <v>1027</v>
      </c>
      <c r="D593" s="55"/>
      <c r="E593" s="55" t="s">
        <v>0</v>
      </c>
      <c r="F593" s="59">
        <v>0</v>
      </c>
    </row>
    <row r="594" spans="1:6">
      <c r="A594" s="54" t="s">
        <v>507</v>
      </c>
      <c r="B594" s="55" t="s">
        <v>615</v>
      </c>
      <c r="C594" s="55" t="s">
        <v>1027</v>
      </c>
      <c r="D594" s="55"/>
      <c r="E594" s="55" t="s">
        <v>0</v>
      </c>
      <c r="F594" s="59">
        <v>1</v>
      </c>
    </row>
    <row r="595" spans="1:6">
      <c r="A595" s="54" t="s">
        <v>493</v>
      </c>
      <c r="B595" s="55" t="s">
        <v>615</v>
      </c>
      <c r="C595" s="55" t="s">
        <v>1028</v>
      </c>
      <c r="D595" s="55"/>
      <c r="E595" s="55" t="s">
        <v>0</v>
      </c>
      <c r="F595" s="59">
        <v>19</v>
      </c>
    </row>
    <row r="596" spans="1:6">
      <c r="A596" s="54" t="s">
        <v>493</v>
      </c>
      <c r="B596" s="55" t="s">
        <v>615</v>
      </c>
      <c r="C596" s="55" t="s">
        <v>1030</v>
      </c>
      <c r="D596" s="55"/>
      <c r="E596" s="55" t="s">
        <v>0</v>
      </c>
      <c r="F596" s="59">
        <v>414</v>
      </c>
    </row>
    <row r="597" spans="1:6">
      <c r="A597" s="54" t="s">
        <v>197</v>
      </c>
      <c r="B597" s="55" t="s">
        <v>615</v>
      </c>
      <c r="C597" s="55" t="s">
        <v>1028</v>
      </c>
      <c r="D597" s="55"/>
      <c r="E597" s="55" t="s">
        <v>0</v>
      </c>
      <c r="F597" s="59">
        <v>201</v>
      </c>
    </row>
    <row r="598" spans="1:6">
      <c r="A598" s="54" t="s">
        <v>197</v>
      </c>
      <c r="B598" s="55" t="s">
        <v>615</v>
      </c>
      <c r="C598" s="55" t="s">
        <v>1027</v>
      </c>
      <c r="D598" s="55"/>
      <c r="E598" s="55" t="s">
        <v>0</v>
      </c>
      <c r="F598" s="59">
        <v>22</v>
      </c>
    </row>
    <row r="599" spans="1:6">
      <c r="A599" s="54" t="s">
        <v>556</v>
      </c>
      <c r="B599" s="55" t="s">
        <v>615</v>
      </c>
      <c r="C599" s="55" t="s">
        <v>1035</v>
      </c>
      <c r="D599" s="55"/>
      <c r="E599" s="55" t="s">
        <v>0</v>
      </c>
      <c r="F599" s="59">
        <v>26</v>
      </c>
    </row>
    <row r="600" spans="1:6">
      <c r="A600" s="54" t="s">
        <v>556</v>
      </c>
      <c r="B600" s="55" t="s">
        <v>615</v>
      </c>
      <c r="C600" s="55" t="s">
        <v>1027</v>
      </c>
      <c r="D600" s="55"/>
      <c r="E600" s="55" t="s">
        <v>0</v>
      </c>
      <c r="F600" s="59">
        <v>630</v>
      </c>
    </row>
    <row r="601" spans="1:6">
      <c r="A601" s="54" t="s">
        <v>190</v>
      </c>
      <c r="B601" s="55" t="s">
        <v>615</v>
      </c>
      <c r="C601" s="55" t="s">
        <v>1027</v>
      </c>
      <c r="D601" s="55"/>
      <c r="E601" s="55" t="s">
        <v>0</v>
      </c>
      <c r="F601" s="59">
        <v>117</v>
      </c>
    </row>
    <row r="602" spans="1:6">
      <c r="A602" s="54" t="s">
        <v>190</v>
      </c>
      <c r="B602" s="55" t="s">
        <v>615</v>
      </c>
      <c r="C602" s="55" t="s">
        <v>1027</v>
      </c>
      <c r="D602" s="55"/>
      <c r="E602" s="55" t="s">
        <v>0</v>
      </c>
      <c r="F602" s="59">
        <v>27</v>
      </c>
    </row>
    <row r="603" spans="1:6">
      <c r="A603" s="54" t="s">
        <v>277</v>
      </c>
      <c r="B603" s="55" t="s">
        <v>615</v>
      </c>
      <c r="C603" s="55" t="s">
        <v>1028</v>
      </c>
      <c r="D603" s="55"/>
      <c r="E603" s="55" t="s">
        <v>0</v>
      </c>
      <c r="F603" s="59">
        <v>28</v>
      </c>
    </row>
    <row r="604" spans="1:6">
      <c r="A604" s="54" t="s">
        <v>82</v>
      </c>
      <c r="B604" s="55" t="s">
        <v>615</v>
      </c>
      <c r="C604" s="55" t="s">
        <v>1030</v>
      </c>
      <c r="D604" s="55"/>
      <c r="E604" s="55" t="s">
        <v>0</v>
      </c>
      <c r="F604" s="59">
        <v>100</v>
      </c>
    </row>
    <row r="605" spans="1:6">
      <c r="A605" s="54" t="s">
        <v>448</v>
      </c>
      <c r="B605" s="55" t="s">
        <v>615</v>
      </c>
      <c r="C605" s="55" t="s">
        <v>1028</v>
      </c>
      <c r="D605" s="55"/>
      <c r="E605" s="55" t="s">
        <v>0</v>
      </c>
      <c r="F605" s="59">
        <v>177</v>
      </c>
    </row>
    <row r="606" spans="1:6">
      <c r="A606" s="54" t="s">
        <v>359</v>
      </c>
      <c r="B606" s="55" t="s">
        <v>615</v>
      </c>
      <c r="C606" s="55" t="s">
        <v>1027</v>
      </c>
      <c r="D606" s="55"/>
      <c r="E606" s="55" t="s">
        <v>0</v>
      </c>
      <c r="F606" s="59">
        <v>3</v>
      </c>
    </row>
    <row r="607" spans="1:6">
      <c r="A607" s="54" t="s">
        <v>359</v>
      </c>
      <c r="B607" s="55" t="s">
        <v>615</v>
      </c>
      <c r="C607" s="55" t="s">
        <v>1028</v>
      </c>
      <c r="D607" s="55"/>
      <c r="E607" s="55" t="s">
        <v>0</v>
      </c>
      <c r="F607" s="59">
        <v>3</v>
      </c>
    </row>
    <row r="608" spans="1:6">
      <c r="A608" s="54" t="s">
        <v>961</v>
      </c>
      <c r="B608" s="55" t="s">
        <v>615</v>
      </c>
      <c r="C608" s="55" t="s">
        <v>1030</v>
      </c>
      <c r="D608" s="55"/>
      <c r="E608" s="55" t="s">
        <v>0</v>
      </c>
      <c r="F608" s="59">
        <v>520</v>
      </c>
    </row>
    <row r="609" spans="1:6">
      <c r="A609" s="54" t="s">
        <v>961</v>
      </c>
      <c r="B609" s="55" t="s">
        <v>615</v>
      </c>
      <c r="C609" s="55" t="s">
        <v>1035</v>
      </c>
      <c r="D609" s="55"/>
      <c r="E609" s="55" t="s">
        <v>0</v>
      </c>
      <c r="F609" s="59">
        <v>160</v>
      </c>
    </row>
    <row r="610" spans="1:6">
      <c r="A610" s="54" t="s">
        <v>977</v>
      </c>
      <c r="B610" s="55" t="s">
        <v>615</v>
      </c>
      <c r="C610" s="55" t="s">
        <v>1028</v>
      </c>
      <c r="D610" s="55"/>
      <c r="E610" s="55" t="s">
        <v>0</v>
      </c>
      <c r="F610" s="59">
        <v>281</v>
      </c>
    </row>
    <row r="611" spans="1:6">
      <c r="A611" s="54" t="s">
        <v>977</v>
      </c>
      <c r="B611" s="55" t="s">
        <v>615</v>
      </c>
      <c r="C611" s="55" t="s">
        <v>1027</v>
      </c>
      <c r="D611" s="55"/>
      <c r="E611" s="55" t="s">
        <v>0</v>
      </c>
      <c r="F611" s="59">
        <v>433</v>
      </c>
    </row>
    <row r="612" spans="1:6">
      <c r="A612" s="54" t="s">
        <v>961</v>
      </c>
      <c r="B612" s="55" t="s">
        <v>615</v>
      </c>
      <c r="C612" s="55" t="s">
        <v>1030</v>
      </c>
      <c r="D612" s="55"/>
      <c r="E612" s="55" t="s">
        <v>0</v>
      </c>
      <c r="F612" s="59">
        <v>155</v>
      </c>
    </row>
    <row r="613" spans="1:6">
      <c r="A613" s="54" t="s">
        <v>961</v>
      </c>
      <c r="B613" s="55" t="s">
        <v>615</v>
      </c>
      <c r="C613" s="55" t="s">
        <v>1027</v>
      </c>
      <c r="D613" s="55"/>
      <c r="E613" s="55" t="s">
        <v>0</v>
      </c>
      <c r="F613" s="59">
        <v>23</v>
      </c>
    </row>
    <row r="614" spans="1:6">
      <c r="A614" s="54" t="s">
        <v>324</v>
      </c>
      <c r="B614" s="55" t="s">
        <v>615</v>
      </c>
      <c r="C614" s="55" t="s">
        <v>1027</v>
      </c>
      <c r="D614" s="55"/>
      <c r="E614" s="55" t="s">
        <v>0</v>
      </c>
      <c r="F614" s="59">
        <v>8</v>
      </c>
    </row>
    <row r="615" spans="1:6">
      <c r="A615" s="54" t="s">
        <v>324</v>
      </c>
      <c r="B615" s="55" t="s">
        <v>615</v>
      </c>
      <c r="C615" s="55" t="s">
        <v>1029</v>
      </c>
      <c r="D615" s="55"/>
      <c r="E615" s="55" t="s">
        <v>0</v>
      </c>
      <c r="F615" s="59">
        <v>8</v>
      </c>
    </row>
    <row r="616" spans="1:6">
      <c r="A616" s="54" t="s">
        <v>9</v>
      </c>
      <c r="B616" s="55" t="s">
        <v>615</v>
      </c>
      <c r="C616" s="55" t="s">
        <v>1029</v>
      </c>
      <c r="D616" s="55"/>
      <c r="E616" s="55" t="s">
        <v>0</v>
      </c>
      <c r="F616" s="59">
        <v>170</v>
      </c>
    </row>
    <row r="617" spans="1:6">
      <c r="A617" s="54" t="s">
        <v>325</v>
      </c>
      <c r="B617" s="55" t="s">
        <v>615</v>
      </c>
      <c r="C617" s="55" t="s">
        <v>1028</v>
      </c>
      <c r="D617" s="55"/>
      <c r="E617" s="55" t="s">
        <v>0</v>
      </c>
      <c r="F617" s="59">
        <v>6</v>
      </c>
    </row>
    <row r="618" spans="1:6">
      <c r="A618" s="54" t="s">
        <v>4</v>
      </c>
      <c r="B618" s="55" t="s">
        <v>615</v>
      </c>
      <c r="C618" s="55" t="s">
        <v>1030</v>
      </c>
      <c r="D618" s="55"/>
      <c r="E618" s="55" t="s">
        <v>0</v>
      </c>
      <c r="F618" s="59">
        <v>75</v>
      </c>
    </row>
    <row r="619" spans="1:6">
      <c r="A619" s="54" t="s">
        <v>439</v>
      </c>
      <c r="B619" s="55" t="s">
        <v>615</v>
      </c>
      <c r="C619" s="55" t="s">
        <v>1035</v>
      </c>
      <c r="D619" s="55"/>
      <c r="E619" s="55" t="s">
        <v>0</v>
      </c>
      <c r="F619" s="59">
        <v>4</v>
      </c>
    </row>
    <row r="620" spans="1:6">
      <c r="A620" s="54" t="s">
        <v>663</v>
      </c>
      <c r="B620" s="55" t="s">
        <v>615</v>
      </c>
      <c r="C620" s="55" t="s">
        <v>1030</v>
      </c>
      <c r="D620" s="55"/>
      <c r="E620" s="55" t="s">
        <v>0</v>
      </c>
      <c r="F620" s="59">
        <v>33</v>
      </c>
    </row>
    <row r="621" spans="1:6">
      <c r="A621" s="54" t="s">
        <v>663</v>
      </c>
      <c r="B621" s="55" t="s">
        <v>615</v>
      </c>
      <c r="C621" s="55" t="s">
        <v>1028</v>
      </c>
      <c r="D621" s="55"/>
      <c r="E621" s="55" t="s">
        <v>0</v>
      </c>
      <c r="F621" s="59">
        <v>585</v>
      </c>
    </row>
    <row r="622" spans="1:6">
      <c r="A622" s="54" t="s">
        <v>663</v>
      </c>
      <c r="B622" s="55" t="s">
        <v>615</v>
      </c>
      <c r="C622" s="55" t="s">
        <v>1027</v>
      </c>
      <c r="D622" s="55"/>
      <c r="E622" s="55" t="s">
        <v>0</v>
      </c>
      <c r="F622" s="59">
        <v>1125</v>
      </c>
    </row>
    <row r="623" spans="1:6">
      <c r="A623" s="54" t="s">
        <v>661</v>
      </c>
      <c r="B623" s="55" t="s">
        <v>615</v>
      </c>
      <c r="C623" s="55" t="s">
        <v>1029</v>
      </c>
      <c r="D623" s="55"/>
      <c r="E623" s="55" t="s">
        <v>0</v>
      </c>
      <c r="F623" s="59">
        <v>2888</v>
      </c>
    </row>
    <row r="624" spans="1:6">
      <c r="A624" s="54" t="s">
        <v>661</v>
      </c>
      <c r="B624" s="55" t="s">
        <v>615</v>
      </c>
      <c r="C624" s="55" t="s">
        <v>1030</v>
      </c>
      <c r="D624" s="55"/>
      <c r="E624" s="55" t="s">
        <v>0</v>
      </c>
      <c r="F624" s="59">
        <v>3516</v>
      </c>
    </row>
    <row r="625" spans="1:6">
      <c r="A625" s="54" t="s">
        <v>663</v>
      </c>
      <c r="B625" s="55" t="s">
        <v>615</v>
      </c>
      <c r="C625" s="55" t="s">
        <v>1027</v>
      </c>
      <c r="D625" s="55"/>
      <c r="E625" s="55" t="s">
        <v>0</v>
      </c>
      <c r="F625" s="59">
        <v>6418</v>
      </c>
    </row>
    <row r="626" spans="1:6">
      <c r="A626" s="54" t="s">
        <v>663</v>
      </c>
      <c r="B626" s="55" t="s">
        <v>615</v>
      </c>
      <c r="C626" s="55" t="s">
        <v>1030</v>
      </c>
      <c r="D626" s="55"/>
      <c r="E626" s="55" t="s">
        <v>0</v>
      </c>
      <c r="F626" s="59">
        <v>3</v>
      </c>
    </row>
    <row r="627" spans="1:6">
      <c r="A627" s="54" t="s">
        <v>516</v>
      </c>
      <c r="B627" s="55" t="s">
        <v>615</v>
      </c>
      <c r="C627" s="55" t="s">
        <v>1027</v>
      </c>
      <c r="D627" s="55"/>
      <c r="E627" s="55" t="s">
        <v>0</v>
      </c>
      <c r="F627" s="59">
        <v>4</v>
      </c>
    </row>
    <row r="628" spans="1:6">
      <c r="A628" s="54" t="s">
        <v>1</v>
      </c>
      <c r="B628" s="55" t="s">
        <v>615</v>
      </c>
      <c r="C628" s="55" t="s">
        <v>1030</v>
      </c>
      <c r="D628" s="55"/>
      <c r="E628" s="55" t="s">
        <v>0</v>
      </c>
      <c r="F628" s="59">
        <v>104</v>
      </c>
    </row>
    <row r="629" spans="1:6">
      <c r="A629" s="54" t="s">
        <v>478</v>
      </c>
      <c r="B629" s="55" t="s">
        <v>615</v>
      </c>
      <c r="C629" s="55" t="s">
        <v>1027</v>
      </c>
      <c r="D629" s="55"/>
      <c r="E629" s="55" t="s">
        <v>0</v>
      </c>
      <c r="F629" s="59">
        <v>14</v>
      </c>
    </row>
    <row r="630" spans="1:6">
      <c r="A630" s="54" t="s">
        <v>183</v>
      </c>
      <c r="B630" s="55" t="s">
        <v>615</v>
      </c>
      <c r="C630" s="55" t="s">
        <v>1028</v>
      </c>
      <c r="D630" s="55"/>
      <c r="E630" s="55" t="s">
        <v>0</v>
      </c>
      <c r="F630" s="59">
        <v>64</v>
      </c>
    </row>
    <row r="631" spans="1:6">
      <c r="A631" s="54" t="s">
        <v>183</v>
      </c>
      <c r="B631" s="55" t="s">
        <v>615</v>
      </c>
      <c r="C631" s="55" t="s">
        <v>1030</v>
      </c>
      <c r="D631" s="55"/>
      <c r="E631" s="55" t="s">
        <v>0</v>
      </c>
      <c r="F631" s="59">
        <v>97</v>
      </c>
    </row>
    <row r="632" spans="1:6">
      <c r="A632" s="54" t="s">
        <v>478</v>
      </c>
      <c r="B632" s="55" t="s">
        <v>615</v>
      </c>
      <c r="C632" s="55" t="s">
        <v>1035</v>
      </c>
      <c r="D632" s="55"/>
      <c r="E632" s="55" t="s">
        <v>0</v>
      </c>
      <c r="F632" s="59">
        <v>32</v>
      </c>
    </row>
    <row r="633" spans="1:6">
      <c r="A633" s="54" t="s">
        <v>950</v>
      </c>
      <c r="B633" s="55" t="s">
        <v>615</v>
      </c>
      <c r="C633" s="55" t="s">
        <v>1030</v>
      </c>
      <c r="D633" s="55"/>
      <c r="E633" s="55" t="s">
        <v>0</v>
      </c>
      <c r="F633" s="59">
        <v>1703</v>
      </c>
    </row>
    <row r="634" spans="1:6">
      <c r="A634" s="54" t="s">
        <v>950</v>
      </c>
      <c r="B634" s="55" t="s">
        <v>615</v>
      </c>
      <c r="C634" s="55" t="s">
        <v>1028</v>
      </c>
      <c r="D634" s="55"/>
      <c r="E634" s="55" t="s">
        <v>0</v>
      </c>
      <c r="F634" s="59">
        <v>21</v>
      </c>
    </row>
    <row r="635" spans="1:6">
      <c r="A635" s="54" t="s">
        <v>950</v>
      </c>
      <c r="B635" s="55" t="s">
        <v>615</v>
      </c>
      <c r="C635" s="55" t="s">
        <v>1027</v>
      </c>
      <c r="D635" s="55"/>
      <c r="E635" s="55" t="s">
        <v>0</v>
      </c>
      <c r="F635" s="59">
        <v>10</v>
      </c>
    </row>
    <row r="636" spans="1:6">
      <c r="A636" s="54" t="s">
        <v>896</v>
      </c>
      <c r="B636" s="55" t="s">
        <v>615</v>
      </c>
      <c r="C636" s="55" t="s">
        <v>1027</v>
      </c>
      <c r="D636" s="55"/>
      <c r="E636" s="55" t="s">
        <v>0</v>
      </c>
      <c r="F636" s="59">
        <v>630</v>
      </c>
    </row>
    <row r="637" spans="1:6">
      <c r="A637" s="54" t="s">
        <v>902</v>
      </c>
      <c r="B637" s="55" t="s">
        <v>615</v>
      </c>
      <c r="C637" s="55" t="s">
        <v>1035</v>
      </c>
      <c r="D637" s="55"/>
      <c r="E637" s="55" t="s">
        <v>0</v>
      </c>
      <c r="F637" s="59">
        <v>949</v>
      </c>
    </row>
    <row r="638" spans="1:6">
      <c r="A638" s="54" t="s">
        <v>237</v>
      </c>
      <c r="B638" s="55" t="s">
        <v>615</v>
      </c>
      <c r="C638" s="55" t="s">
        <v>1030</v>
      </c>
      <c r="D638" s="55"/>
      <c r="E638" s="55" t="s">
        <v>0</v>
      </c>
      <c r="F638" s="59">
        <v>8</v>
      </c>
    </row>
    <row r="639" spans="1:6">
      <c r="A639" s="54" t="s">
        <v>236</v>
      </c>
      <c r="B639" s="55" t="s">
        <v>615</v>
      </c>
      <c r="C639" s="55" t="s">
        <v>1030</v>
      </c>
      <c r="D639" s="55"/>
      <c r="E639" s="55" t="s">
        <v>0</v>
      </c>
      <c r="F639" s="59">
        <v>282</v>
      </c>
    </row>
    <row r="640" spans="1:6">
      <c r="A640" s="54" t="s">
        <v>527</v>
      </c>
      <c r="B640" s="55" t="s">
        <v>615</v>
      </c>
      <c r="C640" s="55" t="s">
        <v>1028</v>
      </c>
      <c r="D640" s="55"/>
      <c r="E640" s="55" t="s">
        <v>0</v>
      </c>
      <c r="F640" s="59">
        <v>1</v>
      </c>
    </row>
    <row r="641" spans="1:6">
      <c r="A641" s="54" t="s">
        <v>83</v>
      </c>
      <c r="B641" s="55" t="s">
        <v>615</v>
      </c>
      <c r="C641" s="55" t="s">
        <v>1027</v>
      </c>
      <c r="D641" s="55"/>
      <c r="E641" s="55" t="s">
        <v>0</v>
      </c>
      <c r="F641" s="59">
        <v>330</v>
      </c>
    </row>
    <row r="642" spans="1:6">
      <c r="A642" s="54" t="s">
        <v>464</v>
      </c>
      <c r="B642" s="55" t="s">
        <v>615</v>
      </c>
      <c r="C642" s="55" t="s">
        <v>1037</v>
      </c>
      <c r="D642" s="55"/>
      <c r="E642" s="55" t="s">
        <v>0</v>
      </c>
      <c r="F642" s="59">
        <v>281</v>
      </c>
    </row>
    <row r="643" spans="1:6">
      <c r="A643" s="54" t="s">
        <v>84</v>
      </c>
      <c r="B643" s="55" t="s">
        <v>615</v>
      </c>
      <c r="C643" s="55" t="s">
        <v>1027</v>
      </c>
      <c r="D643" s="55"/>
      <c r="E643" s="55" t="s">
        <v>0</v>
      </c>
      <c r="F643" s="59">
        <v>32</v>
      </c>
    </row>
    <row r="644" spans="1:6">
      <c r="A644" s="54" t="s">
        <v>479</v>
      </c>
      <c r="B644" s="55" t="s">
        <v>615</v>
      </c>
      <c r="C644" s="55" t="s">
        <v>1027</v>
      </c>
      <c r="D644" s="55"/>
      <c r="E644" s="55" t="s">
        <v>0</v>
      </c>
      <c r="F644" s="59">
        <v>13</v>
      </c>
    </row>
    <row r="645" spans="1:6">
      <c r="A645" s="54" t="s">
        <v>480</v>
      </c>
      <c r="B645" s="55" t="s">
        <v>615</v>
      </c>
      <c r="C645" s="55" t="s">
        <v>1027</v>
      </c>
      <c r="D645" s="55"/>
      <c r="E645" s="55" t="s">
        <v>0</v>
      </c>
      <c r="F645" s="59">
        <v>168</v>
      </c>
    </row>
    <row r="646" spans="1:6">
      <c r="A646" s="54" t="s">
        <v>261</v>
      </c>
      <c r="B646" s="55" t="s">
        <v>615</v>
      </c>
      <c r="C646" s="55" t="s">
        <v>1030</v>
      </c>
      <c r="D646" s="55"/>
      <c r="E646" s="55" t="s">
        <v>0</v>
      </c>
      <c r="F646" s="59">
        <v>58</v>
      </c>
    </row>
    <row r="647" spans="1:6">
      <c r="A647" s="54" t="s">
        <v>85</v>
      </c>
      <c r="B647" s="55" t="s">
        <v>615</v>
      </c>
      <c r="C647" s="55" t="s">
        <v>1027</v>
      </c>
      <c r="D647" s="55"/>
      <c r="E647" s="55" t="s">
        <v>0</v>
      </c>
      <c r="F647" s="59">
        <v>796</v>
      </c>
    </row>
    <row r="648" spans="1:6">
      <c r="A648" s="54" t="s">
        <v>481</v>
      </c>
      <c r="B648" s="55" t="s">
        <v>615</v>
      </c>
      <c r="C648" s="55" t="s">
        <v>1028</v>
      </c>
      <c r="D648" s="55"/>
      <c r="E648" s="55" t="s">
        <v>0</v>
      </c>
      <c r="F648" s="59">
        <v>244</v>
      </c>
    </row>
    <row r="649" spans="1:6">
      <c r="A649" s="54" t="s">
        <v>86</v>
      </c>
      <c r="B649" s="55" t="s">
        <v>615</v>
      </c>
      <c r="C649" s="55" t="s">
        <v>1030</v>
      </c>
      <c r="D649" s="55"/>
      <c r="E649" s="55" t="s">
        <v>0</v>
      </c>
      <c r="F649" s="59">
        <v>11</v>
      </c>
    </row>
    <row r="650" spans="1:6">
      <c r="A650" s="54" t="s">
        <v>310</v>
      </c>
      <c r="B650" s="55" t="s">
        <v>615</v>
      </c>
      <c r="C650" s="55" t="s">
        <v>1027</v>
      </c>
      <c r="D650" s="55"/>
      <c r="E650" s="55" t="s">
        <v>0</v>
      </c>
      <c r="F650" s="59">
        <v>10736</v>
      </c>
    </row>
    <row r="651" spans="1:6">
      <c r="A651" s="54" t="s">
        <v>310</v>
      </c>
      <c r="B651" s="55" t="s">
        <v>615</v>
      </c>
      <c r="C651" s="55" t="s">
        <v>1030</v>
      </c>
      <c r="D651" s="55"/>
      <c r="E651" s="55" t="s">
        <v>0</v>
      </c>
      <c r="F651" s="59">
        <v>210</v>
      </c>
    </row>
    <row r="652" spans="1:6">
      <c r="A652" s="54" t="s">
        <v>87</v>
      </c>
      <c r="B652" s="55" t="s">
        <v>615</v>
      </c>
      <c r="C652" s="55" t="s">
        <v>1027</v>
      </c>
      <c r="D652" s="55"/>
      <c r="E652" s="55" t="s">
        <v>0</v>
      </c>
      <c r="F652" s="59">
        <v>4860</v>
      </c>
    </row>
    <row r="653" spans="1:6">
      <c r="A653" s="54" t="s">
        <v>87</v>
      </c>
      <c r="B653" s="55" t="s">
        <v>615</v>
      </c>
      <c r="C653" s="55" t="s">
        <v>1027</v>
      </c>
      <c r="D653" s="55"/>
      <c r="E653" s="55" t="s">
        <v>0</v>
      </c>
      <c r="F653" s="59">
        <v>10098</v>
      </c>
    </row>
    <row r="654" spans="1:6">
      <c r="A654" s="54" t="s">
        <v>310</v>
      </c>
      <c r="B654" s="55" t="s">
        <v>615</v>
      </c>
      <c r="C654" s="55" t="s">
        <v>1030</v>
      </c>
      <c r="D654" s="55"/>
      <c r="E654" s="55" t="s">
        <v>0</v>
      </c>
      <c r="F654" s="59">
        <v>130</v>
      </c>
    </row>
    <row r="655" spans="1:6">
      <c r="A655" s="54" t="s">
        <v>318</v>
      </c>
      <c r="B655" s="55" t="s">
        <v>615</v>
      </c>
      <c r="C655" s="55" t="s">
        <v>1027</v>
      </c>
      <c r="D655" s="55"/>
      <c r="E655" s="55" t="s">
        <v>0</v>
      </c>
      <c r="F655" s="59">
        <v>27</v>
      </c>
    </row>
    <row r="656" spans="1:6">
      <c r="A656" s="54" t="s">
        <v>89</v>
      </c>
      <c r="B656" s="55" t="s">
        <v>615</v>
      </c>
      <c r="C656" s="55" t="s">
        <v>1030</v>
      </c>
      <c r="D656" s="55"/>
      <c r="E656" s="55" t="s">
        <v>0</v>
      </c>
      <c r="F656" s="59">
        <v>140</v>
      </c>
    </row>
    <row r="657" spans="1:6">
      <c r="A657" s="54" t="s">
        <v>309</v>
      </c>
      <c r="B657" s="55" t="s">
        <v>615</v>
      </c>
      <c r="C657" s="55" t="s">
        <v>1027</v>
      </c>
      <c r="D657" s="55"/>
      <c r="E657" s="55" t="s">
        <v>0</v>
      </c>
      <c r="F657" s="59">
        <v>31</v>
      </c>
    </row>
    <row r="658" spans="1:6">
      <c r="A658" s="54" t="s">
        <v>308</v>
      </c>
      <c r="B658" s="55" t="s">
        <v>615</v>
      </c>
      <c r="C658" s="55" t="s">
        <v>1029</v>
      </c>
      <c r="D658" s="55"/>
      <c r="E658" s="55" t="s">
        <v>0</v>
      </c>
      <c r="F658" s="59">
        <v>43</v>
      </c>
    </row>
    <row r="659" spans="1:6">
      <c r="A659" s="54" t="s">
        <v>88</v>
      </c>
      <c r="B659" s="55" t="s">
        <v>615</v>
      </c>
      <c r="C659" s="55" t="s">
        <v>1028</v>
      </c>
      <c r="D659" s="55"/>
      <c r="E659" s="55" t="s">
        <v>0</v>
      </c>
      <c r="F659" s="59">
        <v>198</v>
      </c>
    </row>
    <row r="660" spans="1:6">
      <c r="A660" s="54" t="s">
        <v>635</v>
      </c>
      <c r="B660" s="55" t="s">
        <v>615</v>
      </c>
      <c r="C660" s="55" t="s">
        <v>1030</v>
      </c>
      <c r="D660" s="55"/>
      <c r="E660" s="55" t="s">
        <v>0</v>
      </c>
      <c r="F660" s="59">
        <v>726</v>
      </c>
    </row>
    <row r="661" spans="1:6">
      <c r="A661" s="54" t="s">
        <v>825</v>
      </c>
      <c r="B661" s="55" t="s">
        <v>615</v>
      </c>
      <c r="C661" s="55" t="s">
        <v>1031</v>
      </c>
      <c r="D661" s="55"/>
      <c r="E661" s="55" t="s">
        <v>0</v>
      </c>
      <c r="F661" s="59">
        <v>611</v>
      </c>
    </row>
    <row r="662" spans="1:6">
      <c r="A662" s="54" t="s">
        <v>825</v>
      </c>
      <c r="B662" s="55" t="s">
        <v>615</v>
      </c>
      <c r="C662" s="55" t="s">
        <v>1030</v>
      </c>
      <c r="D662" s="55"/>
      <c r="E662" s="55" t="s">
        <v>0</v>
      </c>
      <c r="F662" s="59">
        <v>411</v>
      </c>
    </row>
    <row r="663" spans="1:6">
      <c r="A663" s="54" t="s">
        <v>825</v>
      </c>
      <c r="B663" s="55" t="s">
        <v>615</v>
      </c>
      <c r="C663" s="55" t="s">
        <v>1028</v>
      </c>
      <c r="D663" s="55"/>
      <c r="E663" s="55" t="s">
        <v>0</v>
      </c>
      <c r="F663" s="59">
        <v>10</v>
      </c>
    </row>
    <row r="664" spans="1:6">
      <c r="A664" s="54">
        <v>8978760470</v>
      </c>
      <c r="B664" s="55" t="s">
        <v>615</v>
      </c>
      <c r="C664" s="55" t="s">
        <v>1027</v>
      </c>
      <c r="D664" s="55"/>
      <c r="E664" s="55" t="s">
        <v>0</v>
      </c>
      <c r="F664" s="59">
        <v>180</v>
      </c>
    </row>
    <row r="665" spans="1:6">
      <c r="A665" s="54" t="s">
        <v>238</v>
      </c>
      <c r="B665" s="55" t="s">
        <v>615</v>
      </c>
      <c r="C665" s="55" t="s">
        <v>1030</v>
      </c>
      <c r="D665" s="55"/>
      <c r="E665" s="55" t="s">
        <v>0</v>
      </c>
      <c r="F665" s="59">
        <v>26</v>
      </c>
    </row>
    <row r="666" spans="1:6">
      <c r="A666" s="54" t="s">
        <v>528</v>
      </c>
      <c r="B666" s="55" t="s">
        <v>615</v>
      </c>
      <c r="C666" s="55" t="s">
        <v>1027</v>
      </c>
      <c r="D666" s="55"/>
      <c r="E666" s="55" t="s">
        <v>0</v>
      </c>
      <c r="F666" s="59">
        <v>265</v>
      </c>
    </row>
    <row r="667" spans="1:6">
      <c r="A667" s="54" t="s">
        <v>90</v>
      </c>
      <c r="B667" s="55" t="s">
        <v>615</v>
      </c>
      <c r="C667" s="55" t="s">
        <v>1027</v>
      </c>
      <c r="D667" s="55"/>
      <c r="E667" s="55" t="s">
        <v>0</v>
      </c>
      <c r="F667" s="59">
        <v>420</v>
      </c>
    </row>
    <row r="668" spans="1:6">
      <c r="A668" s="54" t="s">
        <v>91</v>
      </c>
      <c r="B668" s="55" t="s">
        <v>615</v>
      </c>
      <c r="C668" s="55" t="s">
        <v>1030</v>
      </c>
      <c r="D668" s="55"/>
      <c r="E668" s="55" t="s">
        <v>0</v>
      </c>
      <c r="F668" s="59">
        <v>747</v>
      </c>
    </row>
    <row r="669" spans="1:6">
      <c r="A669" s="54" t="s">
        <v>239</v>
      </c>
      <c r="B669" s="55" t="s">
        <v>615</v>
      </c>
      <c r="C669" s="55" t="s">
        <v>1030</v>
      </c>
      <c r="D669" s="55"/>
      <c r="E669" s="55" t="s">
        <v>0</v>
      </c>
      <c r="F669" s="59">
        <v>2</v>
      </c>
    </row>
    <row r="670" spans="1:6">
      <c r="A670" s="54" t="s">
        <v>239</v>
      </c>
      <c r="B670" s="55" t="s">
        <v>615</v>
      </c>
      <c r="C670" s="55" t="s">
        <v>1031</v>
      </c>
      <c r="D670" s="55"/>
      <c r="E670" s="55" t="s">
        <v>0</v>
      </c>
      <c r="F670" s="59">
        <v>24</v>
      </c>
    </row>
    <row r="671" spans="1:6">
      <c r="A671" s="54" t="s">
        <v>239</v>
      </c>
      <c r="B671" s="55" t="s">
        <v>615</v>
      </c>
      <c r="C671" s="55" t="s">
        <v>1030</v>
      </c>
      <c r="D671" s="55"/>
      <c r="E671" s="55" t="s">
        <v>0</v>
      </c>
      <c r="F671" s="59">
        <v>24</v>
      </c>
    </row>
    <row r="672" spans="1:6">
      <c r="A672" s="54" t="s">
        <v>92</v>
      </c>
      <c r="B672" s="55" t="s">
        <v>615</v>
      </c>
      <c r="C672" s="55" t="s">
        <v>1027</v>
      </c>
      <c r="D672" s="55"/>
      <c r="E672" s="55" t="s">
        <v>0</v>
      </c>
      <c r="F672" s="59">
        <v>71</v>
      </c>
    </row>
    <row r="673" spans="1:6">
      <c r="A673" s="54" t="s">
        <v>92</v>
      </c>
      <c r="B673" s="55" t="s">
        <v>615</v>
      </c>
      <c r="C673" s="55" t="s">
        <v>1030</v>
      </c>
      <c r="D673" s="55"/>
      <c r="E673" s="55" t="s">
        <v>0</v>
      </c>
      <c r="F673" s="59">
        <v>380</v>
      </c>
    </row>
    <row r="674" spans="1:6">
      <c r="A674" s="54" t="s">
        <v>240</v>
      </c>
      <c r="B674" s="55" t="s">
        <v>615</v>
      </c>
      <c r="C674" s="55" t="s">
        <v>1027</v>
      </c>
      <c r="D674" s="55"/>
      <c r="E674" s="55" t="s">
        <v>0</v>
      </c>
      <c r="F674" s="59">
        <v>29</v>
      </c>
    </row>
    <row r="675" spans="1:6">
      <c r="A675" s="54" t="s">
        <v>240</v>
      </c>
      <c r="B675" s="55" t="s">
        <v>615</v>
      </c>
      <c r="C675" s="55" t="s">
        <v>1030</v>
      </c>
      <c r="D675" s="55"/>
      <c r="E675" s="55" t="s">
        <v>0</v>
      </c>
      <c r="F675" s="59">
        <v>24</v>
      </c>
    </row>
    <row r="676" spans="1:6">
      <c r="A676" s="54" t="s">
        <v>240</v>
      </c>
      <c r="B676" s="55" t="s">
        <v>615</v>
      </c>
      <c r="C676" s="55" t="s">
        <v>1027</v>
      </c>
      <c r="D676" s="55"/>
      <c r="E676" s="55" t="s">
        <v>0</v>
      </c>
      <c r="F676" s="59">
        <v>24</v>
      </c>
    </row>
    <row r="677" spans="1:6">
      <c r="A677" s="54" t="s">
        <v>93</v>
      </c>
      <c r="B677" s="55" t="s">
        <v>615</v>
      </c>
      <c r="C677" s="55" t="s">
        <v>1030</v>
      </c>
      <c r="D677" s="55"/>
      <c r="E677" s="55" t="s">
        <v>0</v>
      </c>
      <c r="F677" s="59">
        <v>329</v>
      </c>
    </row>
    <row r="678" spans="1:6">
      <c r="A678" s="54" t="s">
        <v>93</v>
      </c>
      <c r="B678" s="55" t="s">
        <v>615</v>
      </c>
      <c r="C678" s="55" t="s">
        <v>1031</v>
      </c>
      <c r="D678" s="55"/>
      <c r="E678" s="55" t="s">
        <v>0</v>
      </c>
      <c r="F678" s="59">
        <v>128</v>
      </c>
    </row>
    <row r="679" spans="1:6">
      <c r="A679" s="54" t="s">
        <v>94</v>
      </c>
      <c r="B679" s="55" t="s">
        <v>615</v>
      </c>
      <c r="C679" s="55" t="s">
        <v>1028</v>
      </c>
      <c r="D679" s="55"/>
      <c r="E679" s="55" t="s">
        <v>0</v>
      </c>
      <c r="F679" s="59">
        <v>30</v>
      </c>
    </row>
    <row r="680" spans="1:6">
      <c r="A680" s="54" t="s">
        <v>95</v>
      </c>
      <c r="B680" s="55" t="s">
        <v>615</v>
      </c>
      <c r="C680" s="55" t="s">
        <v>1027</v>
      </c>
      <c r="D680" s="55"/>
      <c r="E680" s="55" t="s">
        <v>0</v>
      </c>
      <c r="F680" s="59">
        <v>24</v>
      </c>
    </row>
    <row r="681" spans="1:6">
      <c r="A681" s="54" t="s">
        <v>96</v>
      </c>
      <c r="B681" s="55" t="s">
        <v>615</v>
      </c>
      <c r="C681" s="55" t="s">
        <v>1030</v>
      </c>
      <c r="D681" s="55"/>
      <c r="E681" s="55" t="s">
        <v>0</v>
      </c>
      <c r="F681" s="59">
        <v>42</v>
      </c>
    </row>
    <row r="682" spans="1:6">
      <c r="A682" s="54" t="s">
        <v>242</v>
      </c>
      <c r="B682" s="55" t="s">
        <v>615</v>
      </c>
      <c r="C682" s="55" t="s">
        <v>1028</v>
      </c>
      <c r="D682" s="55"/>
      <c r="E682" s="55" t="s">
        <v>0</v>
      </c>
      <c r="F682" s="59">
        <v>32</v>
      </c>
    </row>
    <row r="683" spans="1:6">
      <c r="A683" s="54" t="s">
        <v>323</v>
      </c>
      <c r="B683" s="55" t="s">
        <v>615</v>
      </c>
      <c r="C683" s="55" t="s">
        <v>1030</v>
      </c>
      <c r="D683" s="55"/>
      <c r="E683" s="55" t="s">
        <v>0</v>
      </c>
      <c r="F683" s="59">
        <v>33</v>
      </c>
    </row>
    <row r="684" spans="1:6">
      <c r="A684" s="54" t="s">
        <v>567</v>
      </c>
      <c r="B684" s="55" t="s">
        <v>615</v>
      </c>
      <c r="C684" s="55" t="s">
        <v>1030</v>
      </c>
      <c r="D684" s="55"/>
      <c r="E684" s="55" t="s">
        <v>0</v>
      </c>
      <c r="F684" s="59">
        <v>14</v>
      </c>
    </row>
    <row r="685" spans="1:6">
      <c r="A685" s="54" t="s">
        <v>567</v>
      </c>
      <c r="B685" s="55" t="s">
        <v>615</v>
      </c>
      <c r="C685" s="55" t="s">
        <v>1027</v>
      </c>
      <c r="D685" s="55"/>
      <c r="E685" s="55" t="s">
        <v>0</v>
      </c>
      <c r="F685" s="59">
        <v>90</v>
      </c>
    </row>
    <row r="686" spans="1:6">
      <c r="A686" s="54" t="s">
        <v>97</v>
      </c>
      <c r="B686" s="55" t="s">
        <v>615</v>
      </c>
      <c r="C686" s="55" t="s">
        <v>1027</v>
      </c>
      <c r="D686" s="55"/>
      <c r="E686" s="55" t="s">
        <v>0</v>
      </c>
      <c r="F686" s="59">
        <v>86</v>
      </c>
    </row>
    <row r="687" spans="1:6">
      <c r="A687" s="54" t="s">
        <v>97</v>
      </c>
      <c r="B687" s="55" t="s">
        <v>615</v>
      </c>
      <c r="C687" s="55" t="s">
        <v>1027</v>
      </c>
      <c r="D687" s="55"/>
      <c r="E687" s="55" t="s">
        <v>0</v>
      </c>
      <c r="F687" s="59">
        <v>786</v>
      </c>
    </row>
    <row r="688" spans="1:6">
      <c r="A688" s="54" t="s">
        <v>391</v>
      </c>
      <c r="B688" s="55" t="s">
        <v>615</v>
      </c>
      <c r="C688" s="55" t="s">
        <v>1028</v>
      </c>
      <c r="D688" s="55"/>
      <c r="E688" s="55" t="s">
        <v>0</v>
      </c>
      <c r="F688" s="59">
        <v>3</v>
      </c>
    </row>
    <row r="689" spans="1:6">
      <c r="A689" s="54" t="s">
        <v>391</v>
      </c>
      <c r="B689" s="55" t="s">
        <v>615</v>
      </c>
      <c r="C689" s="55" t="s">
        <v>1030</v>
      </c>
      <c r="D689" s="55"/>
      <c r="E689" s="55" t="s">
        <v>0</v>
      </c>
      <c r="F689" s="59">
        <v>150</v>
      </c>
    </row>
    <row r="690" spans="1:6">
      <c r="A690" s="54" t="s">
        <v>391</v>
      </c>
      <c r="B690" s="55" t="s">
        <v>615</v>
      </c>
      <c r="C690" s="55" t="s">
        <v>1027</v>
      </c>
      <c r="D690" s="55"/>
      <c r="E690" s="55" t="s">
        <v>0</v>
      </c>
      <c r="F690" s="59">
        <v>225</v>
      </c>
    </row>
    <row r="691" spans="1:6">
      <c r="A691" s="54" t="s">
        <v>98</v>
      </c>
      <c r="B691" s="55" t="s">
        <v>615</v>
      </c>
      <c r="C691" s="55" t="s">
        <v>1029</v>
      </c>
      <c r="D691" s="55"/>
      <c r="E691" s="55" t="s">
        <v>0</v>
      </c>
      <c r="F691" s="59">
        <v>1492</v>
      </c>
    </row>
    <row r="692" spans="1:6">
      <c r="A692" s="54" t="s">
        <v>98</v>
      </c>
      <c r="B692" s="55" t="s">
        <v>615</v>
      </c>
      <c r="C692" s="55" t="s">
        <v>1028</v>
      </c>
      <c r="D692" s="55"/>
      <c r="E692" s="55" t="s">
        <v>0</v>
      </c>
      <c r="F692" s="59">
        <v>968</v>
      </c>
    </row>
    <row r="693" spans="1:6">
      <c r="A693" s="54" t="s">
        <v>381</v>
      </c>
      <c r="B693" s="55" t="s">
        <v>615</v>
      </c>
      <c r="C693" s="55" t="s">
        <v>1030</v>
      </c>
      <c r="D693" s="55"/>
      <c r="E693" s="55" t="s">
        <v>0</v>
      </c>
      <c r="F693" s="59">
        <v>11</v>
      </c>
    </row>
    <row r="694" spans="1:6">
      <c r="A694" s="54" t="s">
        <v>381</v>
      </c>
      <c r="B694" s="55" t="s">
        <v>615</v>
      </c>
      <c r="C694" s="55" t="s">
        <v>1032</v>
      </c>
      <c r="D694" s="55"/>
      <c r="E694" s="55" t="s">
        <v>0</v>
      </c>
      <c r="F694" s="59">
        <v>24</v>
      </c>
    </row>
    <row r="695" spans="1:6">
      <c r="A695" s="54" t="s">
        <v>381</v>
      </c>
      <c r="B695" s="55" t="s">
        <v>615</v>
      </c>
      <c r="C695" s="55" t="s">
        <v>1028</v>
      </c>
      <c r="D695" s="55"/>
      <c r="E695" s="55" t="s">
        <v>0</v>
      </c>
      <c r="F695" s="59">
        <v>132</v>
      </c>
    </row>
    <row r="696" spans="1:6">
      <c r="A696" s="54" t="s">
        <v>99</v>
      </c>
      <c r="B696" s="55" t="s">
        <v>615</v>
      </c>
      <c r="C696" s="55" t="s">
        <v>1027</v>
      </c>
      <c r="D696" s="55"/>
      <c r="E696" s="55" t="s">
        <v>0</v>
      </c>
      <c r="F696" s="59">
        <v>28</v>
      </c>
    </row>
    <row r="697" spans="1:6">
      <c r="A697" s="54" t="s">
        <v>396</v>
      </c>
      <c r="B697" s="55" t="s">
        <v>615</v>
      </c>
      <c r="C697" s="55" t="s">
        <v>1028</v>
      </c>
      <c r="D697" s="55"/>
      <c r="E697" s="55" t="s">
        <v>0</v>
      </c>
      <c r="F697" s="59">
        <v>20</v>
      </c>
    </row>
    <row r="698" spans="1:6">
      <c r="A698" s="54" t="s">
        <v>396</v>
      </c>
      <c r="B698" s="55" t="s">
        <v>615</v>
      </c>
      <c r="C698" s="55" t="s">
        <v>1030</v>
      </c>
      <c r="D698" s="55"/>
      <c r="E698" s="55" t="s">
        <v>0</v>
      </c>
      <c r="F698" s="59">
        <v>60</v>
      </c>
    </row>
    <row r="699" spans="1:6">
      <c r="A699" s="54" t="s">
        <v>396</v>
      </c>
      <c r="B699" s="55" t="s">
        <v>615</v>
      </c>
      <c r="C699" s="55" t="s">
        <v>1027</v>
      </c>
      <c r="D699" s="55"/>
      <c r="E699" s="55" t="s">
        <v>0</v>
      </c>
      <c r="F699" s="59">
        <v>168</v>
      </c>
    </row>
    <row r="700" spans="1:6">
      <c r="A700" s="54" t="s">
        <v>100</v>
      </c>
      <c r="B700" s="55" t="s">
        <v>615</v>
      </c>
      <c r="C700" s="55" t="s">
        <v>1028</v>
      </c>
      <c r="D700" s="55"/>
      <c r="E700" s="55" t="s">
        <v>0</v>
      </c>
      <c r="F700" s="59">
        <v>485</v>
      </c>
    </row>
    <row r="701" spans="1:6">
      <c r="A701" s="54" t="s">
        <v>503</v>
      </c>
      <c r="B701" s="55" t="s">
        <v>615</v>
      </c>
      <c r="C701" s="55" t="s">
        <v>1030</v>
      </c>
      <c r="D701" s="55"/>
      <c r="E701" s="55" t="s">
        <v>0</v>
      </c>
      <c r="F701" s="59">
        <v>8</v>
      </c>
    </row>
    <row r="702" spans="1:6">
      <c r="A702" s="54" t="s">
        <v>178</v>
      </c>
      <c r="B702" s="55" t="s">
        <v>615</v>
      </c>
      <c r="C702" s="55" t="s">
        <v>1027</v>
      </c>
      <c r="D702" s="55"/>
      <c r="E702" s="55" t="s">
        <v>0</v>
      </c>
      <c r="F702" s="59">
        <v>67</v>
      </c>
    </row>
    <row r="703" spans="1:6">
      <c r="A703" s="54" t="s">
        <v>499</v>
      </c>
      <c r="B703" s="55" t="s">
        <v>615</v>
      </c>
      <c r="C703" s="55" t="s">
        <v>1030</v>
      </c>
      <c r="D703" s="55"/>
      <c r="E703" s="55" t="s">
        <v>0</v>
      </c>
      <c r="F703" s="59">
        <v>38</v>
      </c>
    </row>
    <row r="704" spans="1:6">
      <c r="A704" s="54" t="s">
        <v>182</v>
      </c>
      <c r="B704" s="55" t="s">
        <v>615</v>
      </c>
      <c r="C704" s="55" t="s">
        <v>1027</v>
      </c>
      <c r="D704" s="55"/>
      <c r="E704" s="55" t="s">
        <v>0</v>
      </c>
      <c r="F704" s="59">
        <v>80</v>
      </c>
    </row>
    <row r="705" spans="1:6">
      <c r="A705" s="54" t="s">
        <v>177</v>
      </c>
      <c r="B705" s="55" t="s">
        <v>615</v>
      </c>
      <c r="C705" s="55" t="s">
        <v>1030</v>
      </c>
      <c r="D705" s="55"/>
      <c r="E705" s="55" t="s">
        <v>0</v>
      </c>
      <c r="F705" s="59">
        <v>15</v>
      </c>
    </row>
    <row r="706" spans="1:6">
      <c r="A706" s="54" t="s">
        <v>203</v>
      </c>
      <c r="B706" s="55" t="s">
        <v>615</v>
      </c>
      <c r="C706" s="55" t="s">
        <v>1030</v>
      </c>
      <c r="D706" s="55"/>
      <c r="E706" s="55" t="s">
        <v>0</v>
      </c>
      <c r="F706" s="59">
        <v>875</v>
      </c>
    </row>
    <row r="707" spans="1:6">
      <c r="A707" s="54" t="s">
        <v>203</v>
      </c>
      <c r="B707" s="55" t="s">
        <v>615</v>
      </c>
      <c r="C707" s="55" t="s">
        <v>1030</v>
      </c>
      <c r="D707" s="55"/>
      <c r="E707" s="55" t="s">
        <v>0</v>
      </c>
      <c r="F707" s="59">
        <v>240</v>
      </c>
    </row>
    <row r="708" spans="1:6">
      <c r="A708" s="54">
        <v>8983943812</v>
      </c>
      <c r="B708" s="55" t="s">
        <v>615</v>
      </c>
      <c r="C708" s="55" t="s">
        <v>1034</v>
      </c>
      <c r="D708" s="55"/>
      <c r="E708" s="55" t="s">
        <v>0</v>
      </c>
      <c r="F708" s="59">
        <v>162</v>
      </c>
    </row>
    <row r="709" spans="1:6">
      <c r="A709" s="54" t="s">
        <v>645</v>
      </c>
      <c r="B709" s="55" t="s">
        <v>615</v>
      </c>
      <c r="C709" s="55" t="s">
        <v>1030</v>
      </c>
      <c r="D709" s="55"/>
      <c r="E709" s="55" t="s">
        <v>0</v>
      </c>
      <c r="F709" s="59">
        <v>36</v>
      </c>
    </row>
    <row r="710" spans="1:6">
      <c r="A710" s="54" t="s">
        <v>645</v>
      </c>
      <c r="B710" s="55" t="s">
        <v>615</v>
      </c>
      <c r="C710" s="55" t="s">
        <v>1030</v>
      </c>
      <c r="D710" s="55"/>
      <c r="E710" s="55" t="s">
        <v>0</v>
      </c>
      <c r="F710" s="59">
        <v>75</v>
      </c>
    </row>
    <row r="711" spans="1:6">
      <c r="A711" s="54" t="s">
        <v>201</v>
      </c>
      <c r="B711" s="55" t="s">
        <v>615</v>
      </c>
      <c r="C711" s="55" t="s">
        <v>1030</v>
      </c>
      <c r="D711" s="55"/>
      <c r="E711" s="55" t="s">
        <v>0</v>
      </c>
      <c r="F711" s="59">
        <v>400</v>
      </c>
    </row>
    <row r="712" spans="1:6">
      <c r="A712" s="54" t="s">
        <v>204</v>
      </c>
      <c r="B712" s="55" t="s">
        <v>615</v>
      </c>
      <c r="C712" s="55" t="s">
        <v>1030</v>
      </c>
      <c r="D712" s="55"/>
      <c r="E712" s="55" t="s">
        <v>0</v>
      </c>
      <c r="F712" s="59">
        <v>1421</v>
      </c>
    </row>
    <row r="713" spans="1:6">
      <c r="A713" s="54" t="s">
        <v>204</v>
      </c>
      <c r="B713" s="55" t="s">
        <v>615</v>
      </c>
      <c r="C713" s="55" t="s">
        <v>1043</v>
      </c>
      <c r="D713" s="55"/>
      <c r="E713" s="55" t="s">
        <v>0</v>
      </c>
      <c r="F713" s="59">
        <v>112</v>
      </c>
    </row>
    <row r="714" spans="1:6">
      <c r="A714" s="54" t="s">
        <v>204</v>
      </c>
      <c r="B714" s="55" t="s">
        <v>615</v>
      </c>
      <c r="C714" s="55" t="s">
        <v>1043</v>
      </c>
      <c r="D714" s="55"/>
      <c r="E714" s="55" t="s">
        <v>0</v>
      </c>
      <c r="F714" s="59">
        <v>529</v>
      </c>
    </row>
    <row r="715" spans="1:6">
      <c r="A715" s="54">
        <v>8983943862</v>
      </c>
      <c r="B715" s="55" t="s">
        <v>615</v>
      </c>
      <c r="C715" s="55" t="s">
        <v>1037</v>
      </c>
      <c r="D715" s="55"/>
      <c r="E715" s="55" t="s">
        <v>0</v>
      </c>
      <c r="F715" s="59">
        <v>146</v>
      </c>
    </row>
    <row r="716" spans="1:6">
      <c r="A716" s="54" t="s">
        <v>198</v>
      </c>
      <c r="B716" s="55" t="s">
        <v>615</v>
      </c>
      <c r="C716" s="55" t="s">
        <v>1030</v>
      </c>
      <c r="D716" s="55"/>
      <c r="E716" s="55" t="s">
        <v>0</v>
      </c>
      <c r="F716" s="59">
        <v>3027</v>
      </c>
    </row>
    <row r="717" spans="1:6">
      <c r="A717" s="54" t="s">
        <v>198</v>
      </c>
      <c r="B717" s="55" t="s">
        <v>615</v>
      </c>
      <c r="C717" s="55" t="s">
        <v>1031</v>
      </c>
      <c r="D717" s="55"/>
      <c r="E717" s="55" t="s">
        <v>0</v>
      </c>
      <c r="F717" s="59">
        <v>658</v>
      </c>
    </row>
    <row r="718" spans="1:6">
      <c r="A718" s="54" t="s">
        <v>198</v>
      </c>
      <c r="B718" s="55" t="s">
        <v>615</v>
      </c>
      <c r="C718" s="55" t="s">
        <v>1028</v>
      </c>
      <c r="D718" s="55"/>
      <c r="E718" s="55" t="s">
        <v>0</v>
      </c>
      <c r="F718" s="59">
        <v>11</v>
      </c>
    </row>
    <row r="719" spans="1:6">
      <c r="A719" s="54" t="s">
        <v>199</v>
      </c>
      <c r="B719" s="55" t="s">
        <v>615</v>
      </c>
      <c r="C719" s="55" t="s">
        <v>1030</v>
      </c>
      <c r="D719" s="55"/>
      <c r="E719" s="55" t="s">
        <v>0</v>
      </c>
      <c r="F719" s="59">
        <v>4003</v>
      </c>
    </row>
    <row r="720" spans="1:6">
      <c r="A720" s="54" t="s">
        <v>199</v>
      </c>
      <c r="B720" s="55" t="s">
        <v>615</v>
      </c>
      <c r="C720" s="55" t="s">
        <v>1032</v>
      </c>
      <c r="D720" s="55"/>
      <c r="E720" s="55" t="s">
        <v>0</v>
      </c>
      <c r="F720" s="59">
        <v>590</v>
      </c>
    </row>
    <row r="721" spans="1:6">
      <c r="A721" s="54" t="s">
        <v>243</v>
      </c>
      <c r="B721" s="55" t="s">
        <v>615</v>
      </c>
      <c r="C721" s="55" t="s">
        <v>1027</v>
      </c>
      <c r="D721" s="55"/>
      <c r="E721" s="55" t="s">
        <v>0</v>
      </c>
      <c r="F721" s="59">
        <v>10</v>
      </c>
    </row>
    <row r="722" spans="1:6">
      <c r="A722" s="54" t="s">
        <v>243</v>
      </c>
      <c r="B722" s="55" t="s">
        <v>615</v>
      </c>
      <c r="C722" s="55" t="s">
        <v>1027</v>
      </c>
      <c r="D722" s="55"/>
      <c r="E722" s="55" t="s">
        <v>0</v>
      </c>
      <c r="F722" s="59">
        <v>1</v>
      </c>
    </row>
    <row r="723" spans="1:6">
      <c r="A723" s="54" t="s">
        <v>244</v>
      </c>
      <c r="B723" s="55" t="s">
        <v>615</v>
      </c>
      <c r="C723" s="55" t="s">
        <v>1030</v>
      </c>
      <c r="D723" s="55"/>
      <c r="E723" s="55" t="s">
        <v>0</v>
      </c>
      <c r="F723" s="59">
        <v>108</v>
      </c>
    </row>
    <row r="724" spans="1:6">
      <c r="A724" s="54" t="s">
        <v>101</v>
      </c>
      <c r="B724" s="55" t="s">
        <v>615</v>
      </c>
      <c r="C724" s="55" t="s">
        <v>1027</v>
      </c>
      <c r="D724" s="55"/>
      <c r="E724" s="55" t="s">
        <v>0</v>
      </c>
      <c r="F724" s="59">
        <v>4552</v>
      </c>
    </row>
    <row r="725" spans="1:6">
      <c r="A725" s="54" t="s">
        <v>101</v>
      </c>
      <c r="B725" s="55" t="s">
        <v>615</v>
      </c>
      <c r="C725" s="55" t="s">
        <v>1027</v>
      </c>
      <c r="D725" s="55"/>
      <c r="E725" s="55" t="s">
        <v>0</v>
      </c>
      <c r="F725" s="59">
        <v>693</v>
      </c>
    </row>
    <row r="726" spans="1:6">
      <c r="A726" s="54" t="s">
        <v>245</v>
      </c>
      <c r="B726" s="55" t="s">
        <v>615</v>
      </c>
      <c r="C726" s="55" t="s">
        <v>1028</v>
      </c>
      <c r="D726" s="55"/>
      <c r="E726" s="55" t="s">
        <v>0</v>
      </c>
      <c r="F726" s="59">
        <v>10279</v>
      </c>
    </row>
    <row r="727" spans="1:6">
      <c r="A727" s="54" t="s">
        <v>466</v>
      </c>
      <c r="B727" s="55" t="s">
        <v>615</v>
      </c>
      <c r="C727" s="55" t="s">
        <v>1030</v>
      </c>
      <c r="D727" s="55"/>
      <c r="E727" s="55" t="s">
        <v>0</v>
      </c>
      <c r="F727" s="59">
        <v>405</v>
      </c>
    </row>
    <row r="728" spans="1:6">
      <c r="A728" s="54" t="s">
        <v>973</v>
      </c>
      <c r="B728" s="55" t="s">
        <v>615</v>
      </c>
      <c r="C728" s="55" t="s">
        <v>1028</v>
      </c>
      <c r="D728" s="55"/>
      <c r="E728" s="55" t="s">
        <v>0</v>
      </c>
      <c r="F728" s="59">
        <v>465</v>
      </c>
    </row>
    <row r="729" spans="1:6">
      <c r="A729" s="54" t="s">
        <v>973</v>
      </c>
      <c r="B729" s="55" t="s">
        <v>615</v>
      </c>
      <c r="C729" s="55" t="s">
        <v>1027</v>
      </c>
      <c r="D729" s="55"/>
      <c r="E729" s="55" t="s">
        <v>0</v>
      </c>
      <c r="F729" s="59">
        <v>6</v>
      </c>
    </row>
    <row r="730" spans="1:6">
      <c r="A730" s="54" t="s">
        <v>649</v>
      </c>
      <c r="B730" s="55" t="s">
        <v>615</v>
      </c>
      <c r="C730" s="55" t="s">
        <v>1030</v>
      </c>
      <c r="D730" s="55"/>
      <c r="E730" s="55" t="s">
        <v>0</v>
      </c>
      <c r="F730" s="59">
        <v>900</v>
      </c>
    </row>
    <row r="731" spans="1:6">
      <c r="A731" s="54" t="s">
        <v>648</v>
      </c>
      <c r="B731" s="55" t="s">
        <v>615</v>
      </c>
      <c r="C731" s="55" t="s">
        <v>1036</v>
      </c>
      <c r="D731" s="55"/>
      <c r="E731" s="55" t="s">
        <v>0</v>
      </c>
      <c r="F731" s="59">
        <v>131</v>
      </c>
    </row>
    <row r="732" spans="1:6">
      <c r="A732" s="54" t="s">
        <v>648</v>
      </c>
      <c r="B732" s="55" t="s">
        <v>615</v>
      </c>
      <c r="C732" s="55" t="s">
        <v>1030</v>
      </c>
      <c r="D732" s="55"/>
      <c r="E732" s="55" t="s">
        <v>0</v>
      </c>
      <c r="F732" s="59">
        <v>484</v>
      </c>
    </row>
    <row r="733" spans="1:6">
      <c r="A733" s="54" t="s">
        <v>649</v>
      </c>
      <c r="B733" s="55" t="s">
        <v>615</v>
      </c>
      <c r="C733" s="55" t="s">
        <v>1027</v>
      </c>
      <c r="D733" s="55"/>
      <c r="E733" s="55" t="s">
        <v>0</v>
      </c>
      <c r="F733" s="59">
        <v>222</v>
      </c>
    </row>
    <row r="734" spans="1:6">
      <c r="A734" s="54" t="s">
        <v>649</v>
      </c>
      <c r="B734" s="55" t="s">
        <v>615</v>
      </c>
      <c r="C734" s="55" t="s">
        <v>1037</v>
      </c>
      <c r="D734" s="55"/>
      <c r="E734" s="55" t="s">
        <v>0</v>
      </c>
      <c r="F734" s="59">
        <v>20</v>
      </c>
    </row>
    <row r="735" spans="1:6">
      <c r="A735" s="54" t="s">
        <v>647</v>
      </c>
      <c r="B735" s="55" t="s">
        <v>615</v>
      </c>
      <c r="C735" s="55" t="s">
        <v>1030</v>
      </c>
      <c r="D735" s="55"/>
      <c r="E735" s="55" t="s">
        <v>0</v>
      </c>
      <c r="F735" s="59">
        <v>24</v>
      </c>
    </row>
    <row r="736" spans="1:6">
      <c r="A736" s="54" t="s">
        <v>647</v>
      </c>
      <c r="B736" s="55" t="s">
        <v>615</v>
      </c>
      <c r="C736" s="55" t="s">
        <v>1028</v>
      </c>
      <c r="D736" s="55"/>
      <c r="E736" s="55" t="s">
        <v>0</v>
      </c>
      <c r="F736" s="59">
        <v>42</v>
      </c>
    </row>
    <row r="737" spans="1:6">
      <c r="A737" s="54" t="s">
        <v>972</v>
      </c>
      <c r="B737" s="55" t="s">
        <v>615</v>
      </c>
      <c r="C737" s="55" t="s">
        <v>1028</v>
      </c>
      <c r="D737" s="55"/>
      <c r="E737" s="55" t="s">
        <v>0</v>
      </c>
      <c r="F737" s="59">
        <v>2000</v>
      </c>
    </row>
    <row r="738" spans="1:6">
      <c r="A738" s="54" t="s">
        <v>972</v>
      </c>
      <c r="B738" s="55" t="s">
        <v>615</v>
      </c>
      <c r="C738" s="55" t="s">
        <v>1030</v>
      </c>
      <c r="D738" s="55"/>
      <c r="E738" s="55" t="s">
        <v>0</v>
      </c>
      <c r="F738" s="59">
        <v>3000</v>
      </c>
    </row>
    <row r="739" spans="1:6">
      <c r="A739" s="54" t="s">
        <v>978</v>
      </c>
      <c r="B739" s="55" t="s">
        <v>615</v>
      </c>
      <c r="C739" s="55" t="s">
        <v>1028</v>
      </c>
      <c r="D739" s="55"/>
      <c r="E739" s="55" t="s">
        <v>0</v>
      </c>
      <c r="F739" s="59">
        <v>17216</v>
      </c>
    </row>
    <row r="740" spans="1:6">
      <c r="A740" s="54" t="s">
        <v>972</v>
      </c>
      <c r="B740" s="55" t="s">
        <v>615</v>
      </c>
      <c r="C740" s="55" t="s">
        <v>1028</v>
      </c>
      <c r="D740" s="55"/>
      <c r="E740" s="55" t="s">
        <v>0</v>
      </c>
      <c r="F740" s="59">
        <v>8588</v>
      </c>
    </row>
    <row r="741" spans="1:6">
      <c r="A741" s="54" t="s">
        <v>972</v>
      </c>
      <c r="B741" s="55" t="s">
        <v>615</v>
      </c>
      <c r="C741" s="55" t="s">
        <v>1028</v>
      </c>
      <c r="D741" s="55"/>
      <c r="E741" s="55" t="s">
        <v>0</v>
      </c>
      <c r="F741" s="59">
        <v>750</v>
      </c>
    </row>
    <row r="742" spans="1:6">
      <c r="A742" s="54" t="s">
        <v>247</v>
      </c>
      <c r="B742" s="55" t="s">
        <v>615</v>
      </c>
      <c r="C742" s="55" t="s">
        <v>1028</v>
      </c>
      <c r="D742" s="55"/>
      <c r="E742" s="55" t="s">
        <v>0</v>
      </c>
      <c r="F742" s="59">
        <v>150</v>
      </c>
    </row>
    <row r="743" spans="1:6">
      <c r="A743" s="54" t="s">
        <v>295</v>
      </c>
      <c r="B743" s="55" t="s">
        <v>615</v>
      </c>
      <c r="C743" s="55" t="s">
        <v>1030</v>
      </c>
      <c r="D743" s="55"/>
      <c r="E743" s="55" t="s">
        <v>0</v>
      </c>
      <c r="F743" s="59">
        <v>40</v>
      </c>
    </row>
    <row r="744" spans="1:6">
      <c r="A744" s="54" t="s">
        <v>246</v>
      </c>
      <c r="B744" s="55" t="s">
        <v>615</v>
      </c>
      <c r="C744" s="55" t="s">
        <v>1027</v>
      </c>
      <c r="D744" s="55"/>
      <c r="E744" s="55" t="s">
        <v>0</v>
      </c>
      <c r="F744" s="59">
        <v>50</v>
      </c>
    </row>
    <row r="745" spans="1:6">
      <c r="A745" s="54" t="s">
        <v>181</v>
      </c>
      <c r="B745" s="55" t="s">
        <v>615</v>
      </c>
      <c r="C745" s="55" t="s">
        <v>1030</v>
      </c>
      <c r="D745" s="55"/>
      <c r="E745" s="55" t="s">
        <v>0</v>
      </c>
      <c r="F745" s="59">
        <v>1137</v>
      </c>
    </row>
    <row r="746" spans="1:6">
      <c r="A746" s="54" t="s">
        <v>716</v>
      </c>
      <c r="B746" s="55" t="s">
        <v>615</v>
      </c>
      <c r="C746" s="55" t="s">
        <v>1030</v>
      </c>
      <c r="D746" s="55"/>
      <c r="E746" s="55" t="s">
        <v>0</v>
      </c>
      <c r="F746" s="59">
        <v>297</v>
      </c>
    </row>
    <row r="747" spans="1:6">
      <c r="A747" s="54" t="s">
        <v>559</v>
      </c>
      <c r="B747" s="55" t="s">
        <v>615</v>
      </c>
      <c r="C747" s="55" t="s">
        <v>1037</v>
      </c>
      <c r="D747" s="55"/>
      <c r="E747" s="55" t="s">
        <v>0</v>
      </c>
      <c r="F747" s="59">
        <v>1200</v>
      </c>
    </row>
    <row r="748" spans="1:6">
      <c r="A748" s="54" t="s">
        <v>191</v>
      </c>
      <c r="B748" s="55" t="s">
        <v>615</v>
      </c>
      <c r="C748" s="55" t="s">
        <v>1027</v>
      </c>
      <c r="D748" s="55"/>
      <c r="E748" s="55" t="s">
        <v>0</v>
      </c>
      <c r="F748" s="59">
        <v>228</v>
      </c>
    </row>
    <row r="749" spans="1:6">
      <c r="A749" s="54" t="s">
        <v>191</v>
      </c>
      <c r="B749" s="55" t="s">
        <v>615</v>
      </c>
      <c r="C749" s="55" t="s">
        <v>1028</v>
      </c>
      <c r="D749" s="55"/>
      <c r="E749" s="55" t="s">
        <v>0</v>
      </c>
      <c r="F749" s="59">
        <v>48</v>
      </c>
    </row>
    <row r="750" spans="1:6">
      <c r="A750" s="54" t="s">
        <v>191</v>
      </c>
      <c r="B750" s="55" t="s">
        <v>615</v>
      </c>
      <c r="C750" s="55" t="s">
        <v>1030</v>
      </c>
      <c r="D750" s="55"/>
      <c r="E750" s="55" t="s">
        <v>0</v>
      </c>
      <c r="F750" s="59">
        <v>15036</v>
      </c>
    </row>
    <row r="751" spans="1:6">
      <c r="A751" s="54" t="s">
        <v>561</v>
      </c>
      <c r="B751" s="55" t="s">
        <v>615</v>
      </c>
      <c r="C751" s="55" t="s">
        <v>1031</v>
      </c>
      <c r="D751" s="55"/>
      <c r="E751" s="55" t="s">
        <v>0</v>
      </c>
      <c r="F751" s="59">
        <v>3200</v>
      </c>
    </row>
    <row r="752" spans="1:6">
      <c r="A752" s="54" t="s">
        <v>192</v>
      </c>
      <c r="B752" s="55" t="s">
        <v>615</v>
      </c>
      <c r="C752" s="55" t="s">
        <v>1037</v>
      </c>
      <c r="D752" s="55"/>
      <c r="E752" s="55" t="s">
        <v>0</v>
      </c>
      <c r="F752" s="59">
        <v>1642</v>
      </c>
    </row>
    <row r="753" spans="1:6">
      <c r="A753" s="54" t="s">
        <v>192</v>
      </c>
      <c r="B753" s="55" t="s">
        <v>615</v>
      </c>
      <c r="C753" s="55" t="s">
        <v>1027</v>
      </c>
      <c r="D753" s="55"/>
      <c r="E753" s="55" t="s">
        <v>0</v>
      </c>
      <c r="F753" s="59">
        <v>1608</v>
      </c>
    </row>
    <row r="754" spans="1:6">
      <c r="A754" s="54" t="s">
        <v>192</v>
      </c>
      <c r="B754" s="55" t="s">
        <v>615</v>
      </c>
      <c r="C754" s="55" t="s">
        <v>1037</v>
      </c>
      <c r="D754" s="55"/>
      <c r="E754" s="55" t="s">
        <v>0</v>
      </c>
      <c r="F754" s="59">
        <v>18684</v>
      </c>
    </row>
    <row r="755" spans="1:6">
      <c r="A755" s="54" t="s">
        <v>511</v>
      </c>
      <c r="B755" s="55" t="s">
        <v>615</v>
      </c>
      <c r="C755" s="55" t="s">
        <v>1027</v>
      </c>
      <c r="D755" s="55"/>
      <c r="E755" s="55" t="s">
        <v>0</v>
      </c>
      <c r="F755" s="59">
        <v>200</v>
      </c>
    </row>
    <row r="756" spans="1:6">
      <c r="A756" s="54" t="s">
        <v>164</v>
      </c>
      <c r="B756" s="55" t="s">
        <v>615</v>
      </c>
      <c r="C756" s="55" t="s">
        <v>1037</v>
      </c>
      <c r="D756" s="55"/>
      <c r="E756" s="55" t="s">
        <v>0</v>
      </c>
      <c r="F756" s="59">
        <v>72</v>
      </c>
    </row>
    <row r="757" spans="1:6">
      <c r="A757" s="54" t="s">
        <v>179</v>
      </c>
      <c r="B757" s="55" t="s">
        <v>615</v>
      </c>
      <c r="C757" s="55" t="s">
        <v>1027</v>
      </c>
      <c r="D757" s="55"/>
      <c r="E757" s="55" t="s">
        <v>0</v>
      </c>
      <c r="F757" s="59">
        <v>917</v>
      </c>
    </row>
    <row r="758" spans="1:6">
      <c r="A758" s="54" t="s">
        <v>179</v>
      </c>
      <c r="B758" s="55" t="s">
        <v>615</v>
      </c>
      <c r="C758" s="55" t="s">
        <v>1027</v>
      </c>
      <c r="D758" s="55"/>
      <c r="E758" s="55" t="s">
        <v>0</v>
      </c>
      <c r="F758" s="59">
        <v>708</v>
      </c>
    </row>
    <row r="759" spans="1:6">
      <c r="A759" s="54" t="s">
        <v>836</v>
      </c>
      <c r="B759" s="55" t="s">
        <v>615</v>
      </c>
      <c r="C759" s="55" t="s">
        <v>1030</v>
      </c>
      <c r="D759" s="55"/>
      <c r="E759" s="55" t="s">
        <v>0</v>
      </c>
      <c r="F759" s="59">
        <v>0</v>
      </c>
    </row>
    <row r="760" spans="1:6">
      <c r="A760" s="54" t="s">
        <v>838</v>
      </c>
      <c r="B760" s="55" t="s">
        <v>615</v>
      </c>
      <c r="C760" s="55" t="s">
        <v>1027</v>
      </c>
      <c r="D760" s="55"/>
      <c r="E760" s="55" t="s">
        <v>0</v>
      </c>
      <c r="F760" s="59">
        <v>16</v>
      </c>
    </row>
    <row r="761" spans="1:6">
      <c r="A761" s="54" t="s">
        <v>426</v>
      </c>
      <c r="B761" s="55" t="s">
        <v>615</v>
      </c>
      <c r="C761" s="55" t="s">
        <v>1030</v>
      </c>
      <c r="D761" s="55"/>
      <c r="E761" s="55" t="s">
        <v>0</v>
      </c>
      <c r="F761" s="59">
        <v>221</v>
      </c>
    </row>
    <row r="762" spans="1:6">
      <c r="A762" s="54" t="s">
        <v>338</v>
      </c>
      <c r="B762" s="55" t="s">
        <v>615</v>
      </c>
      <c r="C762" s="55" t="s">
        <v>1027</v>
      </c>
      <c r="D762" s="55"/>
      <c r="E762" s="55" t="s">
        <v>0</v>
      </c>
      <c r="F762" s="59">
        <v>12</v>
      </c>
    </row>
    <row r="763" spans="1:6">
      <c r="A763" s="54" t="s">
        <v>102</v>
      </c>
      <c r="B763" s="55" t="s">
        <v>615</v>
      </c>
      <c r="C763" s="55" t="s">
        <v>1027</v>
      </c>
      <c r="D763" s="55"/>
      <c r="E763" s="55" t="s">
        <v>0</v>
      </c>
      <c r="F763" s="59">
        <v>2072</v>
      </c>
    </row>
    <row r="764" spans="1:6">
      <c r="A764" s="54" t="s">
        <v>472</v>
      </c>
      <c r="B764" s="55" t="s">
        <v>615</v>
      </c>
      <c r="C764" s="55" t="s">
        <v>1028</v>
      </c>
      <c r="D764" s="55"/>
      <c r="E764" s="55" t="s">
        <v>0</v>
      </c>
      <c r="F764" s="59">
        <v>180</v>
      </c>
    </row>
    <row r="765" spans="1:6">
      <c r="A765" s="54" t="s">
        <v>539</v>
      </c>
      <c r="B765" s="55" t="s">
        <v>615</v>
      </c>
      <c r="C765" s="55" t="s">
        <v>1030</v>
      </c>
      <c r="D765" s="55"/>
      <c r="E765" s="55" t="s">
        <v>0</v>
      </c>
      <c r="F765" s="59">
        <v>10800</v>
      </c>
    </row>
    <row r="766" spans="1:6">
      <c r="A766" s="54" t="s">
        <v>539</v>
      </c>
      <c r="B766" s="55" t="s">
        <v>615</v>
      </c>
      <c r="C766" s="55" t="s">
        <v>1036</v>
      </c>
      <c r="D766" s="55"/>
      <c r="E766" s="55" t="s">
        <v>0</v>
      </c>
      <c r="F766" s="59">
        <v>1080</v>
      </c>
    </row>
    <row r="767" spans="1:6">
      <c r="A767" s="54" t="s">
        <v>208</v>
      </c>
      <c r="B767" s="55" t="s">
        <v>615</v>
      </c>
      <c r="C767" s="55" t="s">
        <v>1044</v>
      </c>
      <c r="D767" s="55"/>
      <c r="E767" s="55" t="s">
        <v>0</v>
      </c>
      <c r="F767" s="59">
        <v>452</v>
      </c>
    </row>
    <row r="768" spans="1:6">
      <c r="A768" s="54" t="s">
        <v>208</v>
      </c>
      <c r="B768" s="55" t="s">
        <v>615</v>
      </c>
      <c r="C768" s="55" t="s">
        <v>1030</v>
      </c>
      <c r="D768" s="55"/>
      <c r="E768" s="55" t="s">
        <v>0</v>
      </c>
      <c r="F768" s="59">
        <v>1072</v>
      </c>
    </row>
    <row r="769" spans="1:6">
      <c r="A769" s="54" t="s">
        <v>539</v>
      </c>
      <c r="B769" s="55" t="s">
        <v>615</v>
      </c>
      <c r="C769" s="55" t="s">
        <v>1037</v>
      </c>
      <c r="D769" s="55"/>
      <c r="E769" s="55" t="s">
        <v>0</v>
      </c>
      <c r="F769" s="59">
        <v>2518</v>
      </c>
    </row>
    <row r="770" spans="1:6">
      <c r="A770" s="54" t="s">
        <v>539</v>
      </c>
      <c r="B770" s="55" t="s">
        <v>615</v>
      </c>
      <c r="C770" s="55" t="s">
        <v>1027</v>
      </c>
      <c r="D770" s="55"/>
      <c r="E770" s="55" t="s">
        <v>0</v>
      </c>
      <c r="F770" s="59">
        <v>17889</v>
      </c>
    </row>
    <row r="771" spans="1:6">
      <c r="A771" s="54" t="s">
        <v>558</v>
      </c>
      <c r="B771" s="55" t="s">
        <v>615</v>
      </c>
      <c r="C771" s="55" t="s">
        <v>1027</v>
      </c>
      <c r="D771" s="55"/>
      <c r="E771" s="55" t="s">
        <v>0</v>
      </c>
      <c r="F771" s="59">
        <v>540</v>
      </c>
    </row>
    <row r="772" spans="1:6">
      <c r="A772" s="54" t="s">
        <v>495</v>
      </c>
      <c r="B772" s="55" t="s">
        <v>615</v>
      </c>
      <c r="C772" s="55" t="s">
        <v>1028</v>
      </c>
      <c r="D772" s="55"/>
      <c r="E772" s="55" t="s">
        <v>0</v>
      </c>
      <c r="F772" s="59">
        <v>350</v>
      </c>
    </row>
    <row r="773" spans="1:6">
      <c r="A773" s="54" t="s">
        <v>187</v>
      </c>
      <c r="B773" s="55" t="s">
        <v>615</v>
      </c>
      <c r="C773" s="55" t="s">
        <v>1037</v>
      </c>
      <c r="D773" s="55"/>
      <c r="E773" s="55" t="s">
        <v>0</v>
      </c>
      <c r="F773" s="59">
        <v>21</v>
      </c>
    </row>
    <row r="774" spans="1:6">
      <c r="A774" s="54" t="s">
        <v>497</v>
      </c>
      <c r="B774" s="55" t="s">
        <v>615</v>
      </c>
      <c r="C774" s="55" t="s">
        <v>1030</v>
      </c>
      <c r="D774" s="55"/>
      <c r="E774" s="55" t="s">
        <v>0</v>
      </c>
      <c r="F774" s="59">
        <v>250</v>
      </c>
    </row>
    <row r="775" spans="1:6">
      <c r="A775" s="54" t="s">
        <v>210</v>
      </c>
      <c r="B775" s="55" t="s">
        <v>615</v>
      </c>
      <c r="C775" s="55" t="s">
        <v>1031</v>
      </c>
      <c r="D775" s="55"/>
      <c r="E775" s="55" t="s">
        <v>0</v>
      </c>
      <c r="F775" s="59">
        <v>595</v>
      </c>
    </row>
    <row r="776" spans="1:6">
      <c r="A776" s="54" t="s">
        <v>210</v>
      </c>
      <c r="B776" s="55" t="s">
        <v>615</v>
      </c>
      <c r="C776" s="55" t="s">
        <v>1037</v>
      </c>
      <c r="D776" s="55"/>
      <c r="E776" s="55" t="s">
        <v>0</v>
      </c>
      <c r="F776" s="59">
        <v>211</v>
      </c>
    </row>
    <row r="777" spans="1:6">
      <c r="A777" s="54" t="s">
        <v>484</v>
      </c>
      <c r="B777" s="55" t="s">
        <v>615</v>
      </c>
      <c r="C777" s="55" t="s">
        <v>1027</v>
      </c>
      <c r="D777" s="55"/>
      <c r="E777" s="55" t="s">
        <v>0</v>
      </c>
      <c r="F777" s="59">
        <v>450</v>
      </c>
    </row>
    <row r="778" spans="1:6">
      <c r="A778" s="54" t="s">
        <v>202</v>
      </c>
      <c r="B778" s="55" t="s">
        <v>615</v>
      </c>
      <c r="C778" s="55" t="s">
        <v>1030</v>
      </c>
      <c r="D778" s="55"/>
      <c r="E778" s="55" t="s">
        <v>0</v>
      </c>
      <c r="F778" s="59">
        <v>80</v>
      </c>
    </row>
    <row r="779" spans="1:6">
      <c r="A779" s="54" t="s">
        <v>202</v>
      </c>
      <c r="B779" s="55" t="s">
        <v>615</v>
      </c>
      <c r="C779" s="55" t="s">
        <v>1031</v>
      </c>
      <c r="D779" s="55"/>
      <c r="E779" s="55" t="s">
        <v>0</v>
      </c>
      <c r="F779" s="59">
        <v>1823</v>
      </c>
    </row>
    <row r="780" spans="1:6">
      <c r="A780" s="54" t="s">
        <v>525</v>
      </c>
      <c r="B780" s="55" t="s">
        <v>615</v>
      </c>
      <c r="C780" s="55" t="s">
        <v>1037</v>
      </c>
      <c r="D780" s="55"/>
      <c r="E780" s="55" t="s">
        <v>0</v>
      </c>
      <c r="F780" s="59">
        <v>2145</v>
      </c>
    </row>
    <row r="781" spans="1:6">
      <c r="A781" s="54" t="s">
        <v>552</v>
      </c>
      <c r="B781" s="55" t="s">
        <v>615</v>
      </c>
      <c r="C781" s="55" t="s">
        <v>1027</v>
      </c>
      <c r="D781" s="55"/>
      <c r="E781" s="55" t="s">
        <v>0</v>
      </c>
      <c r="F781" s="59">
        <v>23360</v>
      </c>
    </row>
    <row r="782" spans="1:6">
      <c r="A782" s="54" t="s">
        <v>552</v>
      </c>
      <c r="B782" s="55" t="s">
        <v>615</v>
      </c>
      <c r="C782" s="55" t="s">
        <v>1027</v>
      </c>
      <c r="D782" s="55"/>
      <c r="E782" s="55" t="s">
        <v>0</v>
      </c>
      <c r="F782" s="59">
        <v>832</v>
      </c>
    </row>
    <row r="783" spans="1:6">
      <c r="A783" s="54" t="s">
        <v>207</v>
      </c>
      <c r="B783" s="55" t="s">
        <v>615</v>
      </c>
      <c r="C783" s="55" t="s">
        <v>1028</v>
      </c>
      <c r="D783" s="55"/>
      <c r="E783" s="55" t="s">
        <v>0</v>
      </c>
      <c r="F783" s="59">
        <v>2492</v>
      </c>
    </row>
    <row r="784" spans="1:6">
      <c r="A784" s="54" t="s">
        <v>207</v>
      </c>
      <c r="B784" s="55" t="s">
        <v>615</v>
      </c>
      <c r="C784" s="55" t="s">
        <v>1030</v>
      </c>
      <c r="D784" s="55"/>
      <c r="E784" s="55" t="s">
        <v>0</v>
      </c>
      <c r="F784" s="59">
        <v>3241</v>
      </c>
    </row>
    <row r="785" spans="1:6">
      <c r="A785" s="54" t="s">
        <v>207</v>
      </c>
      <c r="B785" s="55" t="s">
        <v>615</v>
      </c>
      <c r="C785" s="55" t="s">
        <v>1036</v>
      </c>
      <c r="D785" s="55"/>
      <c r="E785" s="55" t="s">
        <v>0</v>
      </c>
      <c r="F785" s="59">
        <v>10373</v>
      </c>
    </row>
    <row r="786" spans="1:6">
      <c r="A786" s="54" t="s">
        <v>552</v>
      </c>
      <c r="B786" s="55" t="s">
        <v>615</v>
      </c>
      <c r="C786" s="55" t="s">
        <v>1032</v>
      </c>
      <c r="D786" s="55"/>
      <c r="E786" s="55" t="s">
        <v>0</v>
      </c>
      <c r="F786" s="59">
        <v>5600</v>
      </c>
    </row>
    <row r="787" spans="1:6">
      <c r="A787" s="54" t="s">
        <v>552</v>
      </c>
      <c r="B787" s="55" t="s">
        <v>615</v>
      </c>
      <c r="C787" s="55" t="s">
        <v>1030</v>
      </c>
      <c r="D787" s="55"/>
      <c r="E787" s="55" t="s">
        <v>0</v>
      </c>
      <c r="F787" s="59">
        <v>5112</v>
      </c>
    </row>
    <row r="788" spans="1:6">
      <c r="A788" s="54" t="s">
        <v>550</v>
      </c>
      <c r="B788" s="55" t="s">
        <v>615</v>
      </c>
      <c r="C788" s="55" t="s">
        <v>1037</v>
      </c>
      <c r="D788" s="55"/>
      <c r="E788" s="55" t="s">
        <v>0</v>
      </c>
      <c r="F788" s="59">
        <v>27270</v>
      </c>
    </row>
    <row r="789" spans="1:6">
      <c r="A789" s="54" t="s">
        <v>550</v>
      </c>
      <c r="B789" s="55" t="s">
        <v>615</v>
      </c>
      <c r="C789" s="55" t="s">
        <v>1027</v>
      </c>
      <c r="D789" s="55"/>
      <c r="E789" s="55" t="s">
        <v>0</v>
      </c>
      <c r="F789" s="59">
        <v>810</v>
      </c>
    </row>
    <row r="790" spans="1:6">
      <c r="A790" s="54" t="s">
        <v>211</v>
      </c>
      <c r="B790" s="55" t="s">
        <v>615</v>
      </c>
      <c r="C790" s="55" t="s">
        <v>1028</v>
      </c>
      <c r="D790" s="55"/>
      <c r="E790" s="55" t="s">
        <v>0</v>
      </c>
      <c r="F790" s="59">
        <v>2312</v>
      </c>
    </row>
    <row r="791" spans="1:6">
      <c r="A791" s="54" t="s">
        <v>211</v>
      </c>
      <c r="B791" s="55" t="s">
        <v>615</v>
      </c>
      <c r="C791" s="55" t="s">
        <v>1030</v>
      </c>
      <c r="D791" s="55"/>
      <c r="E791" s="55" t="s">
        <v>0</v>
      </c>
      <c r="F791" s="59">
        <v>3186</v>
      </c>
    </row>
    <row r="792" spans="1:6">
      <c r="A792" s="54" t="s">
        <v>211</v>
      </c>
      <c r="B792" s="55" t="s">
        <v>615</v>
      </c>
      <c r="C792" s="55" t="s">
        <v>1036</v>
      </c>
      <c r="D792" s="55"/>
      <c r="E792" s="55" t="s">
        <v>0</v>
      </c>
      <c r="F792" s="59">
        <v>3520</v>
      </c>
    </row>
    <row r="793" spans="1:6">
      <c r="A793" s="54" t="s">
        <v>211</v>
      </c>
      <c r="B793" s="55" t="s">
        <v>615</v>
      </c>
      <c r="C793" s="55" t="s">
        <v>1034</v>
      </c>
      <c r="D793" s="55"/>
      <c r="E793" s="55" t="s">
        <v>0</v>
      </c>
      <c r="F793" s="59">
        <v>3726</v>
      </c>
    </row>
    <row r="794" spans="1:6">
      <c r="A794" s="54" t="s">
        <v>550</v>
      </c>
      <c r="B794" s="55" t="s">
        <v>615</v>
      </c>
      <c r="C794" s="55" t="s">
        <v>1044</v>
      </c>
      <c r="D794" s="55"/>
      <c r="E794" s="55" t="s">
        <v>0</v>
      </c>
      <c r="F794" s="59">
        <v>3621</v>
      </c>
    </row>
    <row r="795" spans="1:6">
      <c r="A795" s="54" t="s">
        <v>550</v>
      </c>
      <c r="B795" s="55" t="s">
        <v>615</v>
      </c>
      <c r="C795" s="55" t="s">
        <v>1030</v>
      </c>
      <c r="D795" s="55"/>
      <c r="E795" s="55" t="s">
        <v>0</v>
      </c>
      <c r="F795" s="59">
        <v>2702</v>
      </c>
    </row>
    <row r="796" spans="1:6">
      <c r="A796" s="54" t="s">
        <v>193</v>
      </c>
      <c r="B796" s="55" t="s">
        <v>615</v>
      </c>
      <c r="C796" s="55" t="s">
        <v>1037</v>
      </c>
      <c r="D796" s="55"/>
      <c r="E796" s="55" t="s">
        <v>0</v>
      </c>
      <c r="F796" s="59">
        <v>182</v>
      </c>
    </row>
    <row r="797" spans="1:6">
      <c r="A797" s="54" t="s">
        <v>562</v>
      </c>
      <c r="B797" s="55" t="s">
        <v>615</v>
      </c>
      <c r="C797" s="55" t="s">
        <v>1030</v>
      </c>
      <c r="D797" s="55"/>
      <c r="E797" s="55" t="s">
        <v>0</v>
      </c>
      <c r="F797" s="59">
        <v>15900</v>
      </c>
    </row>
    <row r="798" spans="1:6">
      <c r="A798" s="54" t="s">
        <v>186</v>
      </c>
      <c r="B798" s="55" t="s">
        <v>615</v>
      </c>
      <c r="C798" s="55" t="s">
        <v>1027</v>
      </c>
      <c r="D798" s="55"/>
      <c r="E798" s="55" t="s">
        <v>0</v>
      </c>
      <c r="F798" s="59">
        <v>2747</v>
      </c>
    </row>
    <row r="799" spans="1:6">
      <c r="A799" s="54" t="s">
        <v>186</v>
      </c>
      <c r="B799" s="55" t="s">
        <v>615</v>
      </c>
      <c r="C799" s="55" t="s">
        <v>1028</v>
      </c>
      <c r="D799" s="55"/>
      <c r="E799" s="55" t="s">
        <v>0</v>
      </c>
      <c r="F799" s="59">
        <v>1152</v>
      </c>
    </row>
    <row r="800" spans="1:6">
      <c r="A800" s="54" t="s">
        <v>562</v>
      </c>
      <c r="B800" s="55" t="s">
        <v>615</v>
      </c>
      <c r="C800" s="55" t="s">
        <v>1030</v>
      </c>
      <c r="D800" s="55"/>
      <c r="E800" s="55" t="s">
        <v>0</v>
      </c>
      <c r="F800" s="60">
        <v>201</v>
      </c>
    </row>
    <row r="801" spans="1:6">
      <c r="A801" s="54" t="s">
        <v>562</v>
      </c>
      <c r="B801" s="55" t="s">
        <v>615</v>
      </c>
      <c r="C801" s="55" t="s">
        <v>1036</v>
      </c>
      <c r="D801" s="55"/>
      <c r="E801" s="55" t="s">
        <v>0</v>
      </c>
      <c r="F801" s="59">
        <v>685</v>
      </c>
    </row>
    <row r="802" spans="1:6">
      <c r="A802" s="54" t="s">
        <v>905</v>
      </c>
      <c r="B802" s="55" t="s">
        <v>615</v>
      </c>
      <c r="C802" s="55" t="s">
        <v>1030</v>
      </c>
      <c r="D802" s="55"/>
      <c r="E802" s="55" t="s">
        <v>0</v>
      </c>
      <c r="F802" s="59">
        <v>10</v>
      </c>
    </row>
    <row r="803" spans="1:6">
      <c r="A803" s="54" t="s">
        <v>911</v>
      </c>
      <c r="B803" s="55" t="s">
        <v>615</v>
      </c>
      <c r="C803" s="55" t="s">
        <v>1037</v>
      </c>
      <c r="D803" s="55"/>
      <c r="E803" s="55" t="s">
        <v>0</v>
      </c>
      <c r="F803" s="59">
        <v>492</v>
      </c>
    </row>
    <row r="804" spans="1:6">
      <c r="A804" s="54" t="s">
        <v>911</v>
      </c>
      <c r="B804" s="55" t="s">
        <v>615</v>
      </c>
      <c r="C804" s="55" t="s">
        <v>1027</v>
      </c>
      <c r="D804" s="55"/>
      <c r="E804" s="55" t="s">
        <v>0</v>
      </c>
      <c r="F804" s="59">
        <v>36</v>
      </c>
    </row>
    <row r="805" spans="1:6">
      <c r="A805" s="54" t="s">
        <v>746</v>
      </c>
      <c r="B805" s="55" t="s">
        <v>615</v>
      </c>
      <c r="C805" s="55" t="s">
        <v>1028</v>
      </c>
      <c r="D805" s="55"/>
      <c r="E805" s="55" t="s">
        <v>1045</v>
      </c>
      <c r="F805" s="59">
        <v>0</v>
      </c>
    </row>
    <row r="806" spans="1:6">
      <c r="A806" s="54" t="s">
        <v>746</v>
      </c>
      <c r="B806" s="55" t="s">
        <v>615</v>
      </c>
      <c r="C806" s="55" t="s">
        <v>1030</v>
      </c>
      <c r="D806" s="55"/>
      <c r="E806" s="55" t="s">
        <v>0</v>
      </c>
      <c r="F806" s="59">
        <v>157</v>
      </c>
    </row>
    <row r="807" spans="1:6">
      <c r="A807" s="54" t="s">
        <v>196</v>
      </c>
      <c r="B807" s="55" t="s">
        <v>615</v>
      </c>
      <c r="C807" s="55" t="s">
        <v>1036</v>
      </c>
      <c r="D807" s="55"/>
      <c r="E807" s="55" t="s">
        <v>0</v>
      </c>
      <c r="F807" s="59">
        <v>329</v>
      </c>
    </row>
    <row r="808" spans="1:6">
      <c r="A808" s="54" t="s">
        <v>196</v>
      </c>
      <c r="B808" s="55" t="s">
        <v>615</v>
      </c>
      <c r="C808" s="55" t="s">
        <v>1028</v>
      </c>
      <c r="D808" s="55"/>
      <c r="E808" s="55" t="s">
        <v>0</v>
      </c>
      <c r="F808" s="59">
        <v>203</v>
      </c>
    </row>
    <row r="809" spans="1:6">
      <c r="A809" s="54" t="s">
        <v>557</v>
      </c>
      <c r="B809" s="55" t="s">
        <v>615</v>
      </c>
      <c r="C809" s="55" t="s">
        <v>1030</v>
      </c>
      <c r="D809" s="55"/>
      <c r="E809" s="55" t="s">
        <v>0</v>
      </c>
      <c r="F809" s="59">
        <v>493</v>
      </c>
    </row>
    <row r="810" spans="1:6">
      <c r="A810" s="54" t="s">
        <v>361</v>
      </c>
      <c r="B810" s="55" t="s">
        <v>615</v>
      </c>
      <c r="C810" s="55" t="s">
        <v>1030</v>
      </c>
      <c r="D810" s="55"/>
      <c r="E810" s="55" t="s">
        <v>0</v>
      </c>
      <c r="F810" s="59">
        <v>240</v>
      </c>
    </row>
    <row r="811" spans="1:6">
      <c r="A811" s="54" t="s">
        <v>103</v>
      </c>
      <c r="B811" s="55" t="s">
        <v>615</v>
      </c>
      <c r="C811" s="55" t="s">
        <v>1037</v>
      </c>
      <c r="D811" s="55"/>
      <c r="E811" s="55" t="s">
        <v>0</v>
      </c>
      <c r="F811" s="59">
        <v>5119</v>
      </c>
    </row>
    <row r="812" spans="1:6">
      <c r="A812" s="54" t="s">
        <v>103</v>
      </c>
      <c r="B812" s="55" t="s">
        <v>615</v>
      </c>
      <c r="C812" s="55" t="s">
        <v>1028</v>
      </c>
      <c r="D812" s="55"/>
      <c r="E812" s="55" t="s">
        <v>0</v>
      </c>
      <c r="F812" s="59">
        <v>280</v>
      </c>
    </row>
    <row r="813" spans="1:6">
      <c r="A813" s="54" t="s">
        <v>103</v>
      </c>
      <c r="B813" s="55" t="s">
        <v>615</v>
      </c>
      <c r="C813" s="55" t="s">
        <v>1030</v>
      </c>
      <c r="D813" s="55"/>
      <c r="E813" s="55" t="s">
        <v>0</v>
      </c>
      <c r="F813" s="59">
        <v>48</v>
      </c>
    </row>
    <row r="814" spans="1:6">
      <c r="A814" s="54" t="s">
        <v>275</v>
      </c>
      <c r="B814" s="55" t="s">
        <v>615</v>
      </c>
      <c r="C814" s="55" t="s">
        <v>1030</v>
      </c>
      <c r="D814" s="55"/>
      <c r="E814" s="55" t="s">
        <v>0</v>
      </c>
      <c r="F814" s="59">
        <v>10</v>
      </c>
    </row>
    <row r="815" spans="1:6">
      <c r="A815" s="54" t="s">
        <v>104</v>
      </c>
      <c r="B815" s="55" t="s">
        <v>615</v>
      </c>
      <c r="C815" s="55" t="s">
        <v>1037</v>
      </c>
      <c r="D815" s="55"/>
      <c r="E815" s="55" t="s">
        <v>0</v>
      </c>
      <c r="F815" s="59">
        <v>153</v>
      </c>
    </row>
    <row r="816" spans="1:6">
      <c r="A816" s="54" t="s">
        <v>104</v>
      </c>
      <c r="B816" s="55" t="s">
        <v>615</v>
      </c>
      <c r="C816" s="55" t="s">
        <v>1027</v>
      </c>
      <c r="D816" s="55"/>
      <c r="E816" s="55" t="s">
        <v>0</v>
      </c>
      <c r="F816" s="59">
        <v>86</v>
      </c>
    </row>
    <row r="817" spans="1:6">
      <c r="A817" s="54" t="s">
        <v>304</v>
      </c>
      <c r="B817" s="55" t="s">
        <v>615</v>
      </c>
      <c r="C817" s="55" t="s">
        <v>1030</v>
      </c>
      <c r="D817" s="55"/>
      <c r="E817" s="55" t="s">
        <v>0</v>
      </c>
      <c r="F817" s="60">
        <v>19</v>
      </c>
    </row>
    <row r="818" spans="1:6">
      <c r="A818" s="54" t="s">
        <v>981</v>
      </c>
      <c r="B818" s="55" t="s">
        <v>615</v>
      </c>
      <c r="C818" s="55" t="s">
        <v>1027</v>
      </c>
      <c r="D818" s="55"/>
      <c r="E818" s="55" t="s">
        <v>0</v>
      </c>
      <c r="F818" s="59">
        <v>140000</v>
      </c>
    </row>
    <row r="819" spans="1:6">
      <c r="A819" s="54" t="s">
        <v>992</v>
      </c>
      <c r="B819" s="55" t="s">
        <v>615</v>
      </c>
      <c r="C819" s="55" t="s">
        <v>1028</v>
      </c>
      <c r="D819" s="55"/>
      <c r="E819" s="55" t="s">
        <v>0</v>
      </c>
      <c r="F819" s="59">
        <v>173898</v>
      </c>
    </row>
    <row r="820" spans="1:6">
      <c r="A820" s="54" t="s">
        <v>992</v>
      </c>
      <c r="B820" s="55" t="s">
        <v>615</v>
      </c>
      <c r="C820" s="55" t="s">
        <v>1030</v>
      </c>
      <c r="D820" s="55"/>
      <c r="E820" s="55" t="s">
        <v>0</v>
      </c>
      <c r="F820" s="59">
        <v>512</v>
      </c>
    </row>
    <row r="821" spans="1:6">
      <c r="A821" s="54" t="s">
        <v>105</v>
      </c>
      <c r="B821" s="55" t="s">
        <v>615</v>
      </c>
      <c r="C821" s="55" t="s">
        <v>1027</v>
      </c>
      <c r="D821" s="55"/>
      <c r="E821" s="55" t="s">
        <v>0</v>
      </c>
      <c r="F821" s="59">
        <v>1568</v>
      </c>
    </row>
    <row r="822" spans="1:6">
      <c r="A822" s="54" t="s">
        <v>105</v>
      </c>
      <c r="B822" s="55" t="s">
        <v>615</v>
      </c>
      <c r="C822" s="55" t="s">
        <v>1030</v>
      </c>
      <c r="D822" s="55"/>
      <c r="E822" s="55" t="s">
        <v>0</v>
      </c>
      <c r="F822" s="59">
        <v>488</v>
      </c>
    </row>
    <row r="823" spans="1:6">
      <c r="A823" s="54" t="s">
        <v>105</v>
      </c>
      <c r="B823" s="55" t="s">
        <v>615</v>
      </c>
      <c r="C823" s="55" t="s">
        <v>1027</v>
      </c>
      <c r="D823" s="55"/>
      <c r="E823" s="55" t="s">
        <v>0</v>
      </c>
      <c r="F823" s="59">
        <v>19</v>
      </c>
    </row>
    <row r="824" spans="1:6">
      <c r="A824" s="54" t="s">
        <v>890</v>
      </c>
      <c r="B824" s="55" t="s">
        <v>615</v>
      </c>
      <c r="C824" s="55" t="s">
        <v>1030</v>
      </c>
      <c r="D824" s="55"/>
      <c r="E824" s="55" t="s">
        <v>0</v>
      </c>
      <c r="F824" s="59">
        <v>0</v>
      </c>
    </row>
    <row r="825" spans="1:6">
      <c r="A825" s="54" t="s">
        <v>891</v>
      </c>
      <c r="B825" s="55" t="s">
        <v>615</v>
      </c>
      <c r="C825" s="55" t="s">
        <v>1028</v>
      </c>
      <c r="D825" s="55"/>
      <c r="E825" s="55" t="s">
        <v>0</v>
      </c>
      <c r="F825" s="59">
        <v>1</v>
      </c>
    </row>
    <row r="826" spans="1:6">
      <c r="A826" s="54" t="s">
        <v>106</v>
      </c>
      <c r="B826" s="55" t="s">
        <v>615</v>
      </c>
      <c r="C826" s="55" t="s">
        <v>1030</v>
      </c>
      <c r="D826" s="55"/>
      <c r="E826" s="55" t="s">
        <v>0</v>
      </c>
      <c r="F826" s="59">
        <v>63</v>
      </c>
    </row>
    <row r="827" spans="1:6">
      <c r="A827" s="54" t="s">
        <v>248</v>
      </c>
      <c r="B827" s="55" t="s">
        <v>615</v>
      </c>
      <c r="C827" s="55" t="s">
        <v>1046</v>
      </c>
      <c r="D827" s="55"/>
      <c r="E827" s="55" t="s">
        <v>0</v>
      </c>
      <c r="F827" s="59">
        <v>113</v>
      </c>
    </row>
    <row r="828" spans="1:6">
      <c r="A828" s="54" t="s">
        <v>249</v>
      </c>
      <c r="B828" s="55" t="s">
        <v>615</v>
      </c>
      <c r="C828" s="55" t="s">
        <v>1028</v>
      </c>
      <c r="D828" s="55"/>
      <c r="E828" s="55" t="s">
        <v>0</v>
      </c>
      <c r="F828" s="59">
        <v>115</v>
      </c>
    </row>
    <row r="829" spans="1:6">
      <c r="A829" s="54" t="s">
        <v>272</v>
      </c>
      <c r="B829" s="55" t="s">
        <v>615</v>
      </c>
      <c r="C829" s="55"/>
      <c r="D829" s="55"/>
      <c r="E829" s="55" t="s">
        <v>0</v>
      </c>
      <c r="F829" s="59">
        <v>97</v>
      </c>
    </row>
    <row r="830" spans="1:6">
      <c r="A830" s="54" t="s">
        <v>107</v>
      </c>
      <c r="B830" s="55" t="s">
        <v>615</v>
      </c>
      <c r="C830" s="55"/>
      <c r="D830" s="55"/>
      <c r="E830" s="55" t="s">
        <v>0</v>
      </c>
      <c r="F830" s="59">
        <v>120</v>
      </c>
    </row>
    <row r="831" spans="1:6">
      <c r="A831" s="54" t="s">
        <v>252</v>
      </c>
      <c r="B831" s="55" t="s">
        <v>615</v>
      </c>
      <c r="C831" s="55"/>
      <c r="D831" s="55"/>
      <c r="E831" s="55" t="s">
        <v>0</v>
      </c>
      <c r="F831" s="59">
        <v>3</v>
      </c>
    </row>
    <row r="832" spans="1:6">
      <c r="A832" s="54" t="s">
        <v>250</v>
      </c>
      <c r="B832" s="55" t="s">
        <v>615</v>
      </c>
      <c r="C832" s="55"/>
      <c r="D832" s="55"/>
      <c r="E832" s="55" t="s">
        <v>0</v>
      </c>
      <c r="F832" s="59">
        <v>0</v>
      </c>
    </row>
    <row r="833" spans="1:6">
      <c r="A833" s="54" t="s">
        <v>251</v>
      </c>
      <c r="B833" s="55" t="s">
        <v>615</v>
      </c>
      <c r="C833" s="55"/>
      <c r="D833" s="55"/>
      <c r="E833" s="55" t="s">
        <v>0</v>
      </c>
      <c r="F833" s="59">
        <v>106</v>
      </c>
    </row>
    <row r="834" spans="1:6">
      <c r="A834" s="54" t="s">
        <v>424</v>
      </c>
      <c r="B834" s="55" t="s">
        <v>615</v>
      </c>
      <c r="C834" s="55"/>
      <c r="D834" s="55"/>
      <c r="E834" s="55" t="s">
        <v>0</v>
      </c>
      <c r="F834" s="59">
        <v>486</v>
      </c>
    </row>
    <row r="835" spans="1:6">
      <c r="A835" s="54" t="s">
        <v>253</v>
      </c>
      <c r="B835" s="55" t="s">
        <v>615</v>
      </c>
      <c r="C835" s="55"/>
      <c r="D835" s="55"/>
      <c r="E835" s="55" t="s">
        <v>0</v>
      </c>
      <c r="F835" s="59">
        <v>1</v>
      </c>
    </row>
    <row r="836" spans="1:6">
      <c r="A836" s="54" t="s">
        <v>108</v>
      </c>
      <c r="B836" s="55" t="s">
        <v>615</v>
      </c>
      <c r="C836" s="55"/>
      <c r="D836" s="55"/>
      <c r="E836" s="55" t="s">
        <v>0</v>
      </c>
      <c r="F836" s="59">
        <v>42</v>
      </c>
    </row>
    <row r="837" spans="1:6">
      <c r="A837" s="54" t="s">
        <v>109</v>
      </c>
      <c r="B837" s="55" t="s">
        <v>615</v>
      </c>
      <c r="C837" s="55" t="s">
        <v>1030</v>
      </c>
      <c r="D837" s="55"/>
      <c r="E837" s="55" t="s">
        <v>0</v>
      </c>
      <c r="F837" s="59">
        <v>428</v>
      </c>
    </row>
    <row r="838" spans="1:6">
      <c r="A838" s="54" t="s">
        <v>356</v>
      </c>
      <c r="B838" s="55" t="s">
        <v>615</v>
      </c>
      <c r="C838" s="55"/>
      <c r="D838" s="55"/>
      <c r="E838" s="55" t="s">
        <v>0</v>
      </c>
      <c r="F838" s="59">
        <v>1</v>
      </c>
    </row>
    <row r="839" spans="1:6">
      <c r="A839" s="54" t="s">
        <v>113</v>
      </c>
      <c r="B839" s="55" t="s">
        <v>615</v>
      </c>
      <c r="C839" s="55" t="s">
        <v>1028</v>
      </c>
      <c r="D839" s="55"/>
      <c r="E839" s="55" t="s">
        <v>0</v>
      </c>
      <c r="F839" s="59">
        <v>11</v>
      </c>
    </row>
    <row r="840" spans="1:6">
      <c r="A840" s="54" t="s">
        <v>632</v>
      </c>
      <c r="B840" s="55" t="s">
        <v>615</v>
      </c>
      <c r="C840" s="55" t="s">
        <v>1027</v>
      </c>
      <c r="D840" s="55"/>
      <c r="E840" s="55" t="s">
        <v>0</v>
      </c>
      <c r="F840" s="59">
        <v>23</v>
      </c>
    </row>
    <row r="841" spans="1:6">
      <c r="A841" s="54" t="s">
        <v>111</v>
      </c>
      <c r="B841" s="55" t="s">
        <v>615</v>
      </c>
      <c r="C841" s="55" t="s">
        <v>1027</v>
      </c>
      <c r="D841" s="55"/>
      <c r="E841" s="55" t="s">
        <v>0</v>
      </c>
      <c r="F841" s="59">
        <v>76</v>
      </c>
    </row>
    <row r="842" spans="1:6">
      <c r="A842" s="54" t="s">
        <v>514</v>
      </c>
      <c r="B842" s="55" t="s">
        <v>615</v>
      </c>
      <c r="C842" s="55" t="s">
        <v>1027</v>
      </c>
      <c r="D842" s="55"/>
      <c r="E842" s="55" t="s">
        <v>0</v>
      </c>
      <c r="F842" s="59">
        <v>15</v>
      </c>
    </row>
    <row r="843" spans="1:6">
      <c r="A843" s="54" t="s">
        <v>112</v>
      </c>
      <c r="B843" s="55" t="s">
        <v>615</v>
      </c>
      <c r="C843" s="55" t="s">
        <v>1030</v>
      </c>
      <c r="D843" s="55"/>
      <c r="E843" s="55" t="s">
        <v>0</v>
      </c>
      <c r="F843" s="59">
        <v>339</v>
      </c>
    </row>
    <row r="844" spans="1:6">
      <c r="A844" s="54" t="s">
        <v>633</v>
      </c>
      <c r="B844" s="55" t="s">
        <v>615</v>
      </c>
      <c r="C844" s="55" t="s">
        <v>1030</v>
      </c>
      <c r="D844" s="55"/>
      <c r="E844" s="55" t="s">
        <v>0</v>
      </c>
      <c r="F844" s="59">
        <v>45</v>
      </c>
    </row>
    <row r="845" spans="1:6">
      <c r="A845" s="54" t="s">
        <v>110</v>
      </c>
      <c r="B845" s="55" t="s">
        <v>615</v>
      </c>
      <c r="C845" s="55" t="s">
        <v>1027</v>
      </c>
      <c r="D845" s="55"/>
      <c r="E845" s="55" t="s">
        <v>0</v>
      </c>
      <c r="F845" s="59">
        <v>92</v>
      </c>
    </row>
    <row r="846" spans="1:6">
      <c r="A846" s="54" t="s">
        <v>114</v>
      </c>
      <c r="B846" s="55" t="s">
        <v>615</v>
      </c>
      <c r="C846" s="55" t="s">
        <v>1027</v>
      </c>
      <c r="D846" s="55"/>
      <c r="E846" s="55" t="s">
        <v>0</v>
      </c>
      <c r="F846" s="59">
        <v>48</v>
      </c>
    </row>
    <row r="847" spans="1:6">
      <c r="A847" s="54" t="s">
        <v>335</v>
      </c>
      <c r="B847" s="55" t="s">
        <v>615</v>
      </c>
      <c r="C847" s="55" t="s">
        <v>1027</v>
      </c>
      <c r="D847" s="55"/>
      <c r="E847" s="55" t="s">
        <v>0</v>
      </c>
      <c r="F847" s="59">
        <v>50</v>
      </c>
    </row>
    <row r="848" spans="1:6">
      <c r="A848" s="54" t="s">
        <v>116</v>
      </c>
      <c r="B848" s="55" t="s">
        <v>615</v>
      </c>
      <c r="C848" s="55" t="s">
        <v>1027</v>
      </c>
      <c r="D848" s="55"/>
      <c r="E848" s="55" t="s">
        <v>0</v>
      </c>
      <c r="F848" s="59">
        <v>56</v>
      </c>
    </row>
    <row r="849" spans="1:6">
      <c r="A849" s="54" t="s">
        <v>335</v>
      </c>
      <c r="B849" s="55" t="s">
        <v>615</v>
      </c>
      <c r="C849" s="55" t="s">
        <v>1027</v>
      </c>
      <c r="D849" s="55"/>
      <c r="E849" s="55" t="s">
        <v>0</v>
      </c>
      <c r="F849" s="59">
        <v>64</v>
      </c>
    </row>
    <row r="850" spans="1:6">
      <c r="A850" s="54" t="s">
        <v>335</v>
      </c>
      <c r="B850" s="55" t="s">
        <v>615</v>
      </c>
      <c r="C850" s="55" t="s">
        <v>1030</v>
      </c>
      <c r="D850" s="55"/>
      <c r="E850" s="55" t="s">
        <v>0</v>
      </c>
      <c r="F850" s="59">
        <v>14</v>
      </c>
    </row>
    <row r="851" spans="1:6">
      <c r="A851" s="54" t="s">
        <v>115</v>
      </c>
      <c r="B851" s="55" t="s">
        <v>615</v>
      </c>
      <c r="C851" s="55" t="s">
        <v>1027</v>
      </c>
      <c r="D851" s="55"/>
      <c r="E851" s="55" t="s">
        <v>0</v>
      </c>
      <c r="F851" s="59">
        <v>500</v>
      </c>
    </row>
    <row r="852" spans="1:6">
      <c r="A852" s="54" t="s">
        <v>255</v>
      </c>
      <c r="B852" s="55" t="s">
        <v>615</v>
      </c>
      <c r="C852" s="55" t="s">
        <v>1030</v>
      </c>
      <c r="D852" s="55"/>
      <c r="E852" s="55" t="s">
        <v>0</v>
      </c>
      <c r="F852" s="59">
        <v>0</v>
      </c>
    </row>
    <row r="853" spans="1:6">
      <c r="A853" s="54" t="s">
        <v>254</v>
      </c>
      <c r="B853" s="55" t="s">
        <v>615</v>
      </c>
      <c r="C853" s="55" t="s">
        <v>1027</v>
      </c>
      <c r="D853" s="55"/>
      <c r="E853" s="55" t="s">
        <v>0</v>
      </c>
      <c r="F853" s="59">
        <v>93</v>
      </c>
    </row>
    <row r="854" spans="1:6">
      <c r="A854" s="54" t="s">
        <v>634</v>
      </c>
      <c r="B854" s="55" t="s">
        <v>615</v>
      </c>
      <c r="C854" s="55" t="s">
        <v>1030</v>
      </c>
      <c r="D854" s="55"/>
      <c r="E854" s="55" t="s">
        <v>0</v>
      </c>
      <c r="F854" s="59">
        <v>103</v>
      </c>
    </row>
    <row r="855" spans="1:6">
      <c r="A855" s="54" t="s">
        <v>274</v>
      </c>
      <c r="B855" s="55" t="s">
        <v>615</v>
      </c>
      <c r="C855" s="55" t="s">
        <v>1030</v>
      </c>
      <c r="D855" s="55"/>
      <c r="E855" s="55" t="s">
        <v>0</v>
      </c>
      <c r="F855" s="59">
        <v>23</v>
      </c>
    </row>
    <row r="856" spans="1:6">
      <c r="A856" s="54" t="s">
        <v>118</v>
      </c>
      <c r="B856" s="55" t="s">
        <v>615</v>
      </c>
      <c r="C856" s="55" t="s">
        <v>1030</v>
      </c>
      <c r="D856" s="55"/>
      <c r="E856" s="55" t="s">
        <v>0</v>
      </c>
      <c r="F856" s="59">
        <v>87</v>
      </c>
    </row>
    <row r="857" spans="1:6">
      <c r="A857" s="54" t="s">
        <v>271</v>
      </c>
      <c r="B857" s="55" t="s">
        <v>615</v>
      </c>
      <c r="C857" s="55" t="s">
        <v>1027</v>
      </c>
      <c r="D857" s="55"/>
      <c r="E857" s="55" t="s">
        <v>0</v>
      </c>
      <c r="F857" s="59">
        <v>80</v>
      </c>
    </row>
    <row r="858" spans="1:6">
      <c r="A858" s="54" t="s">
        <v>117</v>
      </c>
      <c r="B858" s="55" t="s">
        <v>615</v>
      </c>
      <c r="C858" s="55" t="s">
        <v>1030</v>
      </c>
      <c r="D858" s="55"/>
      <c r="E858" s="55" t="s">
        <v>0</v>
      </c>
      <c r="F858" s="59">
        <v>7</v>
      </c>
    </row>
    <row r="859" spans="1:6">
      <c r="A859" s="54" t="s">
        <v>541</v>
      </c>
      <c r="B859" s="55" t="s">
        <v>615</v>
      </c>
      <c r="C859" s="55" t="s">
        <v>1030</v>
      </c>
      <c r="D859" s="55"/>
      <c r="E859" s="55" t="s">
        <v>0</v>
      </c>
      <c r="F859" s="59">
        <v>115</v>
      </c>
    </row>
    <row r="860" spans="1:6">
      <c r="A860" s="54" t="s">
        <v>542</v>
      </c>
      <c r="B860" s="55" t="s">
        <v>615</v>
      </c>
      <c r="C860" s="55" t="s">
        <v>1030</v>
      </c>
      <c r="D860" s="55"/>
      <c r="E860" s="55" t="s">
        <v>0</v>
      </c>
      <c r="F860" s="59">
        <v>6</v>
      </c>
    </row>
    <row r="861" spans="1:6">
      <c r="A861" s="54" t="s">
        <v>119</v>
      </c>
      <c r="B861" s="55" t="s">
        <v>615</v>
      </c>
      <c r="C861" s="55" t="s">
        <v>1028</v>
      </c>
      <c r="D861" s="55"/>
      <c r="E861" s="55" t="s">
        <v>0</v>
      </c>
      <c r="F861" s="59">
        <v>51</v>
      </c>
    </row>
    <row r="862" spans="1:6">
      <c r="A862" s="54" t="s">
        <v>264</v>
      </c>
      <c r="B862" s="55" t="s">
        <v>615</v>
      </c>
      <c r="C862" s="55" t="s">
        <v>1030</v>
      </c>
      <c r="D862" s="55"/>
      <c r="E862" s="55" t="s">
        <v>0</v>
      </c>
      <c r="F862" s="59">
        <v>6</v>
      </c>
    </row>
    <row r="863" spans="1:6">
      <c r="A863" s="54" t="s">
        <v>120</v>
      </c>
      <c r="B863" s="55" t="s">
        <v>615</v>
      </c>
      <c r="C863" s="55" t="s">
        <v>1030</v>
      </c>
      <c r="D863" s="55"/>
      <c r="E863" s="55" t="s">
        <v>0</v>
      </c>
      <c r="F863" s="59">
        <v>6</v>
      </c>
    </row>
    <row r="864" spans="1:6">
      <c r="A864" s="54" t="s">
        <v>543</v>
      </c>
      <c r="B864" s="55" t="s">
        <v>615</v>
      </c>
      <c r="C864" s="55" t="s">
        <v>1027</v>
      </c>
      <c r="D864" s="55"/>
      <c r="E864" s="55" t="s">
        <v>0</v>
      </c>
      <c r="F864" s="59">
        <v>3</v>
      </c>
    </row>
    <row r="865" spans="1:6">
      <c r="A865" s="54" t="s">
        <v>121</v>
      </c>
      <c r="B865" s="55" t="s">
        <v>615</v>
      </c>
      <c r="C865" s="55" t="s">
        <v>1030</v>
      </c>
      <c r="D865" s="55"/>
      <c r="E865" s="55" t="s">
        <v>0</v>
      </c>
      <c r="F865" s="59">
        <v>30</v>
      </c>
    </row>
    <row r="866" spans="1:6">
      <c r="A866" s="54" t="s">
        <v>544</v>
      </c>
      <c r="B866" s="55" t="s">
        <v>615</v>
      </c>
      <c r="C866" s="55" t="s">
        <v>1027</v>
      </c>
      <c r="D866" s="55"/>
      <c r="E866" s="55" t="s">
        <v>0</v>
      </c>
      <c r="F866" s="59">
        <v>0</v>
      </c>
    </row>
    <row r="867" spans="1:6">
      <c r="A867" s="54" t="s">
        <v>545</v>
      </c>
      <c r="B867" s="55" t="s">
        <v>615</v>
      </c>
      <c r="C867" s="55" t="s">
        <v>1030</v>
      </c>
      <c r="D867" s="55"/>
      <c r="E867" s="55" t="s">
        <v>0</v>
      </c>
      <c r="F867" s="59">
        <v>1</v>
      </c>
    </row>
    <row r="868" spans="1:6">
      <c r="A868" s="54" t="s">
        <v>273</v>
      </c>
      <c r="B868" s="55" t="s">
        <v>615</v>
      </c>
      <c r="C868" s="55" t="s">
        <v>1030</v>
      </c>
      <c r="D868" s="55"/>
      <c r="E868" s="55" t="s">
        <v>0</v>
      </c>
      <c r="F868" s="59">
        <v>37</v>
      </c>
    </row>
    <row r="869" spans="1:6">
      <c r="A869" s="54" t="s">
        <v>546</v>
      </c>
      <c r="B869" s="55" t="s">
        <v>615</v>
      </c>
      <c r="C869" s="55" t="s">
        <v>1027</v>
      </c>
      <c r="D869" s="55"/>
      <c r="E869" s="55" t="s">
        <v>0</v>
      </c>
      <c r="F869" s="59">
        <v>2</v>
      </c>
    </row>
    <row r="870" spans="1:6">
      <c r="A870" s="54" t="s">
        <v>122</v>
      </c>
      <c r="B870" s="55" t="s">
        <v>615</v>
      </c>
      <c r="C870" s="55" t="s">
        <v>1030</v>
      </c>
      <c r="D870" s="55"/>
      <c r="E870" s="55" t="s">
        <v>0</v>
      </c>
      <c r="F870" s="59">
        <v>64</v>
      </c>
    </row>
    <row r="871" spans="1:6">
      <c r="A871" s="54" t="s">
        <v>547</v>
      </c>
      <c r="B871" s="55" t="s">
        <v>615</v>
      </c>
      <c r="C871" s="55" t="s">
        <v>1027</v>
      </c>
      <c r="D871" s="55"/>
      <c r="E871" s="55" t="s">
        <v>0</v>
      </c>
      <c r="F871" s="59">
        <v>59</v>
      </c>
    </row>
    <row r="872" spans="1:6">
      <c r="A872" s="54" t="s">
        <v>123</v>
      </c>
      <c r="B872" s="55" t="s">
        <v>615</v>
      </c>
      <c r="C872" s="55" t="s">
        <v>1027</v>
      </c>
      <c r="D872" s="55"/>
      <c r="E872" s="55" t="s">
        <v>0</v>
      </c>
      <c r="F872" s="59">
        <v>180</v>
      </c>
    </row>
    <row r="873" spans="1:6">
      <c r="A873" s="54" t="s">
        <v>258</v>
      </c>
      <c r="B873" s="55" t="s">
        <v>615</v>
      </c>
      <c r="C873" s="55" t="s">
        <v>1027</v>
      </c>
      <c r="D873" s="55"/>
      <c r="E873" s="55" t="s">
        <v>0</v>
      </c>
      <c r="F873" s="59">
        <v>61</v>
      </c>
    </row>
    <row r="874" spans="1:6">
      <c r="A874" s="54" t="s">
        <v>548</v>
      </c>
      <c r="B874" s="55" t="s">
        <v>615</v>
      </c>
      <c r="C874" s="55" t="s">
        <v>1030</v>
      </c>
      <c r="D874" s="55"/>
      <c r="E874" s="55" t="s">
        <v>0</v>
      </c>
      <c r="F874" s="59">
        <v>80</v>
      </c>
    </row>
    <row r="875" spans="1:6">
      <c r="A875" s="54" t="s">
        <v>124</v>
      </c>
      <c r="B875" s="55" t="s">
        <v>615</v>
      </c>
      <c r="C875" s="55" t="s">
        <v>1027</v>
      </c>
      <c r="D875" s="55"/>
      <c r="E875" s="55" t="s">
        <v>0</v>
      </c>
      <c r="F875" s="59">
        <v>82</v>
      </c>
    </row>
    <row r="876" spans="1:6">
      <c r="A876" s="54" t="s">
        <v>549</v>
      </c>
      <c r="B876" s="55" t="s">
        <v>615</v>
      </c>
      <c r="C876" s="55" t="s">
        <v>1030</v>
      </c>
      <c r="D876" s="55"/>
      <c r="E876" s="55" t="s">
        <v>0</v>
      </c>
      <c r="F876" s="59">
        <v>45</v>
      </c>
    </row>
    <row r="877" spans="1:6">
      <c r="A877" s="54" t="s">
        <v>125</v>
      </c>
      <c r="B877" s="55" t="s">
        <v>615</v>
      </c>
      <c r="C877" s="55" t="s">
        <v>1027</v>
      </c>
      <c r="D877" s="55"/>
      <c r="E877" s="55" t="s">
        <v>0</v>
      </c>
      <c r="F877" s="59">
        <v>140</v>
      </c>
    </row>
    <row r="878" spans="1:6">
      <c r="A878" s="54" t="s">
        <v>125</v>
      </c>
      <c r="B878" s="55" t="s">
        <v>615</v>
      </c>
      <c r="C878" s="55" t="s">
        <v>1027</v>
      </c>
      <c r="D878" s="55"/>
      <c r="E878" s="55" t="s">
        <v>0</v>
      </c>
      <c r="F878" s="59">
        <v>94</v>
      </c>
    </row>
    <row r="879" spans="1:6">
      <c r="A879" s="54" t="s">
        <v>256</v>
      </c>
      <c r="B879" s="55" t="s">
        <v>615</v>
      </c>
      <c r="C879" s="55" t="s">
        <v>1027</v>
      </c>
      <c r="D879" s="55"/>
      <c r="E879" s="55" t="s">
        <v>0</v>
      </c>
      <c r="F879" s="59">
        <v>8</v>
      </c>
    </row>
    <row r="880" spans="1:6">
      <c r="A880" s="54" t="s">
        <v>126</v>
      </c>
      <c r="B880" s="55" t="s">
        <v>615</v>
      </c>
      <c r="C880" s="55" t="s">
        <v>1027</v>
      </c>
      <c r="D880" s="55"/>
      <c r="E880" s="55" t="s">
        <v>0</v>
      </c>
      <c r="F880" s="59">
        <v>456</v>
      </c>
    </row>
    <row r="881" spans="1:6">
      <c r="A881" s="54" t="s">
        <v>280</v>
      </c>
      <c r="B881" s="55" t="s">
        <v>615</v>
      </c>
      <c r="C881" s="55" t="s">
        <v>1030</v>
      </c>
      <c r="D881" s="55"/>
      <c r="E881" s="55" t="s">
        <v>0</v>
      </c>
      <c r="F881" s="59">
        <v>45</v>
      </c>
    </row>
    <row r="882" spans="1:6">
      <c r="A882" s="54" t="s">
        <v>257</v>
      </c>
      <c r="B882" s="55" t="s">
        <v>615</v>
      </c>
      <c r="C882" s="55" t="s">
        <v>1027</v>
      </c>
      <c r="D882" s="55"/>
      <c r="E882" s="55" t="s">
        <v>0</v>
      </c>
      <c r="F882" s="59">
        <v>77</v>
      </c>
    </row>
    <row r="883" spans="1:6">
      <c r="A883" s="54" t="s">
        <v>259</v>
      </c>
      <c r="B883" s="55" t="s">
        <v>615</v>
      </c>
      <c r="C883" s="55" t="s">
        <v>1027</v>
      </c>
      <c r="D883" s="55"/>
      <c r="E883" s="55" t="s">
        <v>0</v>
      </c>
      <c r="F883" s="59">
        <v>8</v>
      </c>
    </row>
    <row r="884" spans="1:6">
      <c r="A884" s="54" t="s">
        <v>134</v>
      </c>
      <c r="B884" s="55" t="s">
        <v>615</v>
      </c>
      <c r="C884" s="55" t="s">
        <v>1027</v>
      </c>
      <c r="D884" s="55"/>
      <c r="E884" s="55" t="s">
        <v>0</v>
      </c>
      <c r="F884" s="59">
        <v>187</v>
      </c>
    </row>
    <row r="885" spans="1:6">
      <c r="A885" s="54" t="s">
        <v>135</v>
      </c>
      <c r="B885" s="55" t="s">
        <v>615</v>
      </c>
      <c r="C885" s="55" t="s">
        <v>1030</v>
      </c>
      <c r="D885" s="55"/>
      <c r="E885" s="55" t="s">
        <v>0</v>
      </c>
      <c r="F885" s="59">
        <v>160</v>
      </c>
    </row>
    <row r="886" spans="1:6">
      <c r="A886" s="54" t="s">
        <v>440</v>
      </c>
      <c r="B886" s="55" t="s">
        <v>615</v>
      </c>
      <c r="C886" s="55" t="s">
        <v>1027</v>
      </c>
      <c r="D886" s="55"/>
      <c r="E886" s="55" t="s">
        <v>0</v>
      </c>
      <c r="F886" s="59">
        <v>127</v>
      </c>
    </row>
    <row r="887" spans="1:6">
      <c r="A887" s="54" t="s">
        <v>441</v>
      </c>
      <c r="B887" s="55" t="s">
        <v>615</v>
      </c>
      <c r="C887" s="55" t="s">
        <v>1030</v>
      </c>
      <c r="D887" s="55"/>
      <c r="E887" s="55" t="s">
        <v>0</v>
      </c>
      <c r="F887" s="59">
        <v>6</v>
      </c>
    </row>
    <row r="888" spans="1:6">
      <c r="A888" s="54" t="s">
        <v>425</v>
      </c>
      <c r="B888" s="55" t="s">
        <v>615</v>
      </c>
      <c r="C888" s="55" t="s">
        <v>1027</v>
      </c>
      <c r="D888" s="55"/>
      <c r="E888" s="55" t="s">
        <v>0</v>
      </c>
      <c r="F888" s="59">
        <v>23</v>
      </c>
    </row>
    <row r="889" spans="1:6">
      <c r="A889" s="54" t="s">
        <v>442</v>
      </c>
      <c r="B889" s="55" t="s">
        <v>615</v>
      </c>
      <c r="C889" s="55" t="s">
        <v>1030</v>
      </c>
      <c r="D889" s="55"/>
      <c r="E889" s="55" t="s">
        <v>0</v>
      </c>
      <c r="F889" s="59">
        <v>199</v>
      </c>
    </row>
    <row r="890" spans="1:6">
      <c r="A890" s="54" t="s">
        <v>159</v>
      </c>
      <c r="B890" s="55" t="s">
        <v>615</v>
      </c>
      <c r="C890" s="55" t="s">
        <v>1027</v>
      </c>
      <c r="D890" s="55"/>
      <c r="E890" s="55" t="s">
        <v>0</v>
      </c>
      <c r="F890" s="59">
        <v>439</v>
      </c>
    </row>
    <row r="891" spans="1:6">
      <c r="A891" s="54" t="s">
        <v>260</v>
      </c>
      <c r="B891" s="55" t="s">
        <v>615</v>
      </c>
      <c r="C891" s="55" t="s">
        <v>1027</v>
      </c>
      <c r="D891" s="55"/>
      <c r="E891" s="55" t="s">
        <v>0</v>
      </c>
      <c r="F891" s="59">
        <v>1</v>
      </c>
    </row>
    <row r="892" spans="1:6">
      <c r="A892" s="54" t="s">
        <v>136</v>
      </c>
      <c r="B892" s="55" t="s">
        <v>615</v>
      </c>
      <c r="C892" s="55" t="s">
        <v>1029</v>
      </c>
      <c r="D892" s="55"/>
      <c r="E892" s="55" t="s">
        <v>0</v>
      </c>
      <c r="F892" s="59">
        <v>95</v>
      </c>
    </row>
    <row r="893" spans="1:6">
      <c r="A893" s="54" t="s">
        <v>137</v>
      </c>
      <c r="B893" s="55" t="s">
        <v>615</v>
      </c>
      <c r="C893" s="55" t="s">
        <v>1030</v>
      </c>
      <c r="D893" s="55"/>
      <c r="E893" s="55" t="s">
        <v>0</v>
      </c>
      <c r="F893" s="59">
        <v>84</v>
      </c>
    </row>
    <row r="894" spans="1:6">
      <c r="A894" s="54" t="s">
        <v>336</v>
      </c>
      <c r="B894" s="55" t="s">
        <v>615</v>
      </c>
      <c r="C894" s="55" t="s">
        <v>1030</v>
      </c>
      <c r="D894" s="55"/>
      <c r="E894" s="55" t="s">
        <v>0</v>
      </c>
      <c r="F894" s="59">
        <v>23</v>
      </c>
    </row>
    <row r="895" spans="1:6">
      <c r="A895" s="54" t="s">
        <v>270</v>
      </c>
      <c r="B895" s="55" t="s">
        <v>615</v>
      </c>
      <c r="C895" s="55" t="s">
        <v>1027</v>
      </c>
      <c r="D895" s="55"/>
      <c r="E895" s="55" t="s">
        <v>0</v>
      </c>
      <c r="F895" s="59">
        <v>16</v>
      </c>
    </row>
    <row r="896" spans="1:6">
      <c r="A896" s="54" t="s">
        <v>321</v>
      </c>
      <c r="B896" s="55" t="s">
        <v>615</v>
      </c>
      <c r="C896" s="55" t="s">
        <v>1027</v>
      </c>
      <c r="D896" s="55"/>
      <c r="E896" s="55" t="s">
        <v>0</v>
      </c>
      <c r="F896" s="59">
        <v>282</v>
      </c>
    </row>
    <row r="897" spans="1:6">
      <c r="A897" s="54" t="s">
        <v>139</v>
      </c>
      <c r="B897" s="55" t="s">
        <v>615</v>
      </c>
      <c r="C897" s="55" t="s">
        <v>1027</v>
      </c>
      <c r="D897" s="55"/>
      <c r="E897" s="55" t="s">
        <v>0</v>
      </c>
      <c r="F897" s="59">
        <v>2146</v>
      </c>
    </row>
    <row r="898" spans="1:6">
      <c r="A898" s="54" t="s">
        <v>139</v>
      </c>
      <c r="B898" s="55" t="s">
        <v>615</v>
      </c>
      <c r="C898" s="55" t="s">
        <v>1027</v>
      </c>
      <c r="D898" s="55"/>
      <c r="E898" s="55" t="s">
        <v>0</v>
      </c>
      <c r="F898" s="59">
        <v>46</v>
      </c>
    </row>
    <row r="899" spans="1:6">
      <c r="A899" s="54" t="s">
        <v>533</v>
      </c>
      <c r="B899" s="55" t="s">
        <v>615</v>
      </c>
      <c r="C899" s="55" t="s">
        <v>1030</v>
      </c>
      <c r="D899" s="55"/>
      <c r="E899" s="55" t="s">
        <v>0</v>
      </c>
      <c r="F899" s="59">
        <v>10</v>
      </c>
    </row>
    <row r="900" spans="1:6">
      <c r="A900" s="54" t="s">
        <v>533</v>
      </c>
      <c r="B900" s="55" t="s">
        <v>615</v>
      </c>
      <c r="C900" s="55" t="s">
        <v>1027</v>
      </c>
      <c r="D900" s="55"/>
      <c r="E900" s="55" t="s">
        <v>0</v>
      </c>
      <c r="F900" s="59">
        <v>21</v>
      </c>
    </row>
    <row r="901" spans="1:6">
      <c r="A901" s="54" t="s">
        <v>533</v>
      </c>
      <c r="B901" s="55" t="s">
        <v>615</v>
      </c>
      <c r="C901" s="55" t="s">
        <v>1030</v>
      </c>
      <c r="D901" s="55"/>
      <c r="E901" s="55" t="s">
        <v>0</v>
      </c>
      <c r="F901" s="59">
        <v>20</v>
      </c>
    </row>
    <row r="902" spans="1:6">
      <c r="A902" s="54" t="s">
        <v>138</v>
      </c>
      <c r="B902" s="55" t="s">
        <v>615</v>
      </c>
      <c r="C902" s="55" t="s">
        <v>1030</v>
      </c>
      <c r="D902" s="55"/>
      <c r="E902" s="55" t="s">
        <v>0</v>
      </c>
      <c r="F902" s="59">
        <v>152</v>
      </c>
    </row>
    <row r="903" spans="1:6">
      <c r="A903" s="54" t="s">
        <v>138</v>
      </c>
      <c r="B903" s="55" t="s">
        <v>615</v>
      </c>
      <c r="C903" s="55" t="s">
        <v>1027</v>
      </c>
      <c r="D903" s="55"/>
      <c r="E903" s="55" t="s">
        <v>0</v>
      </c>
      <c r="F903" s="59">
        <v>5</v>
      </c>
    </row>
    <row r="904" spans="1:6">
      <c r="A904" s="54" t="s">
        <v>535</v>
      </c>
      <c r="B904" s="55" t="s">
        <v>615</v>
      </c>
      <c r="C904" s="55" t="s">
        <v>1030</v>
      </c>
      <c r="D904" s="55"/>
      <c r="E904" s="55" t="s">
        <v>0</v>
      </c>
      <c r="F904" s="59">
        <v>3</v>
      </c>
    </row>
    <row r="905" spans="1:6">
      <c r="A905" s="54" t="s">
        <v>535</v>
      </c>
      <c r="B905" s="55" t="s">
        <v>615</v>
      </c>
      <c r="C905" s="55" t="s">
        <v>1027</v>
      </c>
      <c r="D905" s="55"/>
      <c r="E905" s="55" t="s">
        <v>0</v>
      </c>
      <c r="F905" s="59">
        <v>21</v>
      </c>
    </row>
    <row r="906" spans="1:6">
      <c r="A906" s="54" t="s">
        <v>535</v>
      </c>
      <c r="B906" s="55" t="s">
        <v>615</v>
      </c>
      <c r="C906" s="55" t="s">
        <v>1027</v>
      </c>
      <c r="D906" s="55"/>
      <c r="E906" s="55" t="s">
        <v>0</v>
      </c>
      <c r="F906" s="59">
        <v>40</v>
      </c>
    </row>
    <row r="907" spans="1:6">
      <c r="A907" s="54" t="s">
        <v>140</v>
      </c>
      <c r="B907" s="55" t="s">
        <v>615</v>
      </c>
      <c r="C907" s="55" t="s">
        <v>1030</v>
      </c>
      <c r="D907" s="55"/>
      <c r="E907" s="55" t="s">
        <v>0</v>
      </c>
      <c r="F907" s="59">
        <v>498</v>
      </c>
    </row>
    <row r="908" spans="1:6">
      <c r="A908" s="54" t="s">
        <v>140</v>
      </c>
      <c r="B908" s="55" t="s">
        <v>615</v>
      </c>
      <c r="C908" s="55" t="s">
        <v>1028</v>
      </c>
      <c r="D908" s="55"/>
      <c r="E908" s="55" t="s">
        <v>0</v>
      </c>
      <c r="F908" s="59">
        <v>8</v>
      </c>
    </row>
    <row r="909" spans="1:6">
      <c r="A909" s="54" t="s">
        <v>537</v>
      </c>
      <c r="B909" s="55" t="s">
        <v>615</v>
      </c>
      <c r="C909" s="55" t="s">
        <v>1027</v>
      </c>
      <c r="D909" s="55"/>
      <c r="E909" s="55" t="s">
        <v>0</v>
      </c>
      <c r="F909" s="59">
        <v>91</v>
      </c>
    </row>
    <row r="910" spans="1:6">
      <c r="A910" s="54" t="s">
        <v>146</v>
      </c>
      <c r="B910" s="55" t="s">
        <v>615</v>
      </c>
      <c r="C910" s="55" t="s">
        <v>1028</v>
      </c>
      <c r="D910" s="55"/>
      <c r="E910" s="55" t="s">
        <v>0</v>
      </c>
      <c r="F910" s="59">
        <v>401</v>
      </c>
    </row>
    <row r="911" spans="1:6">
      <c r="A911" s="54" t="s">
        <v>146</v>
      </c>
      <c r="B911" s="55" t="s">
        <v>615</v>
      </c>
      <c r="C911" s="55" t="s">
        <v>1030</v>
      </c>
      <c r="D911" s="55"/>
      <c r="E911" s="55" t="s">
        <v>0</v>
      </c>
      <c r="F911" s="59">
        <v>309</v>
      </c>
    </row>
    <row r="912" spans="1:6">
      <c r="A912" s="54" t="s">
        <v>531</v>
      </c>
      <c r="B912" s="55" t="s">
        <v>615</v>
      </c>
      <c r="C912" s="55" t="s">
        <v>1028</v>
      </c>
      <c r="D912" s="55"/>
      <c r="E912" s="55" t="s">
        <v>0</v>
      </c>
      <c r="F912" s="59">
        <v>126</v>
      </c>
    </row>
    <row r="913" spans="1:6">
      <c r="A913" s="54" t="s">
        <v>141</v>
      </c>
      <c r="B913" s="55" t="s">
        <v>615</v>
      </c>
      <c r="C913" s="55" t="s">
        <v>1028</v>
      </c>
      <c r="F913" s="59">
        <v>3</v>
      </c>
    </row>
    <row r="914" spans="1:6">
      <c r="A914" s="54" t="s">
        <v>141</v>
      </c>
      <c r="B914" s="55" t="s">
        <v>615</v>
      </c>
      <c r="C914" s="55" t="s">
        <v>1030</v>
      </c>
      <c r="F914" s="59">
        <v>100</v>
      </c>
    </row>
    <row r="915" spans="1:6">
      <c r="A915" s="54" t="s">
        <v>360</v>
      </c>
      <c r="B915" s="55" t="s">
        <v>615</v>
      </c>
      <c r="C915" s="55" t="s">
        <v>1028</v>
      </c>
      <c r="F915" s="59">
        <v>109</v>
      </c>
    </row>
    <row r="916" spans="1:6">
      <c r="A916" s="54" t="s">
        <v>127</v>
      </c>
      <c r="B916" s="55" t="s">
        <v>615</v>
      </c>
      <c r="C916" s="55" t="s">
        <v>1027</v>
      </c>
      <c r="F916" s="59">
        <v>734</v>
      </c>
    </row>
    <row r="917" spans="1:6">
      <c r="A917" s="54" t="s">
        <v>127</v>
      </c>
      <c r="B917" s="55" t="s">
        <v>615</v>
      </c>
      <c r="C917" s="55" t="s">
        <v>1027</v>
      </c>
      <c r="F917" s="59">
        <v>380</v>
      </c>
    </row>
    <row r="918" spans="1:6">
      <c r="A918" s="54" t="s">
        <v>344</v>
      </c>
      <c r="B918" s="55" t="s">
        <v>615</v>
      </c>
      <c r="C918" s="55" t="s">
        <v>1030</v>
      </c>
      <c r="F918" s="59">
        <v>2</v>
      </c>
    </row>
    <row r="919" spans="1:6">
      <c r="A919" s="54" t="s">
        <v>143</v>
      </c>
      <c r="B919" s="55" t="s">
        <v>615</v>
      </c>
      <c r="C919" s="55" t="s">
        <v>1032</v>
      </c>
      <c r="F919" s="59">
        <v>90</v>
      </c>
    </row>
    <row r="920" spans="1:6">
      <c r="A920" s="54" t="s">
        <v>334</v>
      </c>
      <c r="B920" s="55" t="s">
        <v>615</v>
      </c>
      <c r="C920" s="55" t="s">
        <v>1027</v>
      </c>
      <c r="F920" s="59">
        <v>4</v>
      </c>
    </row>
    <row r="921" spans="1:6">
      <c r="A921" s="54" t="s">
        <v>144</v>
      </c>
      <c r="B921" s="55" t="s">
        <v>615</v>
      </c>
      <c r="C921" s="55" t="s">
        <v>1027</v>
      </c>
      <c r="F921" s="54">
        <v>455</v>
      </c>
    </row>
    <row r="922" spans="1:6">
      <c r="A922" s="54" t="s">
        <v>337</v>
      </c>
      <c r="B922" s="55" t="s">
        <v>615</v>
      </c>
      <c r="C922" s="55" t="s">
        <v>1032</v>
      </c>
      <c r="F922" s="54">
        <v>56</v>
      </c>
    </row>
    <row r="923" spans="1:6">
      <c r="A923" s="54" t="s">
        <v>145</v>
      </c>
      <c r="B923" s="55" t="s">
        <v>615</v>
      </c>
      <c r="C923" s="55" t="s">
        <v>1027</v>
      </c>
      <c r="F923" s="54">
        <v>2</v>
      </c>
    </row>
    <row r="924" spans="1:6">
      <c r="A924" s="54" t="s">
        <v>532</v>
      </c>
      <c r="B924" s="55" t="s">
        <v>615</v>
      </c>
      <c r="C924" s="55" t="s">
        <v>1030</v>
      </c>
      <c r="F924" s="54">
        <v>270</v>
      </c>
    </row>
    <row r="925" spans="1:6">
      <c r="A925" s="54" t="s">
        <v>147</v>
      </c>
      <c r="B925" s="55" t="s">
        <v>615</v>
      </c>
      <c r="C925" s="55" t="s">
        <v>1027</v>
      </c>
      <c r="F925" s="54">
        <v>170</v>
      </c>
    </row>
    <row r="926" spans="1:6">
      <c r="A926" s="54" t="s">
        <v>529</v>
      </c>
      <c r="B926" s="55" t="s">
        <v>615</v>
      </c>
      <c r="C926" s="55" t="s">
        <v>1030</v>
      </c>
      <c r="F926" s="54">
        <v>89</v>
      </c>
    </row>
    <row r="927" spans="1:6">
      <c r="A927" s="54" t="s">
        <v>148</v>
      </c>
      <c r="B927" s="55" t="s">
        <v>615</v>
      </c>
      <c r="C927" s="55" t="s">
        <v>1027</v>
      </c>
      <c r="F927" s="54">
        <v>485</v>
      </c>
    </row>
    <row r="928" spans="1:6">
      <c r="A928" s="54" t="s">
        <v>530</v>
      </c>
      <c r="B928" s="55" t="s">
        <v>615</v>
      </c>
      <c r="C928" s="55" t="s">
        <v>1030</v>
      </c>
      <c r="F928" s="54">
        <v>43</v>
      </c>
    </row>
    <row r="929" spans="1:6">
      <c r="A929" s="54" t="s">
        <v>142</v>
      </c>
      <c r="B929" s="55" t="s">
        <v>615</v>
      </c>
      <c r="C929" s="55" t="s">
        <v>1030</v>
      </c>
      <c r="F929" s="54">
        <v>1</v>
      </c>
    </row>
    <row r="930" spans="1:6">
      <c r="A930" s="54" t="s">
        <v>566</v>
      </c>
      <c r="B930" s="55" t="s">
        <v>615</v>
      </c>
      <c r="C930" s="55" t="s">
        <v>1027</v>
      </c>
      <c r="F930" s="54">
        <v>50</v>
      </c>
    </row>
    <row r="931" spans="1:6">
      <c r="A931" s="54" t="s">
        <v>194</v>
      </c>
      <c r="B931" s="55" t="s">
        <v>615</v>
      </c>
      <c r="C931" s="55" t="s">
        <v>1030</v>
      </c>
      <c r="F931" s="54">
        <v>1569</v>
      </c>
    </row>
    <row r="932" spans="1:6">
      <c r="A932" s="54" t="s">
        <v>294</v>
      </c>
      <c r="B932" s="55" t="s">
        <v>615</v>
      </c>
      <c r="C932" s="55" t="s">
        <v>1027</v>
      </c>
      <c r="F932" s="54">
        <v>300</v>
      </c>
    </row>
    <row r="933" spans="1:6">
      <c r="A933" s="54" t="s">
        <v>128</v>
      </c>
      <c r="B933" s="55" t="s">
        <v>615</v>
      </c>
      <c r="C933" s="55" t="s">
        <v>1032</v>
      </c>
      <c r="F933" s="54">
        <v>345</v>
      </c>
    </row>
    <row r="934" spans="1:6">
      <c r="A934" s="54" t="s">
        <v>966</v>
      </c>
      <c r="B934" s="55" t="s">
        <v>615</v>
      </c>
      <c r="C934" s="55" t="s">
        <v>1030</v>
      </c>
      <c r="F934" s="54">
        <v>518</v>
      </c>
    </row>
    <row r="935" spans="1:6">
      <c r="B935" s="55" t="s">
        <v>615</v>
      </c>
      <c r="C935" s="55" t="s">
        <v>1027</v>
      </c>
    </row>
    <row r="936" spans="1:6">
      <c r="B936" s="55" t="s">
        <v>615</v>
      </c>
      <c r="C936" s="55" t="s">
        <v>1030</v>
      </c>
    </row>
    <row r="937" spans="1:6">
      <c r="B937" s="55" t="s">
        <v>615</v>
      </c>
      <c r="C937" s="55" t="s">
        <v>1030</v>
      </c>
    </row>
    <row r="938" spans="1:6">
      <c r="B938" s="55" t="s">
        <v>615</v>
      </c>
      <c r="C938" s="55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Capacity utilization rate (3)</vt:lpstr>
      <vt:lpstr>data fo</vt:lpstr>
      <vt:lpstr>wip-fg</vt:lpstr>
      <vt:lpstr>'Capacity utilization rate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Mr.Kraingkrai Suwanmalai</dc:creator>
  <cp:lastModifiedBy>Thammaratana Datchanont</cp:lastModifiedBy>
  <cp:lastPrinted>2025-04-24T08:40:58Z</cp:lastPrinted>
  <dcterms:created xsi:type="dcterms:W3CDTF">2019-10-17T08:57:34Z</dcterms:created>
  <dcterms:modified xsi:type="dcterms:W3CDTF">2026-08-20T02:18:45Z</dcterms:modified>
</cp:coreProperties>
</file>