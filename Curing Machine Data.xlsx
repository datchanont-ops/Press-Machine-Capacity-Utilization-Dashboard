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N-SRV011\Activity$\@Production Planning Machine Capacity\###Planinig production###\PRESS\PLAN\"/>
    </mc:Choice>
  </mc:AlternateContent>
  <xr:revisionPtr revIDLastSave="0" documentId="13_ncr:1_{B3156213-7B25-458B-A085-006DD16D1515}" xr6:coauthVersionLast="37" xr6:coauthVersionMax="37" xr10:uidLastSave="{00000000-0000-0000-0000-000000000000}"/>
  <bookViews>
    <workbookView xWindow="-15" yWindow="6465" windowWidth="28830" windowHeight="6495" tabRatio="961" xr2:uid="{00000000-000D-0000-FFFF-FFFF00000000}"/>
  </bookViews>
  <sheets>
    <sheet name="DATABASE" sheetId="45" r:id="rId1"/>
    <sheet name="Sheet1" sheetId="46" r:id="rId2"/>
  </sheets>
  <definedNames>
    <definedName name="_xlnm._FilterDatabase" localSheetId="0" hidden="1">DATABASE!$D$5:$R$72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FORECAST">#REF!</definedName>
    <definedName name="_xlnm.Print_Area" localSheetId="0">DATABASE!$A$1:$U$70</definedName>
    <definedName name="_xlnm.Print_Titles" localSheetId="0">DATABASE!$2:$5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WORKCENTER">#REF!</definedName>
  </definedNames>
  <calcPr calcId="179021"/>
</workbook>
</file>

<file path=xl/calcChain.xml><?xml version="1.0" encoding="utf-8"?>
<calcChain xmlns="http://schemas.openxmlformats.org/spreadsheetml/2006/main">
  <c r="B3" i="46" l="1"/>
  <c r="B4" i="46"/>
  <c r="B5" i="46"/>
  <c r="B6" i="46"/>
  <c r="B7" i="46"/>
  <c r="B8" i="46"/>
  <c r="B9" i="46"/>
  <c r="B10" i="46"/>
  <c r="B11" i="46"/>
  <c r="B12" i="46"/>
  <c r="B13" i="46"/>
  <c r="B14" i="46"/>
  <c r="B15" i="46"/>
  <c r="B2" i="46"/>
  <c r="B16" i="46" l="1"/>
  <c r="R29" i="45" l="1"/>
  <c r="R53" i="45" l="1"/>
  <c r="R52" i="45"/>
  <c r="R51" i="45"/>
  <c r="R50" i="45"/>
  <c r="R49" i="45"/>
  <c r="R48" i="45"/>
  <c r="R47" i="45"/>
  <c r="R46" i="45"/>
  <c r="R45" i="45"/>
  <c r="R44" i="45"/>
  <c r="R43" i="45"/>
  <c r="R42" i="45"/>
  <c r="R41" i="45"/>
  <c r="R40" i="45"/>
  <c r="R39" i="45"/>
  <c r="R38" i="45"/>
  <c r="R37" i="45"/>
  <c r="R36" i="45"/>
  <c r="R35" i="45"/>
  <c r="R34" i="45"/>
  <c r="R33" i="45"/>
  <c r="R32" i="45"/>
  <c r="R31" i="45"/>
  <c r="R30" i="45"/>
  <c r="R28" i="45"/>
  <c r="R27" i="45"/>
  <c r="R26" i="45"/>
  <c r="R25" i="45"/>
  <c r="R24" i="45"/>
  <c r="R23" i="45"/>
  <c r="R22" i="45"/>
  <c r="R21" i="45"/>
  <c r="R20" i="45"/>
  <c r="R19" i="45"/>
  <c r="R18" i="45"/>
  <c r="R17" i="45"/>
  <c r="R16" i="45"/>
  <c r="R15" i="45"/>
  <c r="R14" i="45"/>
  <c r="R13" i="45"/>
  <c r="R12" i="45"/>
  <c r="R11" i="45"/>
  <c r="R10" i="45"/>
  <c r="R9" i="45"/>
  <c r="R8" i="45"/>
  <c r="R7" i="45"/>
  <c r="R6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PIYAWONG</author>
  </authors>
  <commentList>
    <comment ref="V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PIYAWONG:</t>
        </r>
        <r>
          <rPr>
            <sz val="9"/>
            <color indexed="81"/>
            <rFont val="Tahoma"/>
            <family val="2"/>
          </rPr>
          <t xml:space="preserve">
Gromment, COVER SUB-ASSY, STEERING COLUMN HOLE</t>
        </r>
      </text>
    </comment>
  </commentList>
</comments>
</file>

<file path=xl/sharedStrings.xml><?xml version="1.0" encoding="utf-8"?>
<sst xmlns="http://schemas.openxmlformats.org/spreadsheetml/2006/main" count="789" uniqueCount="89">
  <si>
    <t>PLATE</t>
  </si>
  <si>
    <t>Update</t>
  </si>
  <si>
    <t>M/C Type</t>
  </si>
  <si>
    <t>M/C No.</t>
  </si>
  <si>
    <t>Location</t>
  </si>
  <si>
    <t>Maker</t>
  </si>
  <si>
    <t>Model</t>
  </si>
  <si>
    <t>Volume CC</t>
  </si>
  <si>
    <t>Pressure</t>
  </si>
  <si>
    <t>VACUUM</t>
  </si>
  <si>
    <t>Temp Reg</t>
  </si>
  <si>
    <t>EJECTOR</t>
  </si>
  <si>
    <t>Mold min</t>
  </si>
  <si>
    <t>RANK</t>
  </si>
  <si>
    <t>Remark</t>
  </si>
  <si>
    <t>Area Sensor Distance (mm.)</t>
  </si>
  <si>
    <t>PRESS 1</t>
  </si>
  <si>
    <t>SANYU</t>
  </si>
  <si>
    <t>VA</t>
  </si>
  <si>
    <t>150T</t>
  </si>
  <si>
    <t>500x600</t>
  </si>
  <si>
    <t>2 Zone</t>
  </si>
  <si>
    <t>3RT</t>
  </si>
  <si>
    <t>O</t>
  </si>
  <si>
    <t>200T</t>
  </si>
  <si>
    <t>3 Zone</t>
  </si>
  <si>
    <t>Cool runner</t>
  </si>
  <si>
    <t>VC</t>
  </si>
  <si>
    <t>600x600</t>
  </si>
  <si>
    <t>INJ 350T</t>
  </si>
  <si>
    <t>PAN STONE</t>
  </si>
  <si>
    <t>350T/2000</t>
  </si>
  <si>
    <t>700x700</t>
  </si>
  <si>
    <t>4RT</t>
  </si>
  <si>
    <t>LIN CHENG</t>
  </si>
  <si>
    <t>IRH-250 S2</t>
  </si>
  <si>
    <t>100T</t>
  </si>
  <si>
    <t>450x510</t>
  </si>
  <si>
    <t>INJ-100/1000</t>
  </si>
  <si>
    <t>INJ-150/1000</t>
  </si>
  <si>
    <t>-</t>
  </si>
  <si>
    <t>510 PRESS</t>
  </si>
  <si>
    <t>LI EI</t>
  </si>
  <si>
    <t>SV</t>
  </si>
  <si>
    <t>510x510</t>
  </si>
  <si>
    <t>HONG YOW THAI</t>
  </si>
  <si>
    <t>300T</t>
  </si>
  <si>
    <t>INJ</t>
  </si>
  <si>
    <t>พร้อมใช้งาน</t>
  </si>
  <si>
    <t>VJ</t>
  </si>
  <si>
    <t>200 มม.</t>
  </si>
  <si>
    <t>150 มม.</t>
  </si>
  <si>
    <t>250T</t>
  </si>
  <si>
    <t>350T</t>
  </si>
  <si>
    <t>INM</t>
  </si>
  <si>
    <t>VAC</t>
  </si>
  <si>
    <t>KUEMIN</t>
  </si>
  <si>
    <t>INJ300T</t>
  </si>
  <si>
    <t>KS-300</t>
  </si>
  <si>
    <t>620x700</t>
  </si>
  <si>
    <t>Option : Injection transfer</t>
  </si>
  <si>
    <t>STOP PLAN</t>
  </si>
  <si>
    <t>SUMMARY MACHINE OF PRESS DEPARTMENT 2026</t>
  </si>
  <si>
    <t>16-JUN-2026</t>
  </si>
  <si>
    <t>INJ400T</t>
  </si>
  <si>
    <t>KS-400</t>
  </si>
  <si>
    <t>400T</t>
  </si>
  <si>
    <t>Day light (mm.)</t>
  </si>
  <si>
    <t>STOKE (mm.)</t>
  </si>
  <si>
    <t>2 point</t>
  </si>
  <si>
    <t>650x750</t>
  </si>
  <si>
    <t>Machine group</t>
  </si>
  <si>
    <t>INJECT 0.8 L 450x510</t>
  </si>
  <si>
    <t>INJ 350 T 700x700 COOL RUNNER</t>
  </si>
  <si>
    <t>INJECT 1.6 L 600x600 COOL RUNNER  (Daylight 800-870 mm.)</t>
  </si>
  <si>
    <t>INJECT 400T</t>
  </si>
  <si>
    <t>INJECT 300T</t>
  </si>
  <si>
    <t>VACUUM 510x510</t>
  </si>
  <si>
    <t>VACUUM 700x700</t>
  </si>
  <si>
    <t>PRESS 510X510</t>
  </si>
  <si>
    <t>INJECT 1.6 L 500x600 COOL RUNNER TMA</t>
  </si>
  <si>
    <t>INJECT 1.6 L 500x600 COOL RUNNER VA</t>
  </si>
  <si>
    <t>INJ 2.5 L 500x600 200T EM</t>
  </si>
  <si>
    <t>INJECT 1.6 L 600x600 COOL RUNNER VC</t>
  </si>
  <si>
    <t>INJECT 2.5 L 700x700 COOL RUNNER VJ</t>
  </si>
  <si>
    <t>INJECT 1.6 L 500x600 HOT EM</t>
  </si>
  <si>
    <t>Status</t>
  </si>
  <si>
    <t>Machine Type</t>
  </si>
  <si>
    <t>จำนวนเครื่องทั้งหมด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</si>
</sst>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ourier New"/>
      <family val="2"/>
      <charset val="22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rgb="FF9C0006"/>
      <name val="Courier New"/>
      <family val="2"/>
      <charset val="22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</font>
    <font>
      <sz val="16"/>
      <color theme="1"/>
      <name val="Calibri"/>
      <family val="2"/>
    </font>
    <font>
      <b/>
      <sz val="20"/>
      <color theme="1"/>
      <name val="Calibri"/>
      <family val="2"/>
    </font>
    <font>
      <sz val="2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4" fillId="2" borderId="0" applyNumberFormat="0" applyBorder="0" applyAlignment="0" applyProtection="0"/>
    <xf numFmtId="0" fontId="5" fillId="0" borderId="0"/>
    <xf numFmtId="0" fontId="6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18">
    <xf numFmtId="0" fontId="0" fillId="0" borderId="0" xfId="0"/>
    <xf numFmtId="0" fontId="8" fillId="0" borderId="0" xfId="6" applyFont="1"/>
    <xf numFmtId="0" fontId="8" fillId="0" borderId="0" xfId="6" applyFont="1" applyAlignment="1">
      <alignment horizontal="left"/>
    </xf>
    <xf numFmtId="0" fontId="8" fillId="0" borderId="0" xfId="6" applyFont="1" applyAlignment="1">
      <alignment horizontal="center"/>
    </xf>
    <xf numFmtId="0" fontId="9" fillId="0" borderId="0" xfId="6" applyFont="1"/>
    <xf numFmtId="0" fontId="8" fillId="0" borderId="0" xfId="6" applyFont="1" applyBorder="1" applyAlignment="1">
      <alignment vertical="center"/>
    </xf>
    <xf numFmtId="0" fontId="8" fillId="0" borderId="21" xfId="6" applyFont="1" applyBorder="1" applyAlignment="1">
      <alignment horizontal="left" vertical="center"/>
    </xf>
    <xf numFmtId="0" fontId="8" fillId="0" borderId="13" xfId="6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center" vertical="center"/>
    </xf>
    <xf numFmtId="0" fontId="8" fillId="0" borderId="1" xfId="6" applyFont="1" applyFill="1" applyBorder="1" applyAlignment="1">
      <alignment horizontal="center" vertical="center"/>
    </xf>
    <xf numFmtId="0" fontId="8" fillId="0" borderId="20" xfId="6" applyFont="1" applyBorder="1" applyAlignment="1">
      <alignment horizontal="center" vertical="center"/>
    </xf>
    <xf numFmtId="0" fontId="8" fillId="0" borderId="20" xfId="6" applyFont="1" applyBorder="1" applyAlignment="1">
      <alignment horizontal="left" vertical="center"/>
    </xf>
    <xf numFmtId="0" fontId="8" fillId="0" borderId="19" xfId="6" applyFont="1" applyBorder="1" applyAlignment="1">
      <alignment horizontal="left" vertical="center"/>
    </xf>
    <xf numFmtId="0" fontId="11" fillId="0" borderId="1" xfId="6" applyFont="1" applyFill="1" applyBorder="1" applyAlignment="1">
      <alignment horizontal="center" vertical="center"/>
    </xf>
    <xf numFmtId="0" fontId="8" fillId="0" borderId="1" xfId="6" applyFont="1" applyFill="1" applyBorder="1" applyAlignment="1">
      <alignment horizontal="left" vertical="center"/>
    </xf>
    <xf numFmtId="0" fontId="11" fillId="0" borderId="1" xfId="6" applyFont="1" applyBorder="1" applyAlignment="1">
      <alignment horizontal="center" vertical="center"/>
    </xf>
    <xf numFmtId="0" fontId="8" fillId="4" borderId="20" xfId="6" applyFont="1" applyFill="1" applyBorder="1" applyAlignment="1">
      <alignment horizontal="left" vertical="center"/>
    </xf>
    <xf numFmtId="0" fontId="10" fillId="0" borderId="19" xfId="6" applyFont="1" applyFill="1" applyBorder="1" applyAlignment="1">
      <alignment horizontal="left" vertical="center"/>
    </xf>
    <xf numFmtId="0" fontId="8" fillId="0" borderId="19" xfId="6" applyFont="1" applyFill="1" applyBorder="1" applyAlignment="1">
      <alignment horizontal="left" vertical="center"/>
    </xf>
    <xf numFmtId="0" fontId="8" fillId="0" borderId="25" xfId="6" applyFont="1" applyBorder="1" applyAlignment="1">
      <alignment horizontal="center" vertical="center"/>
    </xf>
    <xf numFmtId="0" fontId="8" fillId="4" borderId="25" xfId="6" applyFont="1" applyFill="1" applyBorder="1" applyAlignment="1">
      <alignment vertical="center" wrapText="1"/>
    </xf>
    <xf numFmtId="0" fontId="8" fillId="4" borderId="31" xfId="6" applyFont="1" applyFill="1" applyBorder="1" applyAlignment="1">
      <alignment vertical="center" wrapText="1"/>
    </xf>
    <xf numFmtId="0" fontId="8" fillId="0" borderId="18" xfId="6" applyFont="1" applyBorder="1" applyAlignment="1">
      <alignment horizontal="left" vertical="center"/>
    </xf>
    <xf numFmtId="0" fontId="10" fillId="0" borderId="18" xfId="6" applyFont="1" applyFill="1" applyBorder="1" applyAlignment="1">
      <alignment horizontal="left" vertical="center"/>
    </xf>
    <xf numFmtId="0" fontId="8" fillId="4" borderId="6" xfId="6" applyFont="1" applyFill="1" applyBorder="1" applyAlignment="1">
      <alignment horizontal="left" vertical="center"/>
    </xf>
    <xf numFmtId="0" fontId="10" fillId="0" borderId="12" xfId="6" applyFont="1" applyFill="1" applyBorder="1" applyAlignment="1">
      <alignment horizontal="left" vertical="center"/>
    </xf>
    <xf numFmtId="0" fontId="8" fillId="0" borderId="13" xfId="6" applyFont="1" applyFill="1" applyBorder="1" applyAlignment="1">
      <alignment horizontal="center" vertical="center"/>
    </xf>
    <xf numFmtId="0" fontId="8" fillId="0" borderId="0" xfId="6" applyFont="1" applyFill="1" applyBorder="1" applyAlignment="1">
      <alignment vertical="center"/>
    </xf>
    <xf numFmtId="0" fontId="8" fillId="0" borderId="2" xfId="6" applyFont="1" applyFill="1" applyBorder="1" applyAlignment="1">
      <alignment horizontal="center" vertical="center"/>
    </xf>
    <xf numFmtId="0" fontId="8" fillId="0" borderId="2" xfId="6" applyFont="1" applyBorder="1" applyAlignment="1">
      <alignment horizontal="center" vertical="center"/>
    </xf>
    <xf numFmtId="0" fontId="8" fillId="0" borderId="30" xfId="6" applyFont="1" applyBorder="1" applyAlignment="1">
      <alignment horizontal="center" vertical="center"/>
    </xf>
    <xf numFmtId="0" fontId="8" fillId="0" borderId="8" xfId="6" applyFont="1" applyFill="1" applyBorder="1" applyAlignment="1">
      <alignment horizontal="center" vertical="center"/>
    </xf>
    <xf numFmtId="0" fontId="8" fillId="0" borderId="8" xfId="6" applyFont="1" applyBorder="1" applyAlignment="1">
      <alignment horizontal="center" vertical="center"/>
    </xf>
    <xf numFmtId="0" fontId="8" fillId="0" borderId="4" xfId="6" applyFont="1" applyBorder="1" applyAlignment="1">
      <alignment horizontal="left" vertical="center"/>
    </xf>
    <xf numFmtId="0" fontId="8" fillId="0" borderId="4" xfId="6" applyFont="1" applyBorder="1" applyAlignment="1">
      <alignment horizontal="center" vertical="center"/>
    </xf>
    <xf numFmtId="0" fontId="8" fillId="0" borderId="22" xfId="6" applyFont="1" applyBorder="1" applyAlignment="1">
      <alignment horizontal="center" vertical="center"/>
    </xf>
    <xf numFmtId="0" fontId="8" fillId="4" borderId="22" xfId="6" applyFont="1" applyFill="1" applyBorder="1" applyAlignment="1">
      <alignment horizontal="left" vertical="center"/>
    </xf>
    <xf numFmtId="0" fontId="8" fillId="5" borderId="23" xfId="6" applyFont="1" applyFill="1" applyBorder="1" applyAlignment="1">
      <alignment horizontal="left" vertical="center"/>
    </xf>
    <xf numFmtId="0" fontId="8" fillId="0" borderId="3" xfId="6" applyFont="1" applyBorder="1" applyAlignment="1">
      <alignment vertical="center"/>
    </xf>
    <xf numFmtId="0" fontId="8" fillId="0" borderId="17" xfId="6" applyFont="1" applyBorder="1" applyAlignment="1">
      <alignment horizontal="left" vertical="center"/>
    </xf>
    <xf numFmtId="0" fontId="8" fillId="0" borderId="5" xfId="6" applyFont="1" applyBorder="1" applyAlignment="1">
      <alignment horizontal="center" vertical="center"/>
    </xf>
    <xf numFmtId="0" fontId="8" fillId="0" borderId="5" xfId="6" applyFont="1" applyFill="1" applyBorder="1" applyAlignment="1">
      <alignment horizontal="center" vertical="center"/>
    </xf>
    <xf numFmtId="0" fontId="8" fillId="0" borderId="24" xfId="6" applyFont="1" applyBorder="1" applyAlignment="1">
      <alignment horizontal="center" vertical="center"/>
    </xf>
    <xf numFmtId="0" fontId="8" fillId="4" borderId="24" xfId="6" applyFont="1" applyFill="1" applyBorder="1" applyAlignment="1">
      <alignment horizontal="left" vertical="center"/>
    </xf>
    <xf numFmtId="0" fontId="8" fillId="0" borderId="9" xfId="6" applyFont="1" applyBorder="1" applyAlignment="1">
      <alignment horizontal="left" vertical="center"/>
    </xf>
    <xf numFmtId="0" fontId="8" fillId="0" borderId="12" xfId="6" applyFont="1" applyBorder="1" applyAlignment="1">
      <alignment horizontal="left" vertical="center"/>
    </xf>
    <xf numFmtId="0" fontId="8" fillId="0" borderId="4" xfId="6" applyFont="1" applyFill="1" applyBorder="1" applyAlignment="1">
      <alignment horizontal="center" vertical="center"/>
    </xf>
    <xf numFmtId="0" fontId="8" fillId="0" borderId="15" xfId="6" applyFont="1" applyBorder="1" applyAlignment="1">
      <alignment horizontal="left" vertical="center"/>
    </xf>
    <xf numFmtId="0" fontId="8" fillId="0" borderId="0" xfId="6" applyFont="1" applyAlignment="1">
      <alignment vertical="center"/>
    </xf>
    <xf numFmtId="0" fontId="8" fillId="0" borderId="23" xfId="6" applyFont="1" applyBorder="1" applyAlignment="1">
      <alignment horizontal="left" vertical="center"/>
    </xf>
    <xf numFmtId="0" fontId="8" fillId="0" borderId="9" xfId="6" applyFont="1" applyBorder="1" applyAlignment="1">
      <alignment vertical="center"/>
    </xf>
    <xf numFmtId="0" fontId="8" fillId="0" borderId="10" xfId="6" applyFont="1" applyBorder="1" applyAlignment="1">
      <alignment vertical="center"/>
    </xf>
    <xf numFmtId="0" fontId="8" fillId="0" borderId="11" xfId="6" applyFont="1" applyFill="1" applyBorder="1" applyAlignment="1">
      <alignment horizontal="center" vertical="center"/>
    </xf>
    <xf numFmtId="0" fontId="8" fillId="0" borderId="11" xfId="6" applyFont="1" applyFill="1" applyBorder="1" applyAlignment="1">
      <alignment horizontal="left" vertical="center"/>
    </xf>
    <xf numFmtId="0" fontId="8" fillId="0" borderId="24" xfId="6" applyFont="1" applyFill="1" applyBorder="1" applyAlignment="1">
      <alignment horizontal="center" vertical="center"/>
    </xf>
    <xf numFmtId="0" fontId="8" fillId="0" borderId="24" xfId="6" applyFont="1" applyFill="1" applyBorder="1" applyAlignment="1">
      <alignment horizontal="left" vertical="center"/>
    </xf>
    <xf numFmtId="0" fontId="8" fillId="0" borderId="12" xfId="6" applyFont="1" applyBorder="1" applyAlignment="1">
      <alignment vertical="center"/>
    </xf>
    <xf numFmtId="0" fontId="8" fillId="0" borderId="13" xfId="6" applyFont="1" applyFill="1" applyBorder="1" applyAlignment="1">
      <alignment horizontal="left" vertical="center"/>
    </xf>
    <xf numFmtId="0" fontId="8" fillId="0" borderId="20" xfId="6" applyFont="1" applyFill="1" applyBorder="1" applyAlignment="1">
      <alignment horizontal="center" vertical="center"/>
    </xf>
    <xf numFmtId="0" fontId="8" fillId="0" borderId="20" xfId="6" applyFont="1" applyFill="1" applyBorder="1" applyAlignment="1">
      <alignment horizontal="left" vertical="center"/>
    </xf>
    <xf numFmtId="0" fontId="8" fillId="0" borderId="16" xfId="6" applyFont="1" applyFill="1" applyBorder="1" applyAlignment="1">
      <alignment horizontal="center" vertical="center"/>
    </xf>
    <xf numFmtId="0" fontId="8" fillId="0" borderId="4" xfId="6" applyFont="1" applyFill="1" applyBorder="1" applyAlignment="1">
      <alignment horizontal="left" vertical="center"/>
    </xf>
    <xf numFmtId="0" fontId="8" fillId="0" borderId="22" xfId="6" applyFont="1" applyFill="1" applyBorder="1" applyAlignment="1">
      <alignment horizontal="center" vertical="center"/>
    </xf>
    <xf numFmtId="0" fontId="11" fillId="0" borderId="5" xfId="6" applyFont="1" applyFill="1" applyBorder="1" applyAlignment="1">
      <alignment horizontal="center" vertical="center"/>
    </xf>
    <xf numFmtId="0" fontId="8" fillId="0" borderId="0" xfId="6" applyFont="1" applyAlignment="1">
      <alignment vertical="top"/>
    </xf>
    <xf numFmtId="0" fontId="11" fillId="0" borderId="13" xfId="1" applyFont="1" applyFill="1" applyBorder="1" applyAlignment="1">
      <alignment horizontal="center" vertical="center"/>
    </xf>
    <xf numFmtId="0" fontId="11" fillId="0" borderId="1" xfId="6" applyFont="1" applyFill="1" applyBorder="1" applyAlignment="1">
      <alignment horizontal="left" vertical="center"/>
    </xf>
    <xf numFmtId="0" fontId="11" fillId="0" borderId="1" xfId="1" applyFont="1" applyFill="1" applyBorder="1" applyAlignment="1">
      <alignment horizontal="center" vertical="center"/>
    </xf>
    <xf numFmtId="0" fontId="11" fillId="0" borderId="20" xfId="1" applyFont="1" applyFill="1" applyBorder="1" applyAlignment="1">
      <alignment horizontal="center" vertical="center"/>
    </xf>
    <xf numFmtId="0" fontId="11" fillId="4" borderId="6" xfId="1" applyFont="1" applyFill="1" applyBorder="1" applyAlignment="1">
      <alignment horizontal="left" vertical="center"/>
    </xf>
    <xf numFmtId="0" fontId="11" fillId="0" borderId="13" xfId="6" applyFont="1" applyBorder="1" applyAlignment="1">
      <alignment horizontal="center" vertical="center"/>
    </xf>
    <xf numFmtId="0" fontId="8" fillId="0" borderId="25" xfId="6" applyFont="1" applyFill="1" applyBorder="1" applyAlignment="1">
      <alignment horizontal="center" vertical="center"/>
    </xf>
    <xf numFmtId="0" fontId="8" fillId="6" borderId="1" xfId="6" applyFont="1" applyFill="1" applyBorder="1" applyAlignment="1">
      <alignment horizontal="center" vertical="center"/>
    </xf>
    <xf numFmtId="0" fontId="8" fillId="0" borderId="0" xfId="6" applyFont="1" applyFill="1" applyAlignment="1">
      <alignment horizontal="center"/>
    </xf>
    <xf numFmtId="0" fontId="8" fillId="6" borderId="20" xfId="6" applyFont="1" applyFill="1" applyBorder="1" applyAlignment="1">
      <alignment horizontal="center" vertical="center"/>
    </xf>
    <xf numFmtId="0" fontId="8" fillId="6" borderId="20" xfId="6" applyFont="1" applyFill="1" applyBorder="1" applyAlignment="1">
      <alignment horizontal="left" vertical="center"/>
    </xf>
    <xf numFmtId="0" fontId="8" fillId="0" borderId="7" xfId="6" applyFont="1" applyFill="1" applyBorder="1" applyAlignment="1">
      <alignment horizontal="center" vertical="center"/>
    </xf>
    <xf numFmtId="0" fontId="8" fillId="0" borderId="7" xfId="6" applyFont="1" applyFill="1" applyBorder="1" applyAlignment="1">
      <alignment horizontal="left" vertical="center"/>
    </xf>
    <xf numFmtId="0" fontId="11" fillId="0" borderId="8" xfId="6" applyFont="1" applyFill="1" applyBorder="1" applyAlignment="1">
      <alignment horizontal="center" vertical="center"/>
    </xf>
    <xf numFmtId="0" fontId="8" fillId="0" borderId="25" xfId="6" applyFont="1" applyFill="1" applyBorder="1" applyAlignment="1">
      <alignment horizontal="left" vertical="center"/>
    </xf>
    <xf numFmtId="0" fontId="8" fillId="0" borderId="26" xfId="6" applyFont="1" applyBorder="1" applyAlignment="1">
      <alignment horizontal="center"/>
    </xf>
    <xf numFmtId="0" fontId="8" fillId="0" borderId="26" xfId="6" applyFont="1" applyFill="1" applyBorder="1" applyAlignment="1">
      <alignment horizontal="left" vertical="center"/>
    </xf>
    <xf numFmtId="0" fontId="8" fillId="0" borderId="26" xfId="6" applyFont="1" applyFill="1" applyBorder="1" applyAlignment="1">
      <alignment horizontal="center" vertical="center"/>
    </xf>
    <xf numFmtId="0" fontId="8" fillId="0" borderId="27" xfId="6" applyFont="1" applyBorder="1" applyAlignment="1">
      <alignment horizontal="left"/>
    </xf>
    <xf numFmtId="3" fontId="8" fillId="0" borderId="26" xfId="6" applyNumberFormat="1" applyFont="1" applyBorder="1" applyAlignment="1">
      <alignment horizontal="center"/>
    </xf>
    <xf numFmtId="0" fontId="11" fillId="0" borderId="13" xfId="6" applyFont="1" applyFill="1" applyBorder="1" applyAlignment="1">
      <alignment horizontal="center" vertical="center"/>
    </xf>
    <xf numFmtId="0" fontId="11" fillId="0" borderId="20" xfId="6" applyFont="1" applyFill="1" applyBorder="1" applyAlignment="1">
      <alignment horizontal="center" vertical="center"/>
    </xf>
    <xf numFmtId="0" fontId="11" fillId="4" borderId="20" xfId="6" applyFont="1" applyFill="1" applyBorder="1" applyAlignment="1">
      <alignment horizontal="left" vertical="center"/>
    </xf>
    <xf numFmtId="16" fontId="13" fillId="3" borderId="0" xfId="6" quotePrefix="1" applyNumberFormat="1" applyFont="1" applyFill="1" applyAlignment="1">
      <alignment horizontal="left"/>
    </xf>
    <xf numFmtId="0" fontId="12" fillId="0" borderId="28" xfId="6" applyFont="1" applyBorder="1" applyAlignment="1">
      <alignment horizontal="left" vertical="top"/>
    </xf>
    <xf numFmtId="0" fontId="12" fillId="0" borderId="29" xfId="6" applyFont="1" applyBorder="1" applyAlignment="1">
      <alignment horizontal="center" vertical="top"/>
    </xf>
    <xf numFmtId="0" fontId="12" fillId="0" borderId="26" xfId="6" applyFont="1" applyBorder="1" applyAlignment="1">
      <alignment horizontal="left" vertical="top" wrapText="1"/>
    </xf>
    <xf numFmtId="0" fontId="12" fillId="0" borderId="26" xfId="6" applyFont="1" applyBorder="1" applyAlignment="1">
      <alignment horizontal="center" vertical="top"/>
    </xf>
    <xf numFmtId="0" fontId="12" fillId="0" borderId="32" xfId="6" applyFont="1" applyBorder="1" applyAlignment="1">
      <alignment horizontal="center" vertical="top"/>
    </xf>
    <xf numFmtId="0" fontId="12" fillId="0" borderId="27" xfId="6" applyFont="1" applyBorder="1" applyAlignment="1">
      <alignment horizontal="left" vertical="top"/>
    </xf>
    <xf numFmtId="0" fontId="12" fillId="0" borderId="28" xfId="6" applyFont="1" applyFill="1" applyBorder="1" applyAlignment="1">
      <alignment horizontal="left" vertical="top" wrapText="1"/>
    </xf>
    <xf numFmtId="0" fontId="8" fillId="0" borderId="29" xfId="6" applyFont="1" applyBorder="1" applyAlignment="1">
      <alignment horizontal="center"/>
    </xf>
    <xf numFmtId="0" fontId="14" fillId="0" borderId="28" xfId="6" applyFont="1" applyBorder="1" applyAlignment="1">
      <alignment horizontal="left"/>
    </xf>
    <xf numFmtId="0" fontId="8" fillId="0" borderId="33" xfId="6" applyFont="1" applyFill="1" applyBorder="1" applyAlignment="1">
      <alignment horizontal="left" vertical="center"/>
    </xf>
    <xf numFmtId="0" fontId="8" fillId="0" borderId="34" xfId="6" applyFont="1" applyFill="1" applyBorder="1" applyAlignment="1">
      <alignment horizontal="left" vertical="center"/>
    </xf>
    <xf numFmtId="0" fontId="11" fillId="0" borderId="16" xfId="6" applyFont="1" applyFill="1" applyBorder="1" applyAlignment="1">
      <alignment horizontal="center" vertical="center"/>
    </xf>
    <xf numFmtId="0" fontId="11" fillId="0" borderId="4" xfId="1" applyFont="1" applyFill="1" applyBorder="1" applyAlignment="1">
      <alignment horizontal="left" vertical="center"/>
    </xf>
    <xf numFmtId="0" fontId="11" fillId="0" borderId="4" xfId="6" applyFont="1" applyFill="1" applyBorder="1" applyAlignment="1">
      <alignment horizontal="center" vertical="center"/>
    </xf>
    <xf numFmtId="0" fontId="11" fillId="0" borderId="22" xfId="6" applyFont="1" applyFill="1" applyBorder="1" applyAlignment="1">
      <alignment horizontal="center" vertical="center"/>
    </xf>
    <xf numFmtId="0" fontId="11" fillId="0" borderId="22" xfId="6" applyFont="1" applyFill="1" applyBorder="1" applyAlignment="1">
      <alignment horizontal="left" vertical="center"/>
    </xf>
    <xf numFmtId="0" fontId="12" fillId="0" borderId="26" xfId="6" applyFont="1" applyBorder="1" applyAlignment="1">
      <alignment horizontal="center" vertical="top" wrapText="1"/>
    </xf>
    <xf numFmtId="0" fontId="8" fillId="3" borderId="1" xfId="6" applyFont="1" applyFill="1" applyBorder="1" applyAlignment="1">
      <alignment horizontal="center" vertical="center"/>
    </xf>
    <xf numFmtId="0" fontId="14" fillId="0" borderId="21" xfId="6" applyFont="1" applyBorder="1" applyAlignment="1">
      <alignment horizontal="left" vertical="center"/>
    </xf>
    <xf numFmtId="0" fontId="14" fillId="0" borderId="19" xfId="6" applyFont="1" applyBorder="1" applyAlignment="1">
      <alignment horizontal="left" vertical="center"/>
    </xf>
    <xf numFmtId="0" fontId="14" fillId="0" borderId="23" xfId="6" applyFont="1" applyBorder="1" applyAlignment="1">
      <alignment horizontal="left" vertical="center"/>
    </xf>
    <xf numFmtId="0" fontId="10" fillId="0" borderId="1" xfId="6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0" fontId="8" fillId="0" borderId="14" xfId="6" applyFont="1" applyFill="1" applyBorder="1" applyAlignment="1">
      <alignment horizontal="center" vertical="center"/>
    </xf>
    <xf numFmtId="0" fontId="13" fillId="3" borderId="0" xfId="6" applyFont="1" applyFill="1" applyAlignment="1">
      <alignment vertical="center"/>
    </xf>
    <xf numFmtId="0" fontId="12" fillId="7" borderId="26" xfId="6" applyFont="1" applyFill="1" applyBorder="1" applyAlignment="1">
      <alignment horizontal="center" vertical="top"/>
    </xf>
  </cellXfs>
  <cellStyles count="9">
    <cellStyle name="Bad" xfId="1" builtinId="27"/>
    <cellStyle name="Normal" xfId="0" builtinId="0"/>
    <cellStyle name="Normal 105" xfId="2" xr:uid="{00000000-0005-0000-0000-000002000000}"/>
    <cellStyle name="Normal 14" xfId="6" xr:uid="{00000000-0005-0000-0000-000003000000}"/>
    <cellStyle name="Normal 15" xfId="7" xr:uid="{00000000-0005-0000-0000-000004000000}"/>
    <cellStyle name="Normal 16" xfId="8" xr:uid="{00000000-0005-0000-0000-000005000000}"/>
    <cellStyle name="Normal 2" xfId="3" xr:uid="{00000000-0005-0000-0000-000006000000}"/>
    <cellStyle name="Normal 2 2" xfId="4" xr:uid="{00000000-0005-0000-0000-000007000000}"/>
    <cellStyle name="Normal 2 6" xfId="5" xr:uid="{00000000-0005-0000-0000-000008000000}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BF72"/>
  <sheetViews>
    <sheetView tabSelected="1" zoomScaleNormal="100" zoomScaleSheetLayoutView="85" workbookViewId="0">
      <pane xSplit="3" ySplit="5" topLeftCell="F6" activePane="bottomRight" state="frozen"/>
      <selection pane="topRight" activeCell="D1" sqref="D1"/>
      <selection pane="bottomLeft" activeCell="A6" sqref="A6"/>
      <selection pane="bottomRight" activeCell="G13" sqref="G13"/>
    </sheetView>
  </sheetViews>
  <sheetFormatPr defaultRowHeight="18.75"/>
  <cols>
    <col min="1" max="1" width="3" style="1" customWidth="1"/>
    <col min="2" max="2" width="3.6640625" style="1" customWidth="1"/>
    <col min="3" max="3" width="13.109375" style="2" customWidth="1"/>
    <col min="4" max="4" width="10.33203125" style="3" customWidth="1"/>
    <col min="5" max="5" width="62.33203125" style="3" customWidth="1"/>
    <col min="6" max="6" width="16.88671875" style="2" customWidth="1"/>
    <col min="7" max="7" width="10.33203125" style="3" customWidth="1"/>
    <col min="8" max="8" width="18.109375" style="3" customWidth="1"/>
    <col min="9" max="9" width="14.44140625" style="3" customWidth="1"/>
    <col min="10" max="10" width="12.5546875" style="3" customWidth="1"/>
    <col min="11" max="16" width="10.33203125" style="3" customWidth="1"/>
    <col min="17" max="17" width="13.6640625" style="3" customWidth="1"/>
    <col min="18" max="20" width="10.33203125" style="3" customWidth="1"/>
    <col min="21" max="21" width="49.33203125" style="2" bestFit="1" customWidth="1"/>
    <col min="22" max="22" width="18.88671875" style="2" customWidth="1"/>
    <col min="23" max="23" width="10.33203125" style="1" bestFit="1" customWidth="1"/>
    <col min="24" max="249" width="8.88671875" style="1"/>
    <col min="250" max="250" width="3" style="1" customWidth="1"/>
    <col min="251" max="251" width="3.6640625" style="1" customWidth="1"/>
    <col min="252" max="252" width="18.6640625" style="1" customWidth="1"/>
    <col min="253" max="253" width="10.33203125" style="1" customWidth="1"/>
    <col min="254" max="254" width="25.6640625" style="1" bestFit="1" customWidth="1"/>
    <col min="255" max="255" width="10.33203125" style="1" customWidth="1"/>
    <col min="256" max="257" width="18.109375" style="1" customWidth="1"/>
    <col min="258" max="258" width="11.6640625" style="1" bestFit="1" customWidth="1"/>
    <col min="259" max="269" width="10.33203125" style="1" customWidth="1"/>
    <col min="270" max="270" width="37.44140625" style="1" customWidth="1"/>
    <col min="271" max="271" width="25.5546875" style="1" bestFit="1" customWidth="1"/>
    <col min="272" max="272" width="8.88671875" style="1"/>
    <col min="273" max="273" width="13.44140625" style="1" bestFit="1" customWidth="1"/>
    <col min="274" max="274" width="21.109375" style="1" bestFit="1" customWidth="1"/>
    <col min="275" max="275" width="8.5546875" style="1" bestFit="1" customWidth="1"/>
    <col min="276" max="276" width="6.33203125" style="1" bestFit="1" customWidth="1"/>
    <col min="277" max="277" width="9.5546875" style="1" bestFit="1" customWidth="1"/>
    <col min="278" max="278" width="14.88671875" style="1" bestFit="1" customWidth="1"/>
    <col min="279" max="505" width="8.88671875" style="1"/>
    <col min="506" max="506" width="3" style="1" customWidth="1"/>
    <col min="507" max="507" width="3.6640625" style="1" customWidth="1"/>
    <col min="508" max="508" width="18.6640625" style="1" customWidth="1"/>
    <col min="509" max="509" width="10.33203125" style="1" customWidth="1"/>
    <col min="510" max="510" width="25.6640625" style="1" bestFit="1" customWidth="1"/>
    <col min="511" max="511" width="10.33203125" style="1" customWidth="1"/>
    <col min="512" max="513" width="18.109375" style="1" customWidth="1"/>
    <col min="514" max="514" width="11.6640625" style="1" bestFit="1" customWidth="1"/>
    <col min="515" max="525" width="10.33203125" style="1" customWidth="1"/>
    <col min="526" max="526" width="37.44140625" style="1" customWidth="1"/>
    <col min="527" max="527" width="25.5546875" style="1" bestFit="1" customWidth="1"/>
    <col min="528" max="528" width="8.88671875" style="1"/>
    <col min="529" max="529" width="13.44140625" style="1" bestFit="1" customWidth="1"/>
    <col min="530" max="530" width="21.109375" style="1" bestFit="1" customWidth="1"/>
    <col min="531" max="531" width="8.5546875" style="1" bestFit="1" customWidth="1"/>
    <col min="532" max="532" width="6.33203125" style="1" bestFit="1" customWidth="1"/>
    <col min="533" max="533" width="9.5546875" style="1" bestFit="1" customWidth="1"/>
    <col min="534" max="534" width="14.88671875" style="1" bestFit="1" customWidth="1"/>
    <col min="535" max="761" width="8.88671875" style="1"/>
    <col min="762" max="762" width="3" style="1" customWidth="1"/>
    <col min="763" max="763" width="3.6640625" style="1" customWidth="1"/>
    <col min="764" max="764" width="18.6640625" style="1" customWidth="1"/>
    <col min="765" max="765" width="10.33203125" style="1" customWidth="1"/>
    <col min="766" max="766" width="25.6640625" style="1" bestFit="1" customWidth="1"/>
    <col min="767" max="767" width="10.33203125" style="1" customWidth="1"/>
    <col min="768" max="769" width="18.109375" style="1" customWidth="1"/>
    <col min="770" max="770" width="11.6640625" style="1" bestFit="1" customWidth="1"/>
    <col min="771" max="781" width="10.33203125" style="1" customWidth="1"/>
    <col min="782" max="782" width="37.44140625" style="1" customWidth="1"/>
    <col min="783" max="783" width="25.5546875" style="1" bestFit="1" customWidth="1"/>
    <col min="784" max="784" width="8.88671875" style="1"/>
    <col min="785" max="785" width="13.44140625" style="1" bestFit="1" customWidth="1"/>
    <col min="786" max="786" width="21.109375" style="1" bestFit="1" customWidth="1"/>
    <col min="787" max="787" width="8.5546875" style="1" bestFit="1" customWidth="1"/>
    <col min="788" max="788" width="6.33203125" style="1" bestFit="1" customWidth="1"/>
    <col min="789" max="789" width="9.5546875" style="1" bestFit="1" customWidth="1"/>
    <col min="790" max="790" width="14.88671875" style="1" bestFit="1" customWidth="1"/>
    <col min="791" max="1017" width="8.88671875" style="1"/>
    <col min="1018" max="1018" width="3" style="1" customWidth="1"/>
    <col min="1019" max="1019" width="3.6640625" style="1" customWidth="1"/>
    <col min="1020" max="1020" width="18.6640625" style="1" customWidth="1"/>
    <col min="1021" max="1021" width="10.33203125" style="1" customWidth="1"/>
    <col min="1022" max="1022" width="25.6640625" style="1" bestFit="1" customWidth="1"/>
    <col min="1023" max="1023" width="10.33203125" style="1" customWidth="1"/>
    <col min="1024" max="1025" width="18.109375" style="1" customWidth="1"/>
    <col min="1026" max="1026" width="11.6640625" style="1" bestFit="1" customWidth="1"/>
    <col min="1027" max="1037" width="10.33203125" style="1" customWidth="1"/>
    <col min="1038" max="1038" width="37.44140625" style="1" customWidth="1"/>
    <col min="1039" max="1039" width="25.5546875" style="1" bestFit="1" customWidth="1"/>
    <col min="1040" max="1040" width="8.88671875" style="1"/>
    <col min="1041" max="1041" width="13.44140625" style="1" bestFit="1" customWidth="1"/>
    <col min="1042" max="1042" width="21.109375" style="1" bestFit="1" customWidth="1"/>
    <col min="1043" max="1043" width="8.5546875" style="1" bestFit="1" customWidth="1"/>
    <col min="1044" max="1044" width="6.33203125" style="1" bestFit="1" customWidth="1"/>
    <col min="1045" max="1045" width="9.5546875" style="1" bestFit="1" customWidth="1"/>
    <col min="1046" max="1046" width="14.88671875" style="1" bestFit="1" customWidth="1"/>
    <col min="1047" max="1273" width="8.88671875" style="1"/>
    <col min="1274" max="1274" width="3" style="1" customWidth="1"/>
    <col min="1275" max="1275" width="3.6640625" style="1" customWidth="1"/>
    <col min="1276" max="1276" width="18.6640625" style="1" customWidth="1"/>
    <col min="1277" max="1277" width="10.33203125" style="1" customWidth="1"/>
    <col min="1278" max="1278" width="25.6640625" style="1" bestFit="1" customWidth="1"/>
    <col min="1279" max="1279" width="10.33203125" style="1" customWidth="1"/>
    <col min="1280" max="1281" width="18.109375" style="1" customWidth="1"/>
    <col min="1282" max="1282" width="11.6640625" style="1" bestFit="1" customWidth="1"/>
    <col min="1283" max="1293" width="10.33203125" style="1" customWidth="1"/>
    <col min="1294" max="1294" width="37.44140625" style="1" customWidth="1"/>
    <col min="1295" max="1295" width="25.5546875" style="1" bestFit="1" customWidth="1"/>
    <col min="1296" max="1296" width="8.88671875" style="1"/>
    <col min="1297" max="1297" width="13.44140625" style="1" bestFit="1" customWidth="1"/>
    <col min="1298" max="1298" width="21.109375" style="1" bestFit="1" customWidth="1"/>
    <col min="1299" max="1299" width="8.5546875" style="1" bestFit="1" customWidth="1"/>
    <col min="1300" max="1300" width="6.33203125" style="1" bestFit="1" customWidth="1"/>
    <col min="1301" max="1301" width="9.5546875" style="1" bestFit="1" customWidth="1"/>
    <col min="1302" max="1302" width="14.88671875" style="1" bestFit="1" customWidth="1"/>
    <col min="1303" max="1529" width="8.88671875" style="1"/>
    <col min="1530" max="1530" width="3" style="1" customWidth="1"/>
    <col min="1531" max="1531" width="3.6640625" style="1" customWidth="1"/>
    <col min="1532" max="1532" width="18.6640625" style="1" customWidth="1"/>
    <col min="1533" max="1533" width="10.33203125" style="1" customWidth="1"/>
    <col min="1534" max="1534" width="25.6640625" style="1" bestFit="1" customWidth="1"/>
    <col min="1535" max="1535" width="10.33203125" style="1" customWidth="1"/>
    <col min="1536" max="1537" width="18.109375" style="1" customWidth="1"/>
    <col min="1538" max="1538" width="11.6640625" style="1" bestFit="1" customWidth="1"/>
    <col min="1539" max="1549" width="10.33203125" style="1" customWidth="1"/>
    <col min="1550" max="1550" width="37.44140625" style="1" customWidth="1"/>
    <col min="1551" max="1551" width="25.5546875" style="1" bestFit="1" customWidth="1"/>
    <col min="1552" max="1552" width="8.88671875" style="1"/>
    <col min="1553" max="1553" width="13.44140625" style="1" bestFit="1" customWidth="1"/>
    <col min="1554" max="1554" width="21.109375" style="1" bestFit="1" customWidth="1"/>
    <col min="1555" max="1555" width="8.5546875" style="1" bestFit="1" customWidth="1"/>
    <col min="1556" max="1556" width="6.33203125" style="1" bestFit="1" customWidth="1"/>
    <col min="1557" max="1557" width="9.5546875" style="1" bestFit="1" customWidth="1"/>
    <col min="1558" max="1558" width="14.88671875" style="1" bestFit="1" customWidth="1"/>
    <col min="1559" max="1785" width="8.88671875" style="1"/>
    <col min="1786" max="1786" width="3" style="1" customWidth="1"/>
    <col min="1787" max="1787" width="3.6640625" style="1" customWidth="1"/>
    <col min="1788" max="1788" width="18.6640625" style="1" customWidth="1"/>
    <col min="1789" max="1789" width="10.33203125" style="1" customWidth="1"/>
    <col min="1790" max="1790" width="25.6640625" style="1" bestFit="1" customWidth="1"/>
    <col min="1791" max="1791" width="10.33203125" style="1" customWidth="1"/>
    <col min="1792" max="1793" width="18.109375" style="1" customWidth="1"/>
    <col min="1794" max="1794" width="11.6640625" style="1" bestFit="1" customWidth="1"/>
    <col min="1795" max="1805" width="10.33203125" style="1" customWidth="1"/>
    <col min="1806" max="1806" width="37.44140625" style="1" customWidth="1"/>
    <col min="1807" max="1807" width="25.5546875" style="1" bestFit="1" customWidth="1"/>
    <col min="1808" max="1808" width="8.88671875" style="1"/>
    <col min="1809" max="1809" width="13.44140625" style="1" bestFit="1" customWidth="1"/>
    <col min="1810" max="1810" width="21.109375" style="1" bestFit="1" customWidth="1"/>
    <col min="1811" max="1811" width="8.5546875" style="1" bestFit="1" customWidth="1"/>
    <col min="1812" max="1812" width="6.33203125" style="1" bestFit="1" customWidth="1"/>
    <col min="1813" max="1813" width="9.5546875" style="1" bestFit="1" customWidth="1"/>
    <col min="1814" max="1814" width="14.88671875" style="1" bestFit="1" customWidth="1"/>
    <col min="1815" max="2041" width="8.88671875" style="1"/>
    <col min="2042" max="2042" width="3" style="1" customWidth="1"/>
    <col min="2043" max="2043" width="3.6640625" style="1" customWidth="1"/>
    <col min="2044" max="2044" width="18.6640625" style="1" customWidth="1"/>
    <col min="2045" max="2045" width="10.33203125" style="1" customWidth="1"/>
    <col min="2046" max="2046" width="25.6640625" style="1" bestFit="1" customWidth="1"/>
    <col min="2047" max="2047" width="10.33203125" style="1" customWidth="1"/>
    <col min="2048" max="2049" width="18.109375" style="1" customWidth="1"/>
    <col min="2050" max="2050" width="11.6640625" style="1" bestFit="1" customWidth="1"/>
    <col min="2051" max="2061" width="10.33203125" style="1" customWidth="1"/>
    <col min="2062" max="2062" width="37.44140625" style="1" customWidth="1"/>
    <col min="2063" max="2063" width="25.5546875" style="1" bestFit="1" customWidth="1"/>
    <col min="2064" max="2064" width="8.88671875" style="1"/>
    <col min="2065" max="2065" width="13.44140625" style="1" bestFit="1" customWidth="1"/>
    <col min="2066" max="2066" width="21.109375" style="1" bestFit="1" customWidth="1"/>
    <col min="2067" max="2067" width="8.5546875" style="1" bestFit="1" customWidth="1"/>
    <col min="2068" max="2068" width="6.33203125" style="1" bestFit="1" customWidth="1"/>
    <col min="2069" max="2069" width="9.5546875" style="1" bestFit="1" customWidth="1"/>
    <col min="2070" max="2070" width="14.88671875" style="1" bestFit="1" customWidth="1"/>
    <col min="2071" max="2297" width="8.88671875" style="1"/>
    <col min="2298" max="2298" width="3" style="1" customWidth="1"/>
    <col min="2299" max="2299" width="3.6640625" style="1" customWidth="1"/>
    <col min="2300" max="2300" width="18.6640625" style="1" customWidth="1"/>
    <col min="2301" max="2301" width="10.33203125" style="1" customWidth="1"/>
    <col min="2302" max="2302" width="25.6640625" style="1" bestFit="1" customWidth="1"/>
    <col min="2303" max="2303" width="10.33203125" style="1" customWidth="1"/>
    <col min="2304" max="2305" width="18.109375" style="1" customWidth="1"/>
    <col min="2306" max="2306" width="11.6640625" style="1" bestFit="1" customWidth="1"/>
    <col min="2307" max="2317" width="10.33203125" style="1" customWidth="1"/>
    <col min="2318" max="2318" width="37.44140625" style="1" customWidth="1"/>
    <col min="2319" max="2319" width="25.5546875" style="1" bestFit="1" customWidth="1"/>
    <col min="2320" max="2320" width="8.88671875" style="1"/>
    <col min="2321" max="2321" width="13.44140625" style="1" bestFit="1" customWidth="1"/>
    <col min="2322" max="2322" width="21.109375" style="1" bestFit="1" customWidth="1"/>
    <col min="2323" max="2323" width="8.5546875" style="1" bestFit="1" customWidth="1"/>
    <col min="2324" max="2324" width="6.33203125" style="1" bestFit="1" customWidth="1"/>
    <col min="2325" max="2325" width="9.5546875" style="1" bestFit="1" customWidth="1"/>
    <col min="2326" max="2326" width="14.88671875" style="1" bestFit="1" customWidth="1"/>
    <col min="2327" max="2553" width="8.88671875" style="1"/>
    <col min="2554" max="2554" width="3" style="1" customWidth="1"/>
    <col min="2555" max="2555" width="3.6640625" style="1" customWidth="1"/>
    <col min="2556" max="2556" width="18.6640625" style="1" customWidth="1"/>
    <col min="2557" max="2557" width="10.33203125" style="1" customWidth="1"/>
    <col min="2558" max="2558" width="25.6640625" style="1" bestFit="1" customWidth="1"/>
    <col min="2559" max="2559" width="10.33203125" style="1" customWidth="1"/>
    <col min="2560" max="2561" width="18.109375" style="1" customWidth="1"/>
    <col min="2562" max="2562" width="11.6640625" style="1" bestFit="1" customWidth="1"/>
    <col min="2563" max="2573" width="10.33203125" style="1" customWidth="1"/>
    <col min="2574" max="2574" width="37.44140625" style="1" customWidth="1"/>
    <col min="2575" max="2575" width="25.5546875" style="1" bestFit="1" customWidth="1"/>
    <col min="2576" max="2576" width="8.88671875" style="1"/>
    <col min="2577" max="2577" width="13.44140625" style="1" bestFit="1" customWidth="1"/>
    <col min="2578" max="2578" width="21.109375" style="1" bestFit="1" customWidth="1"/>
    <col min="2579" max="2579" width="8.5546875" style="1" bestFit="1" customWidth="1"/>
    <col min="2580" max="2580" width="6.33203125" style="1" bestFit="1" customWidth="1"/>
    <col min="2581" max="2581" width="9.5546875" style="1" bestFit="1" customWidth="1"/>
    <col min="2582" max="2582" width="14.88671875" style="1" bestFit="1" customWidth="1"/>
    <col min="2583" max="2809" width="8.88671875" style="1"/>
    <col min="2810" max="2810" width="3" style="1" customWidth="1"/>
    <col min="2811" max="2811" width="3.6640625" style="1" customWidth="1"/>
    <col min="2812" max="2812" width="18.6640625" style="1" customWidth="1"/>
    <col min="2813" max="2813" width="10.33203125" style="1" customWidth="1"/>
    <col min="2814" max="2814" width="25.6640625" style="1" bestFit="1" customWidth="1"/>
    <col min="2815" max="2815" width="10.33203125" style="1" customWidth="1"/>
    <col min="2816" max="2817" width="18.109375" style="1" customWidth="1"/>
    <col min="2818" max="2818" width="11.6640625" style="1" bestFit="1" customWidth="1"/>
    <col min="2819" max="2829" width="10.33203125" style="1" customWidth="1"/>
    <col min="2830" max="2830" width="37.44140625" style="1" customWidth="1"/>
    <col min="2831" max="2831" width="25.5546875" style="1" bestFit="1" customWidth="1"/>
    <col min="2832" max="2832" width="8.88671875" style="1"/>
    <col min="2833" max="2833" width="13.44140625" style="1" bestFit="1" customWidth="1"/>
    <col min="2834" max="2834" width="21.109375" style="1" bestFit="1" customWidth="1"/>
    <col min="2835" max="2835" width="8.5546875" style="1" bestFit="1" customWidth="1"/>
    <col min="2836" max="2836" width="6.33203125" style="1" bestFit="1" customWidth="1"/>
    <col min="2837" max="2837" width="9.5546875" style="1" bestFit="1" customWidth="1"/>
    <col min="2838" max="2838" width="14.88671875" style="1" bestFit="1" customWidth="1"/>
    <col min="2839" max="3065" width="8.88671875" style="1"/>
    <col min="3066" max="3066" width="3" style="1" customWidth="1"/>
    <col min="3067" max="3067" width="3.6640625" style="1" customWidth="1"/>
    <col min="3068" max="3068" width="18.6640625" style="1" customWidth="1"/>
    <col min="3069" max="3069" width="10.33203125" style="1" customWidth="1"/>
    <col min="3070" max="3070" width="25.6640625" style="1" bestFit="1" customWidth="1"/>
    <col min="3071" max="3071" width="10.33203125" style="1" customWidth="1"/>
    <col min="3072" max="3073" width="18.109375" style="1" customWidth="1"/>
    <col min="3074" max="3074" width="11.6640625" style="1" bestFit="1" customWidth="1"/>
    <col min="3075" max="3085" width="10.33203125" style="1" customWidth="1"/>
    <col min="3086" max="3086" width="37.44140625" style="1" customWidth="1"/>
    <col min="3087" max="3087" width="25.5546875" style="1" bestFit="1" customWidth="1"/>
    <col min="3088" max="3088" width="8.88671875" style="1"/>
    <col min="3089" max="3089" width="13.44140625" style="1" bestFit="1" customWidth="1"/>
    <col min="3090" max="3090" width="21.109375" style="1" bestFit="1" customWidth="1"/>
    <col min="3091" max="3091" width="8.5546875" style="1" bestFit="1" customWidth="1"/>
    <col min="3092" max="3092" width="6.33203125" style="1" bestFit="1" customWidth="1"/>
    <col min="3093" max="3093" width="9.5546875" style="1" bestFit="1" customWidth="1"/>
    <col min="3094" max="3094" width="14.88671875" style="1" bestFit="1" customWidth="1"/>
    <col min="3095" max="3321" width="8.88671875" style="1"/>
    <col min="3322" max="3322" width="3" style="1" customWidth="1"/>
    <col min="3323" max="3323" width="3.6640625" style="1" customWidth="1"/>
    <col min="3324" max="3324" width="18.6640625" style="1" customWidth="1"/>
    <col min="3325" max="3325" width="10.33203125" style="1" customWidth="1"/>
    <col min="3326" max="3326" width="25.6640625" style="1" bestFit="1" customWidth="1"/>
    <col min="3327" max="3327" width="10.33203125" style="1" customWidth="1"/>
    <col min="3328" max="3329" width="18.109375" style="1" customWidth="1"/>
    <col min="3330" max="3330" width="11.6640625" style="1" bestFit="1" customWidth="1"/>
    <col min="3331" max="3341" width="10.33203125" style="1" customWidth="1"/>
    <col min="3342" max="3342" width="37.44140625" style="1" customWidth="1"/>
    <col min="3343" max="3343" width="25.5546875" style="1" bestFit="1" customWidth="1"/>
    <col min="3344" max="3344" width="8.88671875" style="1"/>
    <col min="3345" max="3345" width="13.44140625" style="1" bestFit="1" customWidth="1"/>
    <col min="3346" max="3346" width="21.109375" style="1" bestFit="1" customWidth="1"/>
    <col min="3347" max="3347" width="8.5546875" style="1" bestFit="1" customWidth="1"/>
    <col min="3348" max="3348" width="6.33203125" style="1" bestFit="1" customWidth="1"/>
    <col min="3349" max="3349" width="9.5546875" style="1" bestFit="1" customWidth="1"/>
    <col min="3350" max="3350" width="14.88671875" style="1" bestFit="1" customWidth="1"/>
    <col min="3351" max="3577" width="8.88671875" style="1"/>
    <col min="3578" max="3578" width="3" style="1" customWidth="1"/>
    <col min="3579" max="3579" width="3.6640625" style="1" customWidth="1"/>
    <col min="3580" max="3580" width="18.6640625" style="1" customWidth="1"/>
    <col min="3581" max="3581" width="10.33203125" style="1" customWidth="1"/>
    <col min="3582" max="3582" width="25.6640625" style="1" bestFit="1" customWidth="1"/>
    <col min="3583" max="3583" width="10.33203125" style="1" customWidth="1"/>
    <col min="3584" max="3585" width="18.109375" style="1" customWidth="1"/>
    <col min="3586" max="3586" width="11.6640625" style="1" bestFit="1" customWidth="1"/>
    <col min="3587" max="3597" width="10.33203125" style="1" customWidth="1"/>
    <col min="3598" max="3598" width="37.44140625" style="1" customWidth="1"/>
    <col min="3599" max="3599" width="25.5546875" style="1" bestFit="1" customWidth="1"/>
    <col min="3600" max="3600" width="8.88671875" style="1"/>
    <col min="3601" max="3601" width="13.44140625" style="1" bestFit="1" customWidth="1"/>
    <col min="3602" max="3602" width="21.109375" style="1" bestFit="1" customWidth="1"/>
    <col min="3603" max="3603" width="8.5546875" style="1" bestFit="1" customWidth="1"/>
    <col min="3604" max="3604" width="6.33203125" style="1" bestFit="1" customWidth="1"/>
    <col min="3605" max="3605" width="9.5546875" style="1" bestFit="1" customWidth="1"/>
    <col min="3606" max="3606" width="14.88671875" style="1" bestFit="1" customWidth="1"/>
    <col min="3607" max="3833" width="8.88671875" style="1"/>
    <col min="3834" max="3834" width="3" style="1" customWidth="1"/>
    <col min="3835" max="3835" width="3.6640625" style="1" customWidth="1"/>
    <col min="3836" max="3836" width="18.6640625" style="1" customWidth="1"/>
    <col min="3837" max="3837" width="10.33203125" style="1" customWidth="1"/>
    <col min="3838" max="3838" width="25.6640625" style="1" bestFit="1" customWidth="1"/>
    <col min="3839" max="3839" width="10.33203125" style="1" customWidth="1"/>
    <col min="3840" max="3841" width="18.109375" style="1" customWidth="1"/>
    <col min="3842" max="3842" width="11.6640625" style="1" bestFit="1" customWidth="1"/>
    <col min="3843" max="3853" width="10.33203125" style="1" customWidth="1"/>
    <col min="3854" max="3854" width="37.44140625" style="1" customWidth="1"/>
    <col min="3855" max="3855" width="25.5546875" style="1" bestFit="1" customWidth="1"/>
    <col min="3856" max="3856" width="8.88671875" style="1"/>
    <col min="3857" max="3857" width="13.44140625" style="1" bestFit="1" customWidth="1"/>
    <col min="3858" max="3858" width="21.109375" style="1" bestFit="1" customWidth="1"/>
    <col min="3859" max="3859" width="8.5546875" style="1" bestFit="1" customWidth="1"/>
    <col min="3860" max="3860" width="6.33203125" style="1" bestFit="1" customWidth="1"/>
    <col min="3861" max="3861" width="9.5546875" style="1" bestFit="1" customWidth="1"/>
    <col min="3862" max="3862" width="14.88671875" style="1" bestFit="1" customWidth="1"/>
    <col min="3863" max="4089" width="8.88671875" style="1"/>
    <col min="4090" max="4090" width="3" style="1" customWidth="1"/>
    <col min="4091" max="4091" width="3.6640625" style="1" customWidth="1"/>
    <col min="4092" max="4092" width="18.6640625" style="1" customWidth="1"/>
    <col min="4093" max="4093" width="10.33203125" style="1" customWidth="1"/>
    <col min="4094" max="4094" width="25.6640625" style="1" bestFit="1" customWidth="1"/>
    <col min="4095" max="4095" width="10.33203125" style="1" customWidth="1"/>
    <col min="4096" max="4097" width="18.109375" style="1" customWidth="1"/>
    <col min="4098" max="4098" width="11.6640625" style="1" bestFit="1" customWidth="1"/>
    <col min="4099" max="4109" width="10.33203125" style="1" customWidth="1"/>
    <col min="4110" max="4110" width="37.44140625" style="1" customWidth="1"/>
    <col min="4111" max="4111" width="25.5546875" style="1" bestFit="1" customWidth="1"/>
    <col min="4112" max="4112" width="8.88671875" style="1"/>
    <col min="4113" max="4113" width="13.44140625" style="1" bestFit="1" customWidth="1"/>
    <col min="4114" max="4114" width="21.109375" style="1" bestFit="1" customWidth="1"/>
    <col min="4115" max="4115" width="8.5546875" style="1" bestFit="1" customWidth="1"/>
    <col min="4116" max="4116" width="6.33203125" style="1" bestFit="1" customWidth="1"/>
    <col min="4117" max="4117" width="9.5546875" style="1" bestFit="1" customWidth="1"/>
    <col min="4118" max="4118" width="14.88671875" style="1" bestFit="1" customWidth="1"/>
    <col min="4119" max="4345" width="8.88671875" style="1"/>
    <col min="4346" max="4346" width="3" style="1" customWidth="1"/>
    <col min="4347" max="4347" width="3.6640625" style="1" customWidth="1"/>
    <col min="4348" max="4348" width="18.6640625" style="1" customWidth="1"/>
    <col min="4349" max="4349" width="10.33203125" style="1" customWidth="1"/>
    <col min="4350" max="4350" width="25.6640625" style="1" bestFit="1" customWidth="1"/>
    <col min="4351" max="4351" width="10.33203125" style="1" customWidth="1"/>
    <col min="4352" max="4353" width="18.109375" style="1" customWidth="1"/>
    <col min="4354" max="4354" width="11.6640625" style="1" bestFit="1" customWidth="1"/>
    <col min="4355" max="4365" width="10.33203125" style="1" customWidth="1"/>
    <col min="4366" max="4366" width="37.44140625" style="1" customWidth="1"/>
    <col min="4367" max="4367" width="25.5546875" style="1" bestFit="1" customWidth="1"/>
    <col min="4368" max="4368" width="8.88671875" style="1"/>
    <col min="4369" max="4369" width="13.44140625" style="1" bestFit="1" customWidth="1"/>
    <col min="4370" max="4370" width="21.109375" style="1" bestFit="1" customWidth="1"/>
    <col min="4371" max="4371" width="8.5546875" style="1" bestFit="1" customWidth="1"/>
    <col min="4372" max="4372" width="6.33203125" style="1" bestFit="1" customWidth="1"/>
    <col min="4373" max="4373" width="9.5546875" style="1" bestFit="1" customWidth="1"/>
    <col min="4374" max="4374" width="14.88671875" style="1" bestFit="1" customWidth="1"/>
    <col min="4375" max="4601" width="8.88671875" style="1"/>
    <col min="4602" max="4602" width="3" style="1" customWidth="1"/>
    <col min="4603" max="4603" width="3.6640625" style="1" customWidth="1"/>
    <col min="4604" max="4604" width="18.6640625" style="1" customWidth="1"/>
    <col min="4605" max="4605" width="10.33203125" style="1" customWidth="1"/>
    <col min="4606" max="4606" width="25.6640625" style="1" bestFit="1" customWidth="1"/>
    <col min="4607" max="4607" width="10.33203125" style="1" customWidth="1"/>
    <col min="4608" max="4609" width="18.109375" style="1" customWidth="1"/>
    <col min="4610" max="4610" width="11.6640625" style="1" bestFit="1" customWidth="1"/>
    <col min="4611" max="4621" width="10.33203125" style="1" customWidth="1"/>
    <col min="4622" max="4622" width="37.44140625" style="1" customWidth="1"/>
    <col min="4623" max="4623" width="25.5546875" style="1" bestFit="1" customWidth="1"/>
    <col min="4624" max="4624" width="8.88671875" style="1"/>
    <col min="4625" max="4625" width="13.44140625" style="1" bestFit="1" customWidth="1"/>
    <col min="4626" max="4626" width="21.109375" style="1" bestFit="1" customWidth="1"/>
    <col min="4627" max="4627" width="8.5546875" style="1" bestFit="1" customWidth="1"/>
    <col min="4628" max="4628" width="6.33203125" style="1" bestFit="1" customWidth="1"/>
    <col min="4629" max="4629" width="9.5546875" style="1" bestFit="1" customWidth="1"/>
    <col min="4630" max="4630" width="14.88671875" style="1" bestFit="1" customWidth="1"/>
    <col min="4631" max="4857" width="8.88671875" style="1"/>
    <col min="4858" max="4858" width="3" style="1" customWidth="1"/>
    <col min="4859" max="4859" width="3.6640625" style="1" customWidth="1"/>
    <col min="4860" max="4860" width="18.6640625" style="1" customWidth="1"/>
    <col min="4861" max="4861" width="10.33203125" style="1" customWidth="1"/>
    <col min="4862" max="4862" width="25.6640625" style="1" bestFit="1" customWidth="1"/>
    <col min="4863" max="4863" width="10.33203125" style="1" customWidth="1"/>
    <col min="4864" max="4865" width="18.109375" style="1" customWidth="1"/>
    <col min="4866" max="4866" width="11.6640625" style="1" bestFit="1" customWidth="1"/>
    <col min="4867" max="4877" width="10.33203125" style="1" customWidth="1"/>
    <col min="4878" max="4878" width="37.44140625" style="1" customWidth="1"/>
    <col min="4879" max="4879" width="25.5546875" style="1" bestFit="1" customWidth="1"/>
    <col min="4880" max="4880" width="8.88671875" style="1"/>
    <col min="4881" max="4881" width="13.44140625" style="1" bestFit="1" customWidth="1"/>
    <col min="4882" max="4882" width="21.109375" style="1" bestFit="1" customWidth="1"/>
    <col min="4883" max="4883" width="8.5546875" style="1" bestFit="1" customWidth="1"/>
    <col min="4884" max="4884" width="6.33203125" style="1" bestFit="1" customWidth="1"/>
    <col min="4885" max="4885" width="9.5546875" style="1" bestFit="1" customWidth="1"/>
    <col min="4886" max="4886" width="14.88671875" style="1" bestFit="1" customWidth="1"/>
    <col min="4887" max="5113" width="8.88671875" style="1"/>
    <col min="5114" max="5114" width="3" style="1" customWidth="1"/>
    <col min="5115" max="5115" width="3.6640625" style="1" customWidth="1"/>
    <col min="5116" max="5116" width="18.6640625" style="1" customWidth="1"/>
    <col min="5117" max="5117" width="10.33203125" style="1" customWidth="1"/>
    <col min="5118" max="5118" width="25.6640625" style="1" bestFit="1" customWidth="1"/>
    <col min="5119" max="5119" width="10.33203125" style="1" customWidth="1"/>
    <col min="5120" max="5121" width="18.109375" style="1" customWidth="1"/>
    <col min="5122" max="5122" width="11.6640625" style="1" bestFit="1" customWidth="1"/>
    <col min="5123" max="5133" width="10.33203125" style="1" customWidth="1"/>
    <col min="5134" max="5134" width="37.44140625" style="1" customWidth="1"/>
    <col min="5135" max="5135" width="25.5546875" style="1" bestFit="1" customWidth="1"/>
    <col min="5136" max="5136" width="8.88671875" style="1"/>
    <col min="5137" max="5137" width="13.44140625" style="1" bestFit="1" customWidth="1"/>
    <col min="5138" max="5138" width="21.109375" style="1" bestFit="1" customWidth="1"/>
    <col min="5139" max="5139" width="8.5546875" style="1" bestFit="1" customWidth="1"/>
    <col min="5140" max="5140" width="6.33203125" style="1" bestFit="1" customWidth="1"/>
    <col min="5141" max="5141" width="9.5546875" style="1" bestFit="1" customWidth="1"/>
    <col min="5142" max="5142" width="14.88671875" style="1" bestFit="1" customWidth="1"/>
    <col min="5143" max="5369" width="8.88671875" style="1"/>
    <col min="5370" max="5370" width="3" style="1" customWidth="1"/>
    <col min="5371" max="5371" width="3.6640625" style="1" customWidth="1"/>
    <col min="5372" max="5372" width="18.6640625" style="1" customWidth="1"/>
    <col min="5373" max="5373" width="10.33203125" style="1" customWidth="1"/>
    <col min="5374" max="5374" width="25.6640625" style="1" bestFit="1" customWidth="1"/>
    <col min="5375" max="5375" width="10.33203125" style="1" customWidth="1"/>
    <col min="5376" max="5377" width="18.109375" style="1" customWidth="1"/>
    <col min="5378" max="5378" width="11.6640625" style="1" bestFit="1" customWidth="1"/>
    <col min="5379" max="5389" width="10.33203125" style="1" customWidth="1"/>
    <col min="5390" max="5390" width="37.44140625" style="1" customWidth="1"/>
    <col min="5391" max="5391" width="25.5546875" style="1" bestFit="1" customWidth="1"/>
    <col min="5392" max="5392" width="8.88671875" style="1"/>
    <col min="5393" max="5393" width="13.44140625" style="1" bestFit="1" customWidth="1"/>
    <col min="5394" max="5394" width="21.109375" style="1" bestFit="1" customWidth="1"/>
    <col min="5395" max="5395" width="8.5546875" style="1" bestFit="1" customWidth="1"/>
    <col min="5396" max="5396" width="6.33203125" style="1" bestFit="1" customWidth="1"/>
    <col min="5397" max="5397" width="9.5546875" style="1" bestFit="1" customWidth="1"/>
    <col min="5398" max="5398" width="14.88671875" style="1" bestFit="1" customWidth="1"/>
    <col min="5399" max="5625" width="8.88671875" style="1"/>
    <col min="5626" max="5626" width="3" style="1" customWidth="1"/>
    <col min="5627" max="5627" width="3.6640625" style="1" customWidth="1"/>
    <col min="5628" max="5628" width="18.6640625" style="1" customWidth="1"/>
    <col min="5629" max="5629" width="10.33203125" style="1" customWidth="1"/>
    <col min="5630" max="5630" width="25.6640625" style="1" bestFit="1" customWidth="1"/>
    <col min="5631" max="5631" width="10.33203125" style="1" customWidth="1"/>
    <col min="5632" max="5633" width="18.109375" style="1" customWidth="1"/>
    <col min="5634" max="5634" width="11.6640625" style="1" bestFit="1" customWidth="1"/>
    <col min="5635" max="5645" width="10.33203125" style="1" customWidth="1"/>
    <col min="5646" max="5646" width="37.44140625" style="1" customWidth="1"/>
    <col min="5647" max="5647" width="25.5546875" style="1" bestFit="1" customWidth="1"/>
    <col min="5648" max="5648" width="8.88671875" style="1"/>
    <col min="5649" max="5649" width="13.44140625" style="1" bestFit="1" customWidth="1"/>
    <col min="5650" max="5650" width="21.109375" style="1" bestFit="1" customWidth="1"/>
    <col min="5651" max="5651" width="8.5546875" style="1" bestFit="1" customWidth="1"/>
    <col min="5652" max="5652" width="6.33203125" style="1" bestFit="1" customWidth="1"/>
    <col min="5653" max="5653" width="9.5546875" style="1" bestFit="1" customWidth="1"/>
    <col min="5654" max="5654" width="14.88671875" style="1" bestFit="1" customWidth="1"/>
    <col min="5655" max="5881" width="8.88671875" style="1"/>
    <col min="5882" max="5882" width="3" style="1" customWidth="1"/>
    <col min="5883" max="5883" width="3.6640625" style="1" customWidth="1"/>
    <col min="5884" max="5884" width="18.6640625" style="1" customWidth="1"/>
    <col min="5885" max="5885" width="10.33203125" style="1" customWidth="1"/>
    <col min="5886" max="5886" width="25.6640625" style="1" bestFit="1" customWidth="1"/>
    <col min="5887" max="5887" width="10.33203125" style="1" customWidth="1"/>
    <col min="5888" max="5889" width="18.109375" style="1" customWidth="1"/>
    <col min="5890" max="5890" width="11.6640625" style="1" bestFit="1" customWidth="1"/>
    <col min="5891" max="5901" width="10.33203125" style="1" customWidth="1"/>
    <col min="5902" max="5902" width="37.44140625" style="1" customWidth="1"/>
    <col min="5903" max="5903" width="25.5546875" style="1" bestFit="1" customWidth="1"/>
    <col min="5904" max="5904" width="8.88671875" style="1"/>
    <col min="5905" max="5905" width="13.44140625" style="1" bestFit="1" customWidth="1"/>
    <col min="5906" max="5906" width="21.109375" style="1" bestFit="1" customWidth="1"/>
    <col min="5907" max="5907" width="8.5546875" style="1" bestFit="1" customWidth="1"/>
    <col min="5908" max="5908" width="6.33203125" style="1" bestFit="1" customWidth="1"/>
    <col min="5909" max="5909" width="9.5546875" style="1" bestFit="1" customWidth="1"/>
    <col min="5910" max="5910" width="14.88671875" style="1" bestFit="1" customWidth="1"/>
    <col min="5911" max="6137" width="8.88671875" style="1"/>
    <col min="6138" max="6138" width="3" style="1" customWidth="1"/>
    <col min="6139" max="6139" width="3.6640625" style="1" customWidth="1"/>
    <col min="6140" max="6140" width="18.6640625" style="1" customWidth="1"/>
    <col min="6141" max="6141" width="10.33203125" style="1" customWidth="1"/>
    <col min="6142" max="6142" width="25.6640625" style="1" bestFit="1" customWidth="1"/>
    <col min="6143" max="6143" width="10.33203125" style="1" customWidth="1"/>
    <col min="6144" max="6145" width="18.109375" style="1" customWidth="1"/>
    <col min="6146" max="6146" width="11.6640625" style="1" bestFit="1" customWidth="1"/>
    <col min="6147" max="6157" width="10.33203125" style="1" customWidth="1"/>
    <col min="6158" max="6158" width="37.44140625" style="1" customWidth="1"/>
    <col min="6159" max="6159" width="25.5546875" style="1" bestFit="1" customWidth="1"/>
    <col min="6160" max="6160" width="8.88671875" style="1"/>
    <col min="6161" max="6161" width="13.44140625" style="1" bestFit="1" customWidth="1"/>
    <col min="6162" max="6162" width="21.109375" style="1" bestFit="1" customWidth="1"/>
    <col min="6163" max="6163" width="8.5546875" style="1" bestFit="1" customWidth="1"/>
    <col min="6164" max="6164" width="6.33203125" style="1" bestFit="1" customWidth="1"/>
    <col min="6165" max="6165" width="9.5546875" style="1" bestFit="1" customWidth="1"/>
    <col min="6166" max="6166" width="14.88671875" style="1" bestFit="1" customWidth="1"/>
    <col min="6167" max="6393" width="8.88671875" style="1"/>
    <col min="6394" max="6394" width="3" style="1" customWidth="1"/>
    <col min="6395" max="6395" width="3.6640625" style="1" customWidth="1"/>
    <col min="6396" max="6396" width="18.6640625" style="1" customWidth="1"/>
    <col min="6397" max="6397" width="10.33203125" style="1" customWidth="1"/>
    <col min="6398" max="6398" width="25.6640625" style="1" bestFit="1" customWidth="1"/>
    <col min="6399" max="6399" width="10.33203125" style="1" customWidth="1"/>
    <col min="6400" max="6401" width="18.109375" style="1" customWidth="1"/>
    <col min="6402" max="6402" width="11.6640625" style="1" bestFit="1" customWidth="1"/>
    <col min="6403" max="6413" width="10.33203125" style="1" customWidth="1"/>
    <col min="6414" max="6414" width="37.44140625" style="1" customWidth="1"/>
    <col min="6415" max="6415" width="25.5546875" style="1" bestFit="1" customWidth="1"/>
    <col min="6416" max="6416" width="8.88671875" style="1"/>
    <col min="6417" max="6417" width="13.44140625" style="1" bestFit="1" customWidth="1"/>
    <col min="6418" max="6418" width="21.109375" style="1" bestFit="1" customWidth="1"/>
    <col min="6419" max="6419" width="8.5546875" style="1" bestFit="1" customWidth="1"/>
    <col min="6420" max="6420" width="6.33203125" style="1" bestFit="1" customWidth="1"/>
    <col min="6421" max="6421" width="9.5546875" style="1" bestFit="1" customWidth="1"/>
    <col min="6422" max="6422" width="14.88671875" style="1" bestFit="1" customWidth="1"/>
    <col min="6423" max="6649" width="8.88671875" style="1"/>
    <col min="6650" max="6650" width="3" style="1" customWidth="1"/>
    <col min="6651" max="6651" width="3.6640625" style="1" customWidth="1"/>
    <col min="6652" max="6652" width="18.6640625" style="1" customWidth="1"/>
    <col min="6653" max="6653" width="10.33203125" style="1" customWidth="1"/>
    <col min="6654" max="6654" width="25.6640625" style="1" bestFit="1" customWidth="1"/>
    <col min="6655" max="6655" width="10.33203125" style="1" customWidth="1"/>
    <col min="6656" max="6657" width="18.109375" style="1" customWidth="1"/>
    <col min="6658" max="6658" width="11.6640625" style="1" bestFit="1" customWidth="1"/>
    <col min="6659" max="6669" width="10.33203125" style="1" customWidth="1"/>
    <col min="6670" max="6670" width="37.44140625" style="1" customWidth="1"/>
    <col min="6671" max="6671" width="25.5546875" style="1" bestFit="1" customWidth="1"/>
    <col min="6672" max="6672" width="8.88671875" style="1"/>
    <col min="6673" max="6673" width="13.44140625" style="1" bestFit="1" customWidth="1"/>
    <col min="6674" max="6674" width="21.109375" style="1" bestFit="1" customWidth="1"/>
    <col min="6675" max="6675" width="8.5546875" style="1" bestFit="1" customWidth="1"/>
    <col min="6676" max="6676" width="6.33203125" style="1" bestFit="1" customWidth="1"/>
    <col min="6677" max="6677" width="9.5546875" style="1" bestFit="1" customWidth="1"/>
    <col min="6678" max="6678" width="14.88671875" style="1" bestFit="1" customWidth="1"/>
    <col min="6679" max="6905" width="8.88671875" style="1"/>
    <col min="6906" max="6906" width="3" style="1" customWidth="1"/>
    <col min="6907" max="6907" width="3.6640625" style="1" customWidth="1"/>
    <col min="6908" max="6908" width="18.6640625" style="1" customWidth="1"/>
    <col min="6909" max="6909" width="10.33203125" style="1" customWidth="1"/>
    <col min="6910" max="6910" width="25.6640625" style="1" bestFit="1" customWidth="1"/>
    <col min="6911" max="6911" width="10.33203125" style="1" customWidth="1"/>
    <col min="6912" max="6913" width="18.109375" style="1" customWidth="1"/>
    <col min="6914" max="6914" width="11.6640625" style="1" bestFit="1" customWidth="1"/>
    <col min="6915" max="6925" width="10.33203125" style="1" customWidth="1"/>
    <col min="6926" max="6926" width="37.44140625" style="1" customWidth="1"/>
    <col min="6927" max="6927" width="25.5546875" style="1" bestFit="1" customWidth="1"/>
    <col min="6928" max="6928" width="8.88671875" style="1"/>
    <col min="6929" max="6929" width="13.44140625" style="1" bestFit="1" customWidth="1"/>
    <col min="6930" max="6930" width="21.109375" style="1" bestFit="1" customWidth="1"/>
    <col min="6931" max="6931" width="8.5546875" style="1" bestFit="1" customWidth="1"/>
    <col min="6932" max="6932" width="6.33203125" style="1" bestFit="1" customWidth="1"/>
    <col min="6933" max="6933" width="9.5546875" style="1" bestFit="1" customWidth="1"/>
    <col min="6934" max="6934" width="14.88671875" style="1" bestFit="1" customWidth="1"/>
    <col min="6935" max="7161" width="8.88671875" style="1"/>
    <col min="7162" max="7162" width="3" style="1" customWidth="1"/>
    <col min="7163" max="7163" width="3.6640625" style="1" customWidth="1"/>
    <col min="7164" max="7164" width="18.6640625" style="1" customWidth="1"/>
    <col min="7165" max="7165" width="10.33203125" style="1" customWidth="1"/>
    <col min="7166" max="7166" width="25.6640625" style="1" bestFit="1" customWidth="1"/>
    <col min="7167" max="7167" width="10.33203125" style="1" customWidth="1"/>
    <col min="7168" max="7169" width="18.109375" style="1" customWidth="1"/>
    <col min="7170" max="7170" width="11.6640625" style="1" bestFit="1" customWidth="1"/>
    <col min="7171" max="7181" width="10.33203125" style="1" customWidth="1"/>
    <col min="7182" max="7182" width="37.44140625" style="1" customWidth="1"/>
    <col min="7183" max="7183" width="25.5546875" style="1" bestFit="1" customWidth="1"/>
    <col min="7184" max="7184" width="8.88671875" style="1"/>
    <col min="7185" max="7185" width="13.44140625" style="1" bestFit="1" customWidth="1"/>
    <col min="7186" max="7186" width="21.109375" style="1" bestFit="1" customWidth="1"/>
    <col min="7187" max="7187" width="8.5546875" style="1" bestFit="1" customWidth="1"/>
    <col min="7188" max="7188" width="6.33203125" style="1" bestFit="1" customWidth="1"/>
    <col min="7189" max="7189" width="9.5546875" style="1" bestFit="1" customWidth="1"/>
    <col min="7190" max="7190" width="14.88671875" style="1" bestFit="1" customWidth="1"/>
    <col min="7191" max="7417" width="8.88671875" style="1"/>
    <col min="7418" max="7418" width="3" style="1" customWidth="1"/>
    <col min="7419" max="7419" width="3.6640625" style="1" customWidth="1"/>
    <col min="7420" max="7420" width="18.6640625" style="1" customWidth="1"/>
    <col min="7421" max="7421" width="10.33203125" style="1" customWidth="1"/>
    <col min="7422" max="7422" width="25.6640625" style="1" bestFit="1" customWidth="1"/>
    <col min="7423" max="7423" width="10.33203125" style="1" customWidth="1"/>
    <col min="7424" max="7425" width="18.109375" style="1" customWidth="1"/>
    <col min="7426" max="7426" width="11.6640625" style="1" bestFit="1" customWidth="1"/>
    <col min="7427" max="7437" width="10.33203125" style="1" customWidth="1"/>
    <col min="7438" max="7438" width="37.44140625" style="1" customWidth="1"/>
    <col min="7439" max="7439" width="25.5546875" style="1" bestFit="1" customWidth="1"/>
    <col min="7440" max="7440" width="8.88671875" style="1"/>
    <col min="7441" max="7441" width="13.44140625" style="1" bestFit="1" customWidth="1"/>
    <col min="7442" max="7442" width="21.109375" style="1" bestFit="1" customWidth="1"/>
    <col min="7443" max="7443" width="8.5546875" style="1" bestFit="1" customWidth="1"/>
    <col min="7444" max="7444" width="6.33203125" style="1" bestFit="1" customWidth="1"/>
    <col min="7445" max="7445" width="9.5546875" style="1" bestFit="1" customWidth="1"/>
    <col min="7446" max="7446" width="14.88671875" style="1" bestFit="1" customWidth="1"/>
    <col min="7447" max="7673" width="8.88671875" style="1"/>
    <col min="7674" max="7674" width="3" style="1" customWidth="1"/>
    <col min="7675" max="7675" width="3.6640625" style="1" customWidth="1"/>
    <col min="7676" max="7676" width="18.6640625" style="1" customWidth="1"/>
    <col min="7677" max="7677" width="10.33203125" style="1" customWidth="1"/>
    <col min="7678" max="7678" width="25.6640625" style="1" bestFit="1" customWidth="1"/>
    <col min="7679" max="7679" width="10.33203125" style="1" customWidth="1"/>
    <col min="7680" max="7681" width="18.109375" style="1" customWidth="1"/>
    <col min="7682" max="7682" width="11.6640625" style="1" bestFit="1" customWidth="1"/>
    <col min="7683" max="7693" width="10.33203125" style="1" customWidth="1"/>
    <col min="7694" max="7694" width="37.44140625" style="1" customWidth="1"/>
    <col min="7695" max="7695" width="25.5546875" style="1" bestFit="1" customWidth="1"/>
    <col min="7696" max="7696" width="8.88671875" style="1"/>
    <col min="7697" max="7697" width="13.44140625" style="1" bestFit="1" customWidth="1"/>
    <col min="7698" max="7698" width="21.109375" style="1" bestFit="1" customWidth="1"/>
    <col min="7699" max="7699" width="8.5546875" style="1" bestFit="1" customWidth="1"/>
    <col min="7700" max="7700" width="6.33203125" style="1" bestFit="1" customWidth="1"/>
    <col min="7701" max="7701" width="9.5546875" style="1" bestFit="1" customWidth="1"/>
    <col min="7702" max="7702" width="14.88671875" style="1" bestFit="1" customWidth="1"/>
    <col min="7703" max="7929" width="8.88671875" style="1"/>
    <col min="7930" max="7930" width="3" style="1" customWidth="1"/>
    <col min="7931" max="7931" width="3.6640625" style="1" customWidth="1"/>
    <col min="7932" max="7932" width="18.6640625" style="1" customWidth="1"/>
    <col min="7933" max="7933" width="10.33203125" style="1" customWidth="1"/>
    <col min="7934" max="7934" width="25.6640625" style="1" bestFit="1" customWidth="1"/>
    <col min="7935" max="7935" width="10.33203125" style="1" customWidth="1"/>
    <col min="7936" max="7937" width="18.109375" style="1" customWidth="1"/>
    <col min="7938" max="7938" width="11.6640625" style="1" bestFit="1" customWidth="1"/>
    <col min="7939" max="7949" width="10.33203125" style="1" customWidth="1"/>
    <col min="7950" max="7950" width="37.44140625" style="1" customWidth="1"/>
    <col min="7951" max="7951" width="25.5546875" style="1" bestFit="1" customWidth="1"/>
    <col min="7952" max="7952" width="8.88671875" style="1"/>
    <col min="7953" max="7953" width="13.44140625" style="1" bestFit="1" customWidth="1"/>
    <col min="7954" max="7954" width="21.109375" style="1" bestFit="1" customWidth="1"/>
    <col min="7955" max="7955" width="8.5546875" style="1" bestFit="1" customWidth="1"/>
    <col min="7956" max="7956" width="6.33203125" style="1" bestFit="1" customWidth="1"/>
    <col min="7957" max="7957" width="9.5546875" style="1" bestFit="1" customWidth="1"/>
    <col min="7958" max="7958" width="14.88671875" style="1" bestFit="1" customWidth="1"/>
    <col min="7959" max="8185" width="8.88671875" style="1"/>
    <col min="8186" max="8186" width="3" style="1" customWidth="1"/>
    <col min="8187" max="8187" width="3.6640625" style="1" customWidth="1"/>
    <col min="8188" max="8188" width="18.6640625" style="1" customWidth="1"/>
    <col min="8189" max="8189" width="10.33203125" style="1" customWidth="1"/>
    <col min="8190" max="8190" width="25.6640625" style="1" bestFit="1" customWidth="1"/>
    <col min="8191" max="8191" width="10.33203125" style="1" customWidth="1"/>
    <col min="8192" max="8193" width="18.109375" style="1" customWidth="1"/>
    <col min="8194" max="8194" width="11.6640625" style="1" bestFit="1" customWidth="1"/>
    <col min="8195" max="8205" width="10.33203125" style="1" customWidth="1"/>
    <col min="8206" max="8206" width="37.44140625" style="1" customWidth="1"/>
    <col min="8207" max="8207" width="25.5546875" style="1" bestFit="1" customWidth="1"/>
    <col min="8208" max="8208" width="8.88671875" style="1"/>
    <col min="8209" max="8209" width="13.44140625" style="1" bestFit="1" customWidth="1"/>
    <col min="8210" max="8210" width="21.109375" style="1" bestFit="1" customWidth="1"/>
    <col min="8211" max="8211" width="8.5546875" style="1" bestFit="1" customWidth="1"/>
    <col min="8212" max="8212" width="6.33203125" style="1" bestFit="1" customWidth="1"/>
    <col min="8213" max="8213" width="9.5546875" style="1" bestFit="1" customWidth="1"/>
    <col min="8214" max="8214" width="14.88671875" style="1" bestFit="1" customWidth="1"/>
    <col min="8215" max="8441" width="8.88671875" style="1"/>
    <col min="8442" max="8442" width="3" style="1" customWidth="1"/>
    <col min="8443" max="8443" width="3.6640625" style="1" customWidth="1"/>
    <col min="8444" max="8444" width="18.6640625" style="1" customWidth="1"/>
    <col min="8445" max="8445" width="10.33203125" style="1" customWidth="1"/>
    <col min="8446" max="8446" width="25.6640625" style="1" bestFit="1" customWidth="1"/>
    <col min="8447" max="8447" width="10.33203125" style="1" customWidth="1"/>
    <col min="8448" max="8449" width="18.109375" style="1" customWidth="1"/>
    <col min="8450" max="8450" width="11.6640625" style="1" bestFit="1" customWidth="1"/>
    <col min="8451" max="8461" width="10.33203125" style="1" customWidth="1"/>
    <col min="8462" max="8462" width="37.44140625" style="1" customWidth="1"/>
    <col min="8463" max="8463" width="25.5546875" style="1" bestFit="1" customWidth="1"/>
    <col min="8464" max="8464" width="8.88671875" style="1"/>
    <col min="8465" max="8465" width="13.44140625" style="1" bestFit="1" customWidth="1"/>
    <col min="8466" max="8466" width="21.109375" style="1" bestFit="1" customWidth="1"/>
    <col min="8467" max="8467" width="8.5546875" style="1" bestFit="1" customWidth="1"/>
    <col min="8468" max="8468" width="6.33203125" style="1" bestFit="1" customWidth="1"/>
    <col min="8469" max="8469" width="9.5546875" style="1" bestFit="1" customWidth="1"/>
    <col min="8470" max="8470" width="14.88671875" style="1" bestFit="1" customWidth="1"/>
    <col min="8471" max="8697" width="8.88671875" style="1"/>
    <col min="8698" max="8698" width="3" style="1" customWidth="1"/>
    <col min="8699" max="8699" width="3.6640625" style="1" customWidth="1"/>
    <col min="8700" max="8700" width="18.6640625" style="1" customWidth="1"/>
    <col min="8701" max="8701" width="10.33203125" style="1" customWidth="1"/>
    <col min="8702" max="8702" width="25.6640625" style="1" bestFit="1" customWidth="1"/>
    <col min="8703" max="8703" width="10.33203125" style="1" customWidth="1"/>
    <col min="8704" max="8705" width="18.109375" style="1" customWidth="1"/>
    <col min="8706" max="8706" width="11.6640625" style="1" bestFit="1" customWidth="1"/>
    <col min="8707" max="8717" width="10.33203125" style="1" customWidth="1"/>
    <col min="8718" max="8718" width="37.44140625" style="1" customWidth="1"/>
    <col min="8719" max="8719" width="25.5546875" style="1" bestFit="1" customWidth="1"/>
    <col min="8720" max="8720" width="8.88671875" style="1"/>
    <col min="8721" max="8721" width="13.44140625" style="1" bestFit="1" customWidth="1"/>
    <col min="8722" max="8722" width="21.109375" style="1" bestFit="1" customWidth="1"/>
    <col min="8723" max="8723" width="8.5546875" style="1" bestFit="1" customWidth="1"/>
    <col min="8724" max="8724" width="6.33203125" style="1" bestFit="1" customWidth="1"/>
    <col min="8725" max="8725" width="9.5546875" style="1" bestFit="1" customWidth="1"/>
    <col min="8726" max="8726" width="14.88671875" style="1" bestFit="1" customWidth="1"/>
    <col min="8727" max="8953" width="8.88671875" style="1"/>
    <col min="8954" max="8954" width="3" style="1" customWidth="1"/>
    <col min="8955" max="8955" width="3.6640625" style="1" customWidth="1"/>
    <col min="8956" max="8956" width="18.6640625" style="1" customWidth="1"/>
    <col min="8957" max="8957" width="10.33203125" style="1" customWidth="1"/>
    <col min="8958" max="8958" width="25.6640625" style="1" bestFit="1" customWidth="1"/>
    <col min="8959" max="8959" width="10.33203125" style="1" customWidth="1"/>
    <col min="8960" max="8961" width="18.109375" style="1" customWidth="1"/>
    <col min="8962" max="8962" width="11.6640625" style="1" bestFit="1" customWidth="1"/>
    <col min="8963" max="8973" width="10.33203125" style="1" customWidth="1"/>
    <col min="8974" max="8974" width="37.44140625" style="1" customWidth="1"/>
    <col min="8975" max="8975" width="25.5546875" style="1" bestFit="1" customWidth="1"/>
    <col min="8976" max="8976" width="8.88671875" style="1"/>
    <col min="8977" max="8977" width="13.44140625" style="1" bestFit="1" customWidth="1"/>
    <col min="8978" max="8978" width="21.109375" style="1" bestFit="1" customWidth="1"/>
    <col min="8979" max="8979" width="8.5546875" style="1" bestFit="1" customWidth="1"/>
    <col min="8980" max="8980" width="6.33203125" style="1" bestFit="1" customWidth="1"/>
    <col min="8981" max="8981" width="9.5546875" style="1" bestFit="1" customWidth="1"/>
    <col min="8982" max="8982" width="14.88671875" style="1" bestFit="1" customWidth="1"/>
    <col min="8983" max="9209" width="8.88671875" style="1"/>
    <col min="9210" max="9210" width="3" style="1" customWidth="1"/>
    <col min="9211" max="9211" width="3.6640625" style="1" customWidth="1"/>
    <col min="9212" max="9212" width="18.6640625" style="1" customWidth="1"/>
    <col min="9213" max="9213" width="10.33203125" style="1" customWidth="1"/>
    <col min="9214" max="9214" width="25.6640625" style="1" bestFit="1" customWidth="1"/>
    <col min="9215" max="9215" width="10.33203125" style="1" customWidth="1"/>
    <col min="9216" max="9217" width="18.109375" style="1" customWidth="1"/>
    <col min="9218" max="9218" width="11.6640625" style="1" bestFit="1" customWidth="1"/>
    <col min="9219" max="9229" width="10.33203125" style="1" customWidth="1"/>
    <col min="9230" max="9230" width="37.44140625" style="1" customWidth="1"/>
    <col min="9231" max="9231" width="25.5546875" style="1" bestFit="1" customWidth="1"/>
    <col min="9232" max="9232" width="8.88671875" style="1"/>
    <col min="9233" max="9233" width="13.44140625" style="1" bestFit="1" customWidth="1"/>
    <col min="9234" max="9234" width="21.109375" style="1" bestFit="1" customWidth="1"/>
    <col min="9235" max="9235" width="8.5546875" style="1" bestFit="1" customWidth="1"/>
    <col min="9236" max="9236" width="6.33203125" style="1" bestFit="1" customWidth="1"/>
    <col min="9237" max="9237" width="9.5546875" style="1" bestFit="1" customWidth="1"/>
    <col min="9238" max="9238" width="14.88671875" style="1" bestFit="1" customWidth="1"/>
    <col min="9239" max="9465" width="8.88671875" style="1"/>
    <col min="9466" max="9466" width="3" style="1" customWidth="1"/>
    <col min="9467" max="9467" width="3.6640625" style="1" customWidth="1"/>
    <col min="9468" max="9468" width="18.6640625" style="1" customWidth="1"/>
    <col min="9469" max="9469" width="10.33203125" style="1" customWidth="1"/>
    <col min="9470" max="9470" width="25.6640625" style="1" bestFit="1" customWidth="1"/>
    <col min="9471" max="9471" width="10.33203125" style="1" customWidth="1"/>
    <col min="9472" max="9473" width="18.109375" style="1" customWidth="1"/>
    <col min="9474" max="9474" width="11.6640625" style="1" bestFit="1" customWidth="1"/>
    <col min="9475" max="9485" width="10.33203125" style="1" customWidth="1"/>
    <col min="9486" max="9486" width="37.44140625" style="1" customWidth="1"/>
    <col min="9487" max="9487" width="25.5546875" style="1" bestFit="1" customWidth="1"/>
    <col min="9488" max="9488" width="8.88671875" style="1"/>
    <col min="9489" max="9489" width="13.44140625" style="1" bestFit="1" customWidth="1"/>
    <col min="9490" max="9490" width="21.109375" style="1" bestFit="1" customWidth="1"/>
    <col min="9491" max="9491" width="8.5546875" style="1" bestFit="1" customWidth="1"/>
    <col min="9492" max="9492" width="6.33203125" style="1" bestFit="1" customWidth="1"/>
    <col min="9493" max="9493" width="9.5546875" style="1" bestFit="1" customWidth="1"/>
    <col min="9494" max="9494" width="14.88671875" style="1" bestFit="1" customWidth="1"/>
    <col min="9495" max="9721" width="8.88671875" style="1"/>
    <col min="9722" max="9722" width="3" style="1" customWidth="1"/>
    <col min="9723" max="9723" width="3.6640625" style="1" customWidth="1"/>
    <col min="9724" max="9724" width="18.6640625" style="1" customWidth="1"/>
    <col min="9725" max="9725" width="10.33203125" style="1" customWidth="1"/>
    <col min="9726" max="9726" width="25.6640625" style="1" bestFit="1" customWidth="1"/>
    <col min="9727" max="9727" width="10.33203125" style="1" customWidth="1"/>
    <col min="9728" max="9729" width="18.109375" style="1" customWidth="1"/>
    <col min="9730" max="9730" width="11.6640625" style="1" bestFit="1" customWidth="1"/>
    <col min="9731" max="9741" width="10.33203125" style="1" customWidth="1"/>
    <col min="9742" max="9742" width="37.44140625" style="1" customWidth="1"/>
    <col min="9743" max="9743" width="25.5546875" style="1" bestFit="1" customWidth="1"/>
    <col min="9744" max="9744" width="8.88671875" style="1"/>
    <col min="9745" max="9745" width="13.44140625" style="1" bestFit="1" customWidth="1"/>
    <col min="9746" max="9746" width="21.109375" style="1" bestFit="1" customWidth="1"/>
    <col min="9747" max="9747" width="8.5546875" style="1" bestFit="1" customWidth="1"/>
    <col min="9748" max="9748" width="6.33203125" style="1" bestFit="1" customWidth="1"/>
    <col min="9749" max="9749" width="9.5546875" style="1" bestFit="1" customWidth="1"/>
    <col min="9750" max="9750" width="14.88671875" style="1" bestFit="1" customWidth="1"/>
    <col min="9751" max="9977" width="8.88671875" style="1"/>
    <col min="9978" max="9978" width="3" style="1" customWidth="1"/>
    <col min="9979" max="9979" width="3.6640625" style="1" customWidth="1"/>
    <col min="9980" max="9980" width="18.6640625" style="1" customWidth="1"/>
    <col min="9981" max="9981" width="10.33203125" style="1" customWidth="1"/>
    <col min="9982" max="9982" width="25.6640625" style="1" bestFit="1" customWidth="1"/>
    <col min="9983" max="9983" width="10.33203125" style="1" customWidth="1"/>
    <col min="9984" max="9985" width="18.109375" style="1" customWidth="1"/>
    <col min="9986" max="9986" width="11.6640625" style="1" bestFit="1" customWidth="1"/>
    <col min="9987" max="9997" width="10.33203125" style="1" customWidth="1"/>
    <col min="9998" max="9998" width="37.44140625" style="1" customWidth="1"/>
    <col min="9999" max="9999" width="25.5546875" style="1" bestFit="1" customWidth="1"/>
    <col min="10000" max="10000" width="8.88671875" style="1"/>
    <col min="10001" max="10001" width="13.44140625" style="1" bestFit="1" customWidth="1"/>
    <col min="10002" max="10002" width="21.109375" style="1" bestFit="1" customWidth="1"/>
    <col min="10003" max="10003" width="8.5546875" style="1" bestFit="1" customWidth="1"/>
    <col min="10004" max="10004" width="6.33203125" style="1" bestFit="1" customWidth="1"/>
    <col min="10005" max="10005" width="9.5546875" style="1" bestFit="1" customWidth="1"/>
    <col min="10006" max="10006" width="14.88671875" style="1" bestFit="1" customWidth="1"/>
    <col min="10007" max="10233" width="8.88671875" style="1"/>
    <col min="10234" max="10234" width="3" style="1" customWidth="1"/>
    <col min="10235" max="10235" width="3.6640625" style="1" customWidth="1"/>
    <col min="10236" max="10236" width="18.6640625" style="1" customWidth="1"/>
    <col min="10237" max="10237" width="10.33203125" style="1" customWidth="1"/>
    <col min="10238" max="10238" width="25.6640625" style="1" bestFit="1" customWidth="1"/>
    <col min="10239" max="10239" width="10.33203125" style="1" customWidth="1"/>
    <col min="10240" max="10241" width="18.109375" style="1" customWidth="1"/>
    <col min="10242" max="10242" width="11.6640625" style="1" bestFit="1" customWidth="1"/>
    <col min="10243" max="10253" width="10.33203125" style="1" customWidth="1"/>
    <col min="10254" max="10254" width="37.44140625" style="1" customWidth="1"/>
    <col min="10255" max="10255" width="25.5546875" style="1" bestFit="1" customWidth="1"/>
    <col min="10256" max="10256" width="8.88671875" style="1"/>
    <col min="10257" max="10257" width="13.44140625" style="1" bestFit="1" customWidth="1"/>
    <col min="10258" max="10258" width="21.109375" style="1" bestFit="1" customWidth="1"/>
    <col min="10259" max="10259" width="8.5546875" style="1" bestFit="1" customWidth="1"/>
    <col min="10260" max="10260" width="6.33203125" style="1" bestFit="1" customWidth="1"/>
    <col min="10261" max="10261" width="9.5546875" style="1" bestFit="1" customWidth="1"/>
    <col min="10262" max="10262" width="14.88671875" style="1" bestFit="1" customWidth="1"/>
    <col min="10263" max="10489" width="8.88671875" style="1"/>
    <col min="10490" max="10490" width="3" style="1" customWidth="1"/>
    <col min="10491" max="10491" width="3.6640625" style="1" customWidth="1"/>
    <col min="10492" max="10492" width="18.6640625" style="1" customWidth="1"/>
    <col min="10493" max="10493" width="10.33203125" style="1" customWidth="1"/>
    <col min="10494" max="10494" width="25.6640625" style="1" bestFit="1" customWidth="1"/>
    <col min="10495" max="10495" width="10.33203125" style="1" customWidth="1"/>
    <col min="10496" max="10497" width="18.109375" style="1" customWidth="1"/>
    <col min="10498" max="10498" width="11.6640625" style="1" bestFit="1" customWidth="1"/>
    <col min="10499" max="10509" width="10.33203125" style="1" customWidth="1"/>
    <col min="10510" max="10510" width="37.44140625" style="1" customWidth="1"/>
    <col min="10511" max="10511" width="25.5546875" style="1" bestFit="1" customWidth="1"/>
    <col min="10512" max="10512" width="8.88671875" style="1"/>
    <col min="10513" max="10513" width="13.44140625" style="1" bestFit="1" customWidth="1"/>
    <col min="10514" max="10514" width="21.109375" style="1" bestFit="1" customWidth="1"/>
    <col min="10515" max="10515" width="8.5546875" style="1" bestFit="1" customWidth="1"/>
    <col min="10516" max="10516" width="6.33203125" style="1" bestFit="1" customWidth="1"/>
    <col min="10517" max="10517" width="9.5546875" style="1" bestFit="1" customWidth="1"/>
    <col min="10518" max="10518" width="14.88671875" style="1" bestFit="1" customWidth="1"/>
    <col min="10519" max="10745" width="8.88671875" style="1"/>
    <col min="10746" max="10746" width="3" style="1" customWidth="1"/>
    <col min="10747" max="10747" width="3.6640625" style="1" customWidth="1"/>
    <col min="10748" max="10748" width="18.6640625" style="1" customWidth="1"/>
    <col min="10749" max="10749" width="10.33203125" style="1" customWidth="1"/>
    <col min="10750" max="10750" width="25.6640625" style="1" bestFit="1" customWidth="1"/>
    <col min="10751" max="10751" width="10.33203125" style="1" customWidth="1"/>
    <col min="10752" max="10753" width="18.109375" style="1" customWidth="1"/>
    <col min="10754" max="10754" width="11.6640625" style="1" bestFit="1" customWidth="1"/>
    <col min="10755" max="10765" width="10.33203125" style="1" customWidth="1"/>
    <col min="10766" max="10766" width="37.44140625" style="1" customWidth="1"/>
    <col min="10767" max="10767" width="25.5546875" style="1" bestFit="1" customWidth="1"/>
    <col min="10768" max="10768" width="8.88671875" style="1"/>
    <col min="10769" max="10769" width="13.44140625" style="1" bestFit="1" customWidth="1"/>
    <col min="10770" max="10770" width="21.109375" style="1" bestFit="1" customWidth="1"/>
    <col min="10771" max="10771" width="8.5546875" style="1" bestFit="1" customWidth="1"/>
    <col min="10772" max="10772" width="6.33203125" style="1" bestFit="1" customWidth="1"/>
    <col min="10773" max="10773" width="9.5546875" style="1" bestFit="1" customWidth="1"/>
    <col min="10774" max="10774" width="14.88671875" style="1" bestFit="1" customWidth="1"/>
    <col min="10775" max="11001" width="8.88671875" style="1"/>
    <col min="11002" max="11002" width="3" style="1" customWidth="1"/>
    <col min="11003" max="11003" width="3.6640625" style="1" customWidth="1"/>
    <col min="11004" max="11004" width="18.6640625" style="1" customWidth="1"/>
    <col min="11005" max="11005" width="10.33203125" style="1" customWidth="1"/>
    <col min="11006" max="11006" width="25.6640625" style="1" bestFit="1" customWidth="1"/>
    <col min="11007" max="11007" width="10.33203125" style="1" customWidth="1"/>
    <col min="11008" max="11009" width="18.109375" style="1" customWidth="1"/>
    <col min="11010" max="11010" width="11.6640625" style="1" bestFit="1" customWidth="1"/>
    <col min="11011" max="11021" width="10.33203125" style="1" customWidth="1"/>
    <col min="11022" max="11022" width="37.44140625" style="1" customWidth="1"/>
    <col min="11023" max="11023" width="25.5546875" style="1" bestFit="1" customWidth="1"/>
    <col min="11024" max="11024" width="8.88671875" style="1"/>
    <col min="11025" max="11025" width="13.44140625" style="1" bestFit="1" customWidth="1"/>
    <col min="11026" max="11026" width="21.109375" style="1" bestFit="1" customWidth="1"/>
    <col min="11027" max="11027" width="8.5546875" style="1" bestFit="1" customWidth="1"/>
    <col min="11028" max="11028" width="6.33203125" style="1" bestFit="1" customWidth="1"/>
    <col min="11029" max="11029" width="9.5546875" style="1" bestFit="1" customWidth="1"/>
    <col min="11030" max="11030" width="14.88671875" style="1" bestFit="1" customWidth="1"/>
    <col min="11031" max="11257" width="8.88671875" style="1"/>
    <col min="11258" max="11258" width="3" style="1" customWidth="1"/>
    <col min="11259" max="11259" width="3.6640625" style="1" customWidth="1"/>
    <col min="11260" max="11260" width="18.6640625" style="1" customWidth="1"/>
    <col min="11261" max="11261" width="10.33203125" style="1" customWidth="1"/>
    <col min="11262" max="11262" width="25.6640625" style="1" bestFit="1" customWidth="1"/>
    <col min="11263" max="11263" width="10.33203125" style="1" customWidth="1"/>
    <col min="11264" max="11265" width="18.109375" style="1" customWidth="1"/>
    <col min="11266" max="11266" width="11.6640625" style="1" bestFit="1" customWidth="1"/>
    <col min="11267" max="11277" width="10.33203125" style="1" customWidth="1"/>
    <col min="11278" max="11278" width="37.44140625" style="1" customWidth="1"/>
    <col min="11279" max="11279" width="25.5546875" style="1" bestFit="1" customWidth="1"/>
    <col min="11280" max="11280" width="8.88671875" style="1"/>
    <col min="11281" max="11281" width="13.44140625" style="1" bestFit="1" customWidth="1"/>
    <col min="11282" max="11282" width="21.109375" style="1" bestFit="1" customWidth="1"/>
    <col min="11283" max="11283" width="8.5546875" style="1" bestFit="1" customWidth="1"/>
    <col min="11284" max="11284" width="6.33203125" style="1" bestFit="1" customWidth="1"/>
    <col min="11285" max="11285" width="9.5546875" style="1" bestFit="1" customWidth="1"/>
    <col min="11286" max="11286" width="14.88671875" style="1" bestFit="1" customWidth="1"/>
    <col min="11287" max="11513" width="8.88671875" style="1"/>
    <col min="11514" max="11514" width="3" style="1" customWidth="1"/>
    <col min="11515" max="11515" width="3.6640625" style="1" customWidth="1"/>
    <col min="11516" max="11516" width="18.6640625" style="1" customWidth="1"/>
    <col min="11517" max="11517" width="10.33203125" style="1" customWidth="1"/>
    <col min="11518" max="11518" width="25.6640625" style="1" bestFit="1" customWidth="1"/>
    <col min="11519" max="11519" width="10.33203125" style="1" customWidth="1"/>
    <col min="11520" max="11521" width="18.109375" style="1" customWidth="1"/>
    <col min="11522" max="11522" width="11.6640625" style="1" bestFit="1" customWidth="1"/>
    <col min="11523" max="11533" width="10.33203125" style="1" customWidth="1"/>
    <col min="11534" max="11534" width="37.44140625" style="1" customWidth="1"/>
    <col min="11535" max="11535" width="25.5546875" style="1" bestFit="1" customWidth="1"/>
    <col min="11536" max="11536" width="8.88671875" style="1"/>
    <col min="11537" max="11537" width="13.44140625" style="1" bestFit="1" customWidth="1"/>
    <col min="11538" max="11538" width="21.109375" style="1" bestFit="1" customWidth="1"/>
    <col min="11539" max="11539" width="8.5546875" style="1" bestFit="1" customWidth="1"/>
    <col min="11540" max="11540" width="6.33203125" style="1" bestFit="1" customWidth="1"/>
    <col min="11541" max="11541" width="9.5546875" style="1" bestFit="1" customWidth="1"/>
    <col min="11542" max="11542" width="14.88671875" style="1" bestFit="1" customWidth="1"/>
    <col min="11543" max="11769" width="8.88671875" style="1"/>
    <col min="11770" max="11770" width="3" style="1" customWidth="1"/>
    <col min="11771" max="11771" width="3.6640625" style="1" customWidth="1"/>
    <col min="11772" max="11772" width="18.6640625" style="1" customWidth="1"/>
    <col min="11773" max="11773" width="10.33203125" style="1" customWidth="1"/>
    <col min="11774" max="11774" width="25.6640625" style="1" bestFit="1" customWidth="1"/>
    <col min="11775" max="11775" width="10.33203125" style="1" customWidth="1"/>
    <col min="11776" max="11777" width="18.109375" style="1" customWidth="1"/>
    <col min="11778" max="11778" width="11.6640625" style="1" bestFit="1" customWidth="1"/>
    <col min="11779" max="11789" width="10.33203125" style="1" customWidth="1"/>
    <col min="11790" max="11790" width="37.44140625" style="1" customWidth="1"/>
    <col min="11791" max="11791" width="25.5546875" style="1" bestFit="1" customWidth="1"/>
    <col min="11792" max="11792" width="8.88671875" style="1"/>
    <col min="11793" max="11793" width="13.44140625" style="1" bestFit="1" customWidth="1"/>
    <col min="11794" max="11794" width="21.109375" style="1" bestFit="1" customWidth="1"/>
    <col min="11795" max="11795" width="8.5546875" style="1" bestFit="1" customWidth="1"/>
    <col min="11796" max="11796" width="6.33203125" style="1" bestFit="1" customWidth="1"/>
    <col min="11797" max="11797" width="9.5546875" style="1" bestFit="1" customWidth="1"/>
    <col min="11798" max="11798" width="14.88671875" style="1" bestFit="1" customWidth="1"/>
    <col min="11799" max="12025" width="8.88671875" style="1"/>
    <col min="12026" max="12026" width="3" style="1" customWidth="1"/>
    <col min="12027" max="12027" width="3.6640625" style="1" customWidth="1"/>
    <col min="12028" max="12028" width="18.6640625" style="1" customWidth="1"/>
    <col min="12029" max="12029" width="10.33203125" style="1" customWidth="1"/>
    <col min="12030" max="12030" width="25.6640625" style="1" bestFit="1" customWidth="1"/>
    <col min="12031" max="12031" width="10.33203125" style="1" customWidth="1"/>
    <col min="12032" max="12033" width="18.109375" style="1" customWidth="1"/>
    <col min="12034" max="12034" width="11.6640625" style="1" bestFit="1" customWidth="1"/>
    <col min="12035" max="12045" width="10.33203125" style="1" customWidth="1"/>
    <col min="12046" max="12046" width="37.44140625" style="1" customWidth="1"/>
    <col min="12047" max="12047" width="25.5546875" style="1" bestFit="1" customWidth="1"/>
    <col min="12048" max="12048" width="8.88671875" style="1"/>
    <col min="12049" max="12049" width="13.44140625" style="1" bestFit="1" customWidth="1"/>
    <col min="12050" max="12050" width="21.109375" style="1" bestFit="1" customWidth="1"/>
    <col min="12051" max="12051" width="8.5546875" style="1" bestFit="1" customWidth="1"/>
    <col min="12052" max="12052" width="6.33203125" style="1" bestFit="1" customWidth="1"/>
    <col min="12053" max="12053" width="9.5546875" style="1" bestFit="1" customWidth="1"/>
    <col min="12054" max="12054" width="14.88671875" style="1" bestFit="1" customWidth="1"/>
    <col min="12055" max="12281" width="8.88671875" style="1"/>
    <col min="12282" max="12282" width="3" style="1" customWidth="1"/>
    <col min="12283" max="12283" width="3.6640625" style="1" customWidth="1"/>
    <col min="12284" max="12284" width="18.6640625" style="1" customWidth="1"/>
    <col min="12285" max="12285" width="10.33203125" style="1" customWidth="1"/>
    <col min="12286" max="12286" width="25.6640625" style="1" bestFit="1" customWidth="1"/>
    <col min="12287" max="12287" width="10.33203125" style="1" customWidth="1"/>
    <col min="12288" max="12289" width="18.109375" style="1" customWidth="1"/>
    <col min="12290" max="12290" width="11.6640625" style="1" bestFit="1" customWidth="1"/>
    <col min="12291" max="12301" width="10.33203125" style="1" customWidth="1"/>
    <col min="12302" max="12302" width="37.44140625" style="1" customWidth="1"/>
    <col min="12303" max="12303" width="25.5546875" style="1" bestFit="1" customWidth="1"/>
    <col min="12304" max="12304" width="8.88671875" style="1"/>
    <col min="12305" max="12305" width="13.44140625" style="1" bestFit="1" customWidth="1"/>
    <col min="12306" max="12306" width="21.109375" style="1" bestFit="1" customWidth="1"/>
    <col min="12307" max="12307" width="8.5546875" style="1" bestFit="1" customWidth="1"/>
    <col min="12308" max="12308" width="6.33203125" style="1" bestFit="1" customWidth="1"/>
    <col min="12309" max="12309" width="9.5546875" style="1" bestFit="1" customWidth="1"/>
    <col min="12310" max="12310" width="14.88671875" style="1" bestFit="1" customWidth="1"/>
    <col min="12311" max="12537" width="8.88671875" style="1"/>
    <col min="12538" max="12538" width="3" style="1" customWidth="1"/>
    <col min="12539" max="12539" width="3.6640625" style="1" customWidth="1"/>
    <col min="12540" max="12540" width="18.6640625" style="1" customWidth="1"/>
    <col min="12541" max="12541" width="10.33203125" style="1" customWidth="1"/>
    <col min="12542" max="12542" width="25.6640625" style="1" bestFit="1" customWidth="1"/>
    <col min="12543" max="12543" width="10.33203125" style="1" customWidth="1"/>
    <col min="12544" max="12545" width="18.109375" style="1" customWidth="1"/>
    <col min="12546" max="12546" width="11.6640625" style="1" bestFit="1" customWidth="1"/>
    <col min="12547" max="12557" width="10.33203125" style="1" customWidth="1"/>
    <col min="12558" max="12558" width="37.44140625" style="1" customWidth="1"/>
    <col min="12559" max="12559" width="25.5546875" style="1" bestFit="1" customWidth="1"/>
    <col min="12560" max="12560" width="8.88671875" style="1"/>
    <col min="12561" max="12561" width="13.44140625" style="1" bestFit="1" customWidth="1"/>
    <col min="12562" max="12562" width="21.109375" style="1" bestFit="1" customWidth="1"/>
    <col min="12563" max="12563" width="8.5546875" style="1" bestFit="1" customWidth="1"/>
    <col min="12564" max="12564" width="6.33203125" style="1" bestFit="1" customWidth="1"/>
    <col min="12565" max="12565" width="9.5546875" style="1" bestFit="1" customWidth="1"/>
    <col min="12566" max="12566" width="14.88671875" style="1" bestFit="1" customWidth="1"/>
    <col min="12567" max="12793" width="8.88671875" style="1"/>
    <col min="12794" max="12794" width="3" style="1" customWidth="1"/>
    <col min="12795" max="12795" width="3.6640625" style="1" customWidth="1"/>
    <col min="12796" max="12796" width="18.6640625" style="1" customWidth="1"/>
    <col min="12797" max="12797" width="10.33203125" style="1" customWidth="1"/>
    <col min="12798" max="12798" width="25.6640625" style="1" bestFit="1" customWidth="1"/>
    <col min="12799" max="12799" width="10.33203125" style="1" customWidth="1"/>
    <col min="12800" max="12801" width="18.109375" style="1" customWidth="1"/>
    <col min="12802" max="12802" width="11.6640625" style="1" bestFit="1" customWidth="1"/>
    <col min="12803" max="12813" width="10.33203125" style="1" customWidth="1"/>
    <col min="12814" max="12814" width="37.44140625" style="1" customWidth="1"/>
    <col min="12815" max="12815" width="25.5546875" style="1" bestFit="1" customWidth="1"/>
    <col min="12816" max="12816" width="8.88671875" style="1"/>
    <col min="12817" max="12817" width="13.44140625" style="1" bestFit="1" customWidth="1"/>
    <col min="12818" max="12818" width="21.109375" style="1" bestFit="1" customWidth="1"/>
    <col min="12819" max="12819" width="8.5546875" style="1" bestFit="1" customWidth="1"/>
    <col min="12820" max="12820" width="6.33203125" style="1" bestFit="1" customWidth="1"/>
    <col min="12821" max="12821" width="9.5546875" style="1" bestFit="1" customWidth="1"/>
    <col min="12822" max="12822" width="14.88671875" style="1" bestFit="1" customWidth="1"/>
    <col min="12823" max="13049" width="8.88671875" style="1"/>
    <col min="13050" max="13050" width="3" style="1" customWidth="1"/>
    <col min="13051" max="13051" width="3.6640625" style="1" customWidth="1"/>
    <col min="13052" max="13052" width="18.6640625" style="1" customWidth="1"/>
    <col min="13053" max="13053" width="10.33203125" style="1" customWidth="1"/>
    <col min="13054" max="13054" width="25.6640625" style="1" bestFit="1" customWidth="1"/>
    <col min="13055" max="13055" width="10.33203125" style="1" customWidth="1"/>
    <col min="13056" max="13057" width="18.109375" style="1" customWidth="1"/>
    <col min="13058" max="13058" width="11.6640625" style="1" bestFit="1" customWidth="1"/>
    <col min="13059" max="13069" width="10.33203125" style="1" customWidth="1"/>
    <col min="13070" max="13070" width="37.44140625" style="1" customWidth="1"/>
    <col min="13071" max="13071" width="25.5546875" style="1" bestFit="1" customWidth="1"/>
    <col min="13072" max="13072" width="8.88671875" style="1"/>
    <col min="13073" max="13073" width="13.44140625" style="1" bestFit="1" customWidth="1"/>
    <col min="13074" max="13074" width="21.109375" style="1" bestFit="1" customWidth="1"/>
    <col min="13075" max="13075" width="8.5546875" style="1" bestFit="1" customWidth="1"/>
    <col min="13076" max="13076" width="6.33203125" style="1" bestFit="1" customWidth="1"/>
    <col min="13077" max="13077" width="9.5546875" style="1" bestFit="1" customWidth="1"/>
    <col min="13078" max="13078" width="14.88671875" style="1" bestFit="1" customWidth="1"/>
    <col min="13079" max="13305" width="8.88671875" style="1"/>
    <col min="13306" max="13306" width="3" style="1" customWidth="1"/>
    <col min="13307" max="13307" width="3.6640625" style="1" customWidth="1"/>
    <col min="13308" max="13308" width="18.6640625" style="1" customWidth="1"/>
    <col min="13309" max="13309" width="10.33203125" style="1" customWidth="1"/>
    <col min="13310" max="13310" width="25.6640625" style="1" bestFit="1" customWidth="1"/>
    <col min="13311" max="13311" width="10.33203125" style="1" customWidth="1"/>
    <col min="13312" max="13313" width="18.109375" style="1" customWidth="1"/>
    <col min="13314" max="13314" width="11.6640625" style="1" bestFit="1" customWidth="1"/>
    <col min="13315" max="13325" width="10.33203125" style="1" customWidth="1"/>
    <col min="13326" max="13326" width="37.44140625" style="1" customWidth="1"/>
    <col min="13327" max="13327" width="25.5546875" style="1" bestFit="1" customWidth="1"/>
    <col min="13328" max="13328" width="8.88671875" style="1"/>
    <col min="13329" max="13329" width="13.44140625" style="1" bestFit="1" customWidth="1"/>
    <col min="13330" max="13330" width="21.109375" style="1" bestFit="1" customWidth="1"/>
    <col min="13331" max="13331" width="8.5546875" style="1" bestFit="1" customWidth="1"/>
    <col min="13332" max="13332" width="6.33203125" style="1" bestFit="1" customWidth="1"/>
    <col min="13333" max="13333" width="9.5546875" style="1" bestFit="1" customWidth="1"/>
    <col min="13334" max="13334" width="14.88671875" style="1" bestFit="1" customWidth="1"/>
    <col min="13335" max="13561" width="8.88671875" style="1"/>
    <col min="13562" max="13562" width="3" style="1" customWidth="1"/>
    <col min="13563" max="13563" width="3.6640625" style="1" customWidth="1"/>
    <col min="13564" max="13564" width="18.6640625" style="1" customWidth="1"/>
    <col min="13565" max="13565" width="10.33203125" style="1" customWidth="1"/>
    <col min="13566" max="13566" width="25.6640625" style="1" bestFit="1" customWidth="1"/>
    <col min="13567" max="13567" width="10.33203125" style="1" customWidth="1"/>
    <col min="13568" max="13569" width="18.109375" style="1" customWidth="1"/>
    <col min="13570" max="13570" width="11.6640625" style="1" bestFit="1" customWidth="1"/>
    <col min="13571" max="13581" width="10.33203125" style="1" customWidth="1"/>
    <col min="13582" max="13582" width="37.44140625" style="1" customWidth="1"/>
    <col min="13583" max="13583" width="25.5546875" style="1" bestFit="1" customWidth="1"/>
    <col min="13584" max="13584" width="8.88671875" style="1"/>
    <col min="13585" max="13585" width="13.44140625" style="1" bestFit="1" customWidth="1"/>
    <col min="13586" max="13586" width="21.109375" style="1" bestFit="1" customWidth="1"/>
    <col min="13587" max="13587" width="8.5546875" style="1" bestFit="1" customWidth="1"/>
    <col min="13588" max="13588" width="6.33203125" style="1" bestFit="1" customWidth="1"/>
    <col min="13589" max="13589" width="9.5546875" style="1" bestFit="1" customWidth="1"/>
    <col min="13590" max="13590" width="14.88671875" style="1" bestFit="1" customWidth="1"/>
    <col min="13591" max="13817" width="8.88671875" style="1"/>
    <col min="13818" max="13818" width="3" style="1" customWidth="1"/>
    <col min="13819" max="13819" width="3.6640625" style="1" customWidth="1"/>
    <col min="13820" max="13820" width="18.6640625" style="1" customWidth="1"/>
    <col min="13821" max="13821" width="10.33203125" style="1" customWidth="1"/>
    <col min="13822" max="13822" width="25.6640625" style="1" bestFit="1" customWidth="1"/>
    <col min="13823" max="13823" width="10.33203125" style="1" customWidth="1"/>
    <col min="13824" max="13825" width="18.109375" style="1" customWidth="1"/>
    <col min="13826" max="13826" width="11.6640625" style="1" bestFit="1" customWidth="1"/>
    <col min="13827" max="13837" width="10.33203125" style="1" customWidth="1"/>
    <col min="13838" max="13838" width="37.44140625" style="1" customWidth="1"/>
    <col min="13839" max="13839" width="25.5546875" style="1" bestFit="1" customWidth="1"/>
    <col min="13840" max="13840" width="8.88671875" style="1"/>
    <col min="13841" max="13841" width="13.44140625" style="1" bestFit="1" customWidth="1"/>
    <col min="13842" max="13842" width="21.109375" style="1" bestFit="1" customWidth="1"/>
    <col min="13843" max="13843" width="8.5546875" style="1" bestFit="1" customWidth="1"/>
    <col min="13844" max="13844" width="6.33203125" style="1" bestFit="1" customWidth="1"/>
    <col min="13845" max="13845" width="9.5546875" style="1" bestFit="1" customWidth="1"/>
    <col min="13846" max="13846" width="14.88671875" style="1" bestFit="1" customWidth="1"/>
    <col min="13847" max="14073" width="8.88671875" style="1"/>
    <col min="14074" max="14074" width="3" style="1" customWidth="1"/>
    <col min="14075" max="14075" width="3.6640625" style="1" customWidth="1"/>
    <col min="14076" max="14076" width="18.6640625" style="1" customWidth="1"/>
    <col min="14077" max="14077" width="10.33203125" style="1" customWidth="1"/>
    <col min="14078" max="14078" width="25.6640625" style="1" bestFit="1" customWidth="1"/>
    <col min="14079" max="14079" width="10.33203125" style="1" customWidth="1"/>
    <col min="14080" max="14081" width="18.109375" style="1" customWidth="1"/>
    <col min="14082" max="14082" width="11.6640625" style="1" bestFit="1" customWidth="1"/>
    <col min="14083" max="14093" width="10.33203125" style="1" customWidth="1"/>
    <col min="14094" max="14094" width="37.44140625" style="1" customWidth="1"/>
    <col min="14095" max="14095" width="25.5546875" style="1" bestFit="1" customWidth="1"/>
    <col min="14096" max="14096" width="8.88671875" style="1"/>
    <col min="14097" max="14097" width="13.44140625" style="1" bestFit="1" customWidth="1"/>
    <col min="14098" max="14098" width="21.109375" style="1" bestFit="1" customWidth="1"/>
    <col min="14099" max="14099" width="8.5546875" style="1" bestFit="1" customWidth="1"/>
    <col min="14100" max="14100" width="6.33203125" style="1" bestFit="1" customWidth="1"/>
    <col min="14101" max="14101" width="9.5546875" style="1" bestFit="1" customWidth="1"/>
    <col min="14102" max="14102" width="14.88671875" style="1" bestFit="1" customWidth="1"/>
    <col min="14103" max="14329" width="8.88671875" style="1"/>
    <col min="14330" max="14330" width="3" style="1" customWidth="1"/>
    <col min="14331" max="14331" width="3.6640625" style="1" customWidth="1"/>
    <col min="14332" max="14332" width="18.6640625" style="1" customWidth="1"/>
    <col min="14333" max="14333" width="10.33203125" style="1" customWidth="1"/>
    <col min="14334" max="14334" width="25.6640625" style="1" bestFit="1" customWidth="1"/>
    <col min="14335" max="14335" width="10.33203125" style="1" customWidth="1"/>
    <col min="14336" max="14337" width="18.109375" style="1" customWidth="1"/>
    <col min="14338" max="14338" width="11.6640625" style="1" bestFit="1" customWidth="1"/>
    <col min="14339" max="14349" width="10.33203125" style="1" customWidth="1"/>
    <col min="14350" max="14350" width="37.44140625" style="1" customWidth="1"/>
    <col min="14351" max="14351" width="25.5546875" style="1" bestFit="1" customWidth="1"/>
    <col min="14352" max="14352" width="8.88671875" style="1"/>
    <col min="14353" max="14353" width="13.44140625" style="1" bestFit="1" customWidth="1"/>
    <col min="14354" max="14354" width="21.109375" style="1" bestFit="1" customWidth="1"/>
    <col min="14355" max="14355" width="8.5546875" style="1" bestFit="1" customWidth="1"/>
    <col min="14356" max="14356" width="6.33203125" style="1" bestFit="1" customWidth="1"/>
    <col min="14357" max="14357" width="9.5546875" style="1" bestFit="1" customWidth="1"/>
    <col min="14358" max="14358" width="14.88671875" style="1" bestFit="1" customWidth="1"/>
    <col min="14359" max="14585" width="8.88671875" style="1"/>
    <col min="14586" max="14586" width="3" style="1" customWidth="1"/>
    <col min="14587" max="14587" width="3.6640625" style="1" customWidth="1"/>
    <col min="14588" max="14588" width="18.6640625" style="1" customWidth="1"/>
    <col min="14589" max="14589" width="10.33203125" style="1" customWidth="1"/>
    <col min="14590" max="14590" width="25.6640625" style="1" bestFit="1" customWidth="1"/>
    <col min="14591" max="14591" width="10.33203125" style="1" customWidth="1"/>
    <col min="14592" max="14593" width="18.109375" style="1" customWidth="1"/>
    <col min="14594" max="14594" width="11.6640625" style="1" bestFit="1" customWidth="1"/>
    <col min="14595" max="14605" width="10.33203125" style="1" customWidth="1"/>
    <col min="14606" max="14606" width="37.44140625" style="1" customWidth="1"/>
    <col min="14607" max="14607" width="25.5546875" style="1" bestFit="1" customWidth="1"/>
    <col min="14608" max="14608" width="8.88671875" style="1"/>
    <col min="14609" max="14609" width="13.44140625" style="1" bestFit="1" customWidth="1"/>
    <col min="14610" max="14610" width="21.109375" style="1" bestFit="1" customWidth="1"/>
    <col min="14611" max="14611" width="8.5546875" style="1" bestFit="1" customWidth="1"/>
    <col min="14612" max="14612" width="6.33203125" style="1" bestFit="1" customWidth="1"/>
    <col min="14613" max="14613" width="9.5546875" style="1" bestFit="1" customWidth="1"/>
    <col min="14614" max="14614" width="14.88671875" style="1" bestFit="1" customWidth="1"/>
    <col min="14615" max="14841" width="8.88671875" style="1"/>
    <col min="14842" max="14842" width="3" style="1" customWidth="1"/>
    <col min="14843" max="14843" width="3.6640625" style="1" customWidth="1"/>
    <col min="14844" max="14844" width="18.6640625" style="1" customWidth="1"/>
    <col min="14845" max="14845" width="10.33203125" style="1" customWidth="1"/>
    <col min="14846" max="14846" width="25.6640625" style="1" bestFit="1" customWidth="1"/>
    <col min="14847" max="14847" width="10.33203125" style="1" customWidth="1"/>
    <col min="14848" max="14849" width="18.109375" style="1" customWidth="1"/>
    <col min="14850" max="14850" width="11.6640625" style="1" bestFit="1" customWidth="1"/>
    <col min="14851" max="14861" width="10.33203125" style="1" customWidth="1"/>
    <col min="14862" max="14862" width="37.44140625" style="1" customWidth="1"/>
    <col min="14863" max="14863" width="25.5546875" style="1" bestFit="1" customWidth="1"/>
    <col min="14864" max="14864" width="8.88671875" style="1"/>
    <col min="14865" max="14865" width="13.44140625" style="1" bestFit="1" customWidth="1"/>
    <col min="14866" max="14866" width="21.109375" style="1" bestFit="1" customWidth="1"/>
    <col min="14867" max="14867" width="8.5546875" style="1" bestFit="1" customWidth="1"/>
    <col min="14868" max="14868" width="6.33203125" style="1" bestFit="1" customWidth="1"/>
    <col min="14869" max="14869" width="9.5546875" style="1" bestFit="1" customWidth="1"/>
    <col min="14870" max="14870" width="14.88671875" style="1" bestFit="1" customWidth="1"/>
    <col min="14871" max="15097" width="8.88671875" style="1"/>
    <col min="15098" max="15098" width="3" style="1" customWidth="1"/>
    <col min="15099" max="15099" width="3.6640625" style="1" customWidth="1"/>
    <col min="15100" max="15100" width="18.6640625" style="1" customWidth="1"/>
    <col min="15101" max="15101" width="10.33203125" style="1" customWidth="1"/>
    <col min="15102" max="15102" width="25.6640625" style="1" bestFit="1" customWidth="1"/>
    <col min="15103" max="15103" width="10.33203125" style="1" customWidth="1"/>
    <col min="15104" max="15105" width="18.109375" style="1" customWidth="1"/>
    <col min="15106" max="15106" width="11.6640625" style="1" bestFit="1" customWidth="1"/>
    <col min="15107" max="15117" width="10.33203125" style="1" customWidth="1"/>
    <col min="15118" max="15118" width="37.44140625" style="1" customWidth="1"/>
    <col min="15119" max="15119" width="25.5546875" style="1" bestFit="1" customWidth="1"/>
    <col min="15120" max="15120" width="8.88671875" style="1"/>
    <col min="15121" max="15121" width="13.44140625" style="1" bestFit="1" customWidth="1"/>
    <col min="15122" max="15122" width="21.109375" style="1" bestFit="1" customWidth="1"/>
    <col min="15123" max="15123" width="8.5546875" style="1" bestFit="1" customWidth="1"/>
    <col min="15124" max="15124" width="6.33203125" style="1" bestFit="1" customWidth="1"/>
    <col min="15125" max="15125" width="9.5546875" style="1" bestFit="1" customWidth="1"/>
    <col min="15126" max="15126" width="14.88671875" style="1" bestFit="1" customWidth="1"/>
    <col min="15127" max="15353" width="8.88671875" style="1"/>
    <col min="15354" max="15354" width="3" style="1" customWidth="1"/>
    <col min="15355" max="15355" width="3.6640625" style="1" customWidth="1"/>
    <col min="15356" max="15356" width="18.6640625" style="1" customWidth="1"/>
    <col min="15357" max="15357" width="10.33203125" style="1" customWidth="1"/>
    <col min="15358" max="15358" width="25.6640625" style="1" bestFit="1" customWidth="1"/>
    <col min="15359" max="15359" width="10.33203125" style="1" customWidth="1"/>
    <col min="15360" max="15361" width="18.109375" style="1" customWidth="1"/>
    <col min="15362" max="15362" width="11.6640625" style="1" bestFit="1" customWidth="1"/>
    <col min="15363" max="15373" width="10.33203125" style="1" customWidth="1"/>
    <col min="15374" max="15374" width="37.44140625" style="1" customWidth="1"/>
    <col min="15375" max="15375" width="25.5546875" style="1" bestFit="1" customWidth="1"/>
    <col min="15376" max="15376" width="8.88671875" style="1"/>
    <col min="15377" max="15377" width="13.44140625" style="1" bestFit="1" customWidth="1"/>
    <col min="15378" max="15378" width="21.109375" style="1" bestFit="1" customWidth="1"/>
    <col min="15379" max="15379" width="8.5546875" style="1" bestFit="1" customWidth="1"/>
    <col min="15380" max="15380" width="6.33203125" style="1" bestFit="1" customWidth="1"/>
    <col min="15381" max="15381" width="9.5546875" style="1" bestFit="1" customWidth="1"/>
    <col min="15382" max="15382" width="14.88671875" style="1" bestFit="1" customWidth="1"/>
    <col min="15383" max="15609" width="8.88671875" style="1"/>
    <col min="15610" max="15610" width="3" style="1" customWidth="1"/>
    <col min="15611" max="15611" width="3.6640625" style="1" customWidth="1"/>
    <col min="15612" max="15612" width="18.6640625" style="1" customWidth="1"/>
    <col min="15613" max="15613" width="10.33203125" style="1" customWidth="1"/>
    <col min="15614" max="15614" width="25.6640625" style="1" bestFit="1" customWidth="1"/>
    <col min="15615" max="15615" width="10.33203125" style="1" customWidth="1"/>
    <col min="15616" max="15617" width="18.109375" style="1" customWidth="1"/>
    <col min="15618" max="15618" width="11.6640625" style="1" bestFit="1" customWidth="1"/>
    <col min="15619" max="15629" width="10.33203125" style="1" customWidth="1"/>
    <col min="15630" max="15630" width="37.44140625" style="1" customWidth="1"/>
    <col min="15631" max="15631" width="25.5546875" style="1" bestFit="1" customWidth="1"/>
    <col min="15632" max="15632" width="8.88671875" style="1"/>
    <col min="15633" max="15633" width="13.44140625" style="1" bestFit="1" customWidth="1"/>
    <col min="15634" max="15634" width="21.109375" style="1" bestFit="1" customWidth="1"/>
    <col min="15635" max="15635" width="8.5546875" style="1" bestFit="1" customWidth="1"/>
    <col min="15636" max="15636" width="6.33203125" style="1" bestFit="1" customWidth="1"/>
    <col min="15637" max="15637" width="9.5546875" style="1" bestFit="1" customWidth="1"/>
    <col min="15638" max="15638" width="14.88671875" style="1" bestFit="1" customWidth="1"/>
    <col min="15639" max="15865" width="8.88671875" style="1"/>
    <col min="15866" max="15866" width="3" style="1" customWidth="1"/>
    <col min="15867" max="15867" width="3.6640625" style="1" customWidth="1"/>
    <col min="15868" max="15868" width="18.6640625" style="1" customWidth="1"/>
    <col min="15869" max="15869" width="10.33203125" style="1" customWidth="1"/>
    <col min="15870" max="15870" width="25.6640625" style="1" bestFit="1" customWidth="1"/>
    <col min="15871" max="15871" width="10.33203125" style="1" customWidth="1"/>
    <col min="15872" max="15873" width="18.109375" style="1" customWidth="1"/>
    <col min="15874" max="15874" width="11.6640625" style="1" bestFit="1" customWidth="1"/>
    <col min="15875" max="15885" width="10.33203125" style="1" customWidth="1"/>
    <col min="15886" max="15886" width="37.44140625" style="1" customWidth="1"/>
    <col min="15887" max="15887" width="25.5546875" style="1" bestFit="1" customWidth="1"/>
    <col min="15888" max="15888" width="8.88671875" style="1"/>
    <col min="15889" max="15889" width="13.44140625" style="1" bestFit="1" customWidth="1"/>
    <col min="15890" max="15890" width="21.109375" style="1" bestFit="1" customWidth="1"/>
    <col min="15891" max="15891" width="8.5546875" style="1" bestFit="1" customWidth="1"/>
    <col min="15892" max="15892" width="6.33203125" style="1" bestFit="1" customWidth="1"/>
    <col min="15893" max="15893" width="9.5546875" style="1" bestFit="1" customWidth="1"/>
    <col min="15894" max="15894" width="14.88671875" style="1" bestFit="1" customWidth="1"/>
    <col min="15895" max="16121" width="8.88671875" style="1"/>
    <col min="16122" max="16122" width="3" style="1" customWidth="1"/>
    <col min="16123" max="16123" width="3.6640625" style="1" customWidth="1"/>
    <col min="16124" max="16124" width="18.6640625" style="1" customWidth="1"/>
    <col min="16125" max="16125" width="10.33203125" style="1" customWidth="1"/>
    <col min="16126" max="16126" width="25.6640625" style="1" bestFit="1" customWidth="1"/>
    <col min="16127" max="16127" width="10.33203125" style="1" customWidth="1"/>
    <col min="16128" max="16129" width="18.109375" style="1" customWidth="1"/>
    <col min="16130" max="16130" width="11.6640625" style="1" bestFit="1" customWidth="1"/>
    <col min="16131" max="16141" width="10.33203125" style="1" customWidth="1"/>
    <col min="16142" max="16142" width="37.44140625" style="1" customWidth="1"/>
    <col min="16143" max="16143" width="25.5546875" style="1" bestFit="1" customWidth="1"/>
    <col min="16144" max="16144" width="8.88671875" style="1"/>
    <col min="16145" max="16145" width="13.44140625" style="1" bestFit="1" customWidth="1"/>
    <col min="16146" max="16146" width="21.109375" style="1" bestFit="1" customWidth="1"/>
    <col min="16147" max="16147" width="8.5546875" style="1" bestFit="1" customWidth="1"/>
    <col min="16148" max="16148" width="6.33203125" style="1" bestFit="1" customWidth="1"/>
    <col min="16149" max="16149" width="9.5546875" style="1" bestFit="1" customWidth="1"/>
    <col min="16150" max="16150" width="14.88671875" style="1" bestFit="1" customWidth="1"/>
    <col min="16151" max="16384" width="8.88671875" style="1"/>
  </cols>
  <sheetData>
    <row r="1" spans="2:22" ht="26.25">
      <c r="C1" s="116" t="s">
        <v>62</v>
      </c>
      <c r="D1" s="116"/>
      <c r="E1" s="116"/>
      <c r="F1" s="116"/>
      <c r="G1" s="116"/>
      <c r="S1" s="3" t="s">
        <v>1</v>
      </c>
      <c r="U1" s="89" t="s">
        <v>63</v>
      </c>
    </row>
    <row r="2" spans="2:22" ht="18.75" customHeight="1">
      <c r="B2" s="4"/>
      <c r="C2" s="116"/>
      <c r="D2" s="116"/>
      <c r="E2" s="116"/>
      <c r="F2" s="116"/>
      <c r="G2" s="116"/>
      <c r="H2" s="74"/>
      <c r="I2" s="74"/>
      <c r="J2" s="74"/>
    </row>
    <row r="4" spans="2:22" ht="19.5" thickBot="1"/>
    <row r="5" spans="2:22" s="65" customFormat="1" ht="42.75" thickBot="1">
      <c r="C5" s="90" t="s">
        <v>2</v>
      </c>
      <c r="D5" s="91" t="s">
        <v>3</v>
      </c>
      <c r="E5" s="91" t="s">
        <v>71</v>
      </c>
      <c r="F5" s="92" t="s">
        <v>86</v>
      </c>
      <c r="G5" s="93" t="s">
        <v>4</v>
      </c>
      <c r="H5" s="93" t="s">
        <v>5</v>
      </c>
      <c r="I5" s="117" t="s">
        <v>6</v>
      </c>
      <c r="J5" s="117" t="s">
        <v>7</v>
      </c>
      <c r="K5" s="117" t="s">
        <v>8</v>
      </c>
      <c r="L5" s="117" t="s">
        <v>0</v>
      </c>
      <c r="M5" s="93" t="s">
        <v>9</v>
      </c>
      <c r="N5" s="93" t="s">
        <v>10</v>
      </c>
      <c r="O5" s="93" t="s">
        <v>11</v>
      </c>
      <c r="P5" s="93" t="s">
        <v>12</v>
      </c>
      <c r="Q5" s="106" t="s">
        <v>67</v>
      </c>
      <c r="R5" s="106" t="s">
        <v>68</v>
      </c>
      <c r="S5" s="93" t="s">
        <v>13</v>
      </c>
      <c r="T5" s="94"/>
      <c r="U5" s="95" t="s">
        <v>14</v>
      </c>
      <c r="V5" s="96" t="s">
        <v>15</v>
      </c>
    </row>
    <row r="6" spans="2:22" s="5" customFormat="1" ht="20.25" customHeight="1">
      <c r="C6" s="109" t="s">
        <v>47</v>
      </c>
      <c r="D6" s="7">
        <v>13</v>
      </c>
      <c r="E6" s="7" t="s">
        <v>85</v>
      </c>
      <c r="F6" s="8" t="s">
        <v>48</v>
      </c>
      <c r="G6" s="9" t="s">
        <v>16</v>
      </c>
      <c r="H6" s="9" t="s">
        <v>17</v>
      </c>
      <c r="I6" s="9" t="s">
        <v>18</v>
      </c>
      <c r="J6" s="9">
        <v>1600</v>
      </c>
      <c r="K6" s="10" t="s">
        <v>19</v>
      </c>
      <c r="L6" s="10" t="s">
        <v>20</v>
      </c>
      <c r="M6" s="10"/>
      <c r="N6" s="10" t="s">
        <v>21</v>
      </c>
      <c r="O6" s="10" t="s">
        <v>22</v>
      </c>
      <c r="P6" s="10">
        <v>245</v>
      </c>
      <c r="Q6" s="9">
        <v>645</v>
      </c>
      <c r="R6" s="9">
        <f>Q6-P6</f>
        <v>400</v>
      </c>
      <c r="S6" s="9"/>
      <c r="T6" s="11"/>
      <c r="U6" s="12"/>
      <c r="V6" s="13"/>
    </row>
    <row r="7" spans="2:22" s="5" customFormat="1" ht="20.25" customHeight="1">
      <c r="C7" s="109"/>
      <c r="D7" s="7">
        <v>14</v>
      </c>
      <c r="E7" s="7" t="s">
        <v>85</v>
      </c>
      <c r="F7" s="8" t="s">
        <v>48</v>
      </c>
      <c r="G7" s="9" t="s">
        <v>16</v>
      </c>
      <c r="H7" s="9" t="s">
        <v>17</v>
      </c>
      <c r="I7" s="9" t="s">
        <v>18</v>
      </c>
      <c r="J7" s="9">
        <v>1600</v>
      </c>
      <c r="K7" s="10" t="s">
        <v>19</v>
      </c>
      <c r="L7" s="10" t="s">
        <v>20</v>
      </c>
      <c r="M7" s="14" t="s">
        <v>23</v>
      </c>
      <c r="N7" s="10" t="s">
        <v>21</v>
      </c>
      <c r="O7" s="10" t="s">
        <v>22</v>
      </c>
      <c r="P7" s="10">
        <v>245</v>
      </c>
      <c r="Q7" s="9">
        <v>645</v>
      </c>
      <c r="R7" s="9">
        <f t="shared" ref="R7:R28" si="0">Q7-P7</f>
        <v>400</v>
      </c>
      <c r="S7" s="9"/>
      <c r="T7" s="11"/>
      <c r="U7" s="12"/>
      <c r="V7" s="13"/>
    </row>
    <row r="8" spans="2:22" s="5" customFormat="1" ht="20.25" customHeight="1">
      <c r="C8" s="109"/>
      <c r="D8" s="7">
        <v>15</v>
      </c>
      <c r="E8" s="7" t="s">
        <v>85</v>
      </c>
      <c r="F8" s="8" t="s">
        <v>48</v>
      </c>
      <c r="G8" s="9" t="s">
        <v>16</v>
      </c>
      <c r="H8" s="9" t="s">
        <v>17</v>
      </c>
      <c r="I8" s="9" t="s">
        <v>18</v>
      </c>
      <c r="J8" s="9">
        <v>1600</v>
      </c>
      <c r="K8" s="10" t="s">
        <v>19</v>
      </c>
      <c r="L8" s="10" t="s">
        <v>20</v>
      </c>
      <c r="M8" s="10" t="s">
        <v>23</v>
      </c>
      <c r="N8" s="10" t="s">
        <v>21</v>
      </c>
      <c r="O8" s="10" t="s">
        <v>22</v>
      </c>
      <c r="P8" s="10">
        <v>245</v>
      </c>
      <c r="Q8" s="9">
        <v>645</v>
      </c>
      <c r="R8" s="9">
        <f t="shared" si="0"/>
        <v>400</v>
      </c>
      <c r="S8" s="9"/>
      <c r="T8" s="11"/>
      <c r="U8" s="12"/>
      <c r="V8" s="13"/>
    </row>
    <row r="9" spans="2:22" s="5" customFormat="1" ht="20.25" customHeight="1">
      <c r="C9" s="109"/>
      <c r="D9" s="7">
        <v>16</v>
      </c>
      <c r="E9" s="7" t="s">
        <v>85</v>
      </c>
      <c r="F9" s="8" t="s">
        <v>48</v>
      </c>
      <c r="G9" s="9" t="s">
        <v>16</v>
      </c>
      <c r="H9" s="9" t="s">
        <v>17</v>
      </c>
      <c r="I9" s="9" t="s">
        <v>18</v>
      </c>
      <c r="J9" s="9">
        <v>1600</v>
      </c>
      <c r="K9" s="10" t="s">
        <v>19</v>
      </c>
      <c r="L9" s="10" t="s">
        <v>20</v>
      </c>
      <c r="M9" s="10" t="s">
        <v>23</v>
      </c>
      <c r="N9" s="10" t="s">
        <v>21</v>
      </c>
      <c r="O9" s="10" t="s">
        <v>22</v>
      </c>
      <c r="P9" s="10">
        <v>245</v>
      </c>
      <c r="Q9" s="9">
        <v>645</v>
      </c>
      <c r="R9" s="9">
        <f t="shared" si="0"/>
        <v>400</v>
      </c>
      <c r="S9" s="9"/>
      <c r="T9" s="11"/>
      <c r="U9" s="12"/>
      <c r="V9" s="13"/>
    </row>
    <row r="10" spans="2:22" s="5" customFormat="1" ht="20.25" customHeight="1">
      <c r="C10" s="109"/>
      <c r="D10" s="7">
        <v>17</v>
      </c>
      <c r="E10" s="7" t="s">
        <v>85</v>
      </c>
      <c r="F10" s="8" t="s">
        <v>48</v>
      </c>
      <c r="G10" s="9" t="s">
        <v>16</v>
      </c>
      <c r="H10" s="9" t="s">
        <v>17</v>
      </c>
      <c r="I10" s="9" t="s">
        <v>18</v>
      </c>
      <c r="J10" s="9">
        <v>1600</v>
      </c>
      <c r="K10" s="10" t="s">
        <v>19</v>
      </c>
      <c r="L10" s="10" t="s">
        <v>20</v>
      </c>
      <c r="M10" s="10"/>
      <c r="N10" s="10" t="s">
        <v>21</v>
      </c>
      <c r="O10" s="10" t="s">
        <v>22</v>
      </c>
      <c r="P10" s="10">
        <v>245</v>
      </c>
      <c r="Q10" s="9">
        <v>645</v>
      </c>
      <c r="R10" s="9">
        <f t="shared" si="0"/>
        <v>400</v>
      </c>
      <c r="S10" s="9"/>
      <c r="T10" s="11"/>
      <c r="U10" s="12"/>
      <c r="V10" s="13"/>
    </row>
    <row r="11" spans="2:22" s="5" customFormat="1" ht="20.25" customHeight="1">
      <c r="C11" s="109"/>
      <c r="D11" s="7">
        <v>36</v>
      </c>
      <c r="E11" s="7" t="s">
        <v>85</v>
      </c>
      <c r="F11" s="8" t="s">
        <v>48</v>
      </c>
      <c r="G11" s="9" t="s">
        <v>16</v>
      </c>
      <c r="H11" s="9" t="s">
        <v>17</v>
      </c>
      <c r="I11" s="9" t="s">
        <v>18</v>
      </c>
      <c r="J11" s="16">
        <v>1600</v>
      </c>
      <c r="K11" s="10" t="s">
        <v>19</v>
      </c>
      <c r="L11" s="10" t="s">
        <v>20</v>
      </c>
      <c r="M11" s="10" t="s">
        <v>23</v>
      </c>
      <c r="N11" s="10" t="s">
        <v>21</v>
      </c>
      <c r="O11" s="10" t="s">
        <v>22</v>
      </c>
      <c r="P11" s="10">
        <v>245</v>
      </c>
      <c r="Q11" s="9">
        <v>645</v>
      </c>
      <c r="R11" s="9">
        <f t="shared" si="0"/>
        <v>400</v>
      </c>
      <c r="S11" s="9"/>
      <c r="T11" s="11"/>
      <c r="U11" s="12"/>
      <c r="V11" s="13"/>
    </row>
    <row r="12" spans="2:22" s="5" customFormat="1" ht="20.25" customHeight="1">
      <c r="C12" s="109"/>
      <c r="D12" s="7">
        <v>37</v>
      </c>
      <c r="E12" s="7" t="s">
        <v>85</v>
      </c>
      <c r="F12" s="8" t="s">
        <v>48</v>
      </c>
      <c r="G12" s="9" t="s">
        <v>16</v>
      </c>
      <c r="H12" s="9" t="s">
        <v>17</v>
      </c>
      <c r="I12" s="9" t="s">
        <v>18</v>
      </c>
      <c r="J12" s="16">
        <v>1600</v>
      </c>
      <c r="K12" s="10" t="s">
        <v>19</v>
      </c>
      <c r="L12" s="10" t="s">
        <v>20</v>
      </c>
      <c r="M12" s="10" t="s">
        <v>23</v>
      </c>
      <c r="N12" s="10" t="s">
        <v>21</v>
      </c>
      <c r="O12" s="10" t="s">
        <v>22</v>
      </c>
      <c r="P12" s="10">
        <v>245</v>
      </c>
      <c r="Q12" s="9">
        <v>645</v>
      </c>
      <c r="R12" s="9">
        <f t="shared" si="0"/>
        <v>400</v>
      </c>
      <c r="S12" s="9"/>
      <c r="T12" s="11"/>
      <c r="U12" s="12"/>
      <c r="V12" s="13"/>
    </row>
    <row r="13" spans="2:22" s="5" customFormat="1" ht="20.25" customHeight="1">
      <c r="C13" s="109"/>
      <c r="D13" s="7">
        <v>38</v>
      </c>
      <c r="E13" s="7" t="s">
        <v>82</v>
      </c>
      <c r="F13" s="8" t="s">
        <v>48</v>
      </c>
      <c r="G13" s="9" t="s">
        <v>16</v>
      </c>
      <c r="H13" s="9" t="s">
        <v>17</v>
      </c>
      <c r="I13" s="9" t="s">
        <v>18</v>
      </c>
      <c r="J13" s="16">
        <v>2500</v>
      </c>
      <c r="K13" s="107" t="s">
        <v>19</v>
      </c>
      <c r="L13" s="10" t="s">
        <v>20</v>
      </c>
      <c r="M13" s="14" t="s">
        <v>23</v>
      </c>
      <c r="N13" s="10" t="s">
        <v>21</v>
      </c>
      <c r="O13" s="10" t="s">
        <v>22</v>
      </c>
      <c r="P13" s="10">
        <v>245</v>
      </c>
      <c r="Q13" s="9">
        <v>645</v>
      </c>
      <c r="R13" s="9">
        <f t="shared" si="0"/>
        <v>400</v>
      </c>
      <c r="S13" s="9"/>
      <c r="T13" s="11"/>
      <c r="U13" s="12"/>
      <c r="V13" s="13"/>
    </row>
    <row r="14" spans="2:22" s="5" customFormat="1" ht="20.25" customHeight="1">
      <c r="C14" s="109"/>
      <c r="D14" s="7">
        <v>39</v>
      </c>
      <c r="E14" s="7" t="s">
        <v>82</v>
      </c>
      <c r="F14" s="8" t="s">
        <v>48</v>
      </c>
      <c r="G14" s="9" t="s">
        <v>16</v>
      </c>
      <c r="H14" s="9" t="s">
        <v>17</v>
      </c>
      <c r="I14" s="9" t="s">
        <v>18</v>
      </c>
      <c r="J14" s="16">
        <v>2500</v>
      </c>
      <c r="K14" s="107" t="s">
        <v>19</v>
      </c>
      <c r="L14" s="10" t="s">
        <v>20</v>
      </c>
      <c r="M14" s="10" t="s">
        <v>23</v>
      </c>
      <c r="N14" s="10" t="s">
        <v>21</v>
      </c>
      <c r="O14" s="10" t="s">
        <v>22</v>
      </c>
      <c r="P14" s="10">
        <v>245</v>
      </c>
      <c r="Q14" s="9">
        <v>645</v>
      </c>
      <c r="R14" s="9">
        <f t="shared" si="0"/>
        <v>400</v>
      </c>
      <c r="S14" s="9"/>
      <c r="T14" s="11"/>
      <c r="U14" s="12"/>
      <c r="V14" s="13"/>
    </row>
    <row r="15" spans="2:22" s="5" customFormat="1" ht="20.25" customHeight="1">
      <c r="C15" s="109"/>
      <c r="D15" s="7">
        <v>40</v>
      </c>
      <c r="E15" s="7" t="s">
        <v>81</v>
      </c>
      <c r="F15" s="8" t="s">
        <v>48</v>
      </c>
      <c r="G15" s="9" t="s">
        <v>16</v>
      </c>
      <c r="H15" s="9" t="s">
        <v>17</v>
      </c>
      <c r="I15" s="9" t="s">
        <v>18</v>
      </c>
      <c r="J15" s="16">
        <v>1600</v>
      </c>
      <c r="K15" s="10" t="s">
        <v>19</v>
      </c>
      <c r="L15" s="10" t="s">
        <v>20</v>
      </c>
      <c r="M15" s="10"/>
      <c r="N15" s="10" t="s">
        <v>21</v>
      </c>
      <c r="O15" s="10" t="s">
        <v>22</v>
      </c>
      <c r="P15" s="10">
        <v>245</v>
      </c>
      <c r="Q15" s="9">
        <v>645</v>
      </c>
      <c r="R15" s="9">
        <f t="shared" si="0"/>
        <v>400</v>
      </c>
      <c r="S15" s="9"/>
      <c r="T15" s="11">
        <v>1</v>
      </c>
      <c r="U15" s="17" t="s">
        <v>26</v>
      </c>
      <c r="V15" s="13"/>
    </row>
    <row r="16" spans="2:22" s="5" customFormat="1" ht="20.25" customHeight="1">
      <c r="C16" s="109"/>
      <c r="D16" s="7">
        <v>49</v>
      </c>
      <c r="E16" s="7" t="s">
        <v>81</v>
      </c>
      <c r="F16" s="8" t="s">
        <v>48</v>
      </c>
      <c r="G16" s="9" t="s">
        <v>16</v>
      </c>
      <c r="H16" s="9" t="s">
        <v>17</v>
      </c>
      <c r="I16" s="9" t="s">
        <v>18</v>
      </c>
      <c r="J16" s="9">
        <v>1600</v>
      </c>
      <c r="K16" s="10" t="s">
        <v>19</v>
      </c>
      <c r="L16" s="10" t="s">
        <v>20</v>
      </c>
      <c r="M16" s="10" t="s">
        <v>23</v>
      </c>
      <c r="N16" s="9" t="s">
        <v>25</v>
      </c>
      <c r="O16" s="10" t="s">
        <v>22</v>
      </c>
      <c r="P16" s="10">
        <v>245</v>
      </c>
      <c r="Q16" s="9">
        <v>645</v>
      </c>
      <c r="R16" s="9">
        <f t="shared" si="0"/>
        <v>400</v>
      </c>
      <c r="S16" s="9"/>
      <c r="T16" s="11">
        <v>1</v>
      </c>
      <c r="U16" s="17" t="s">
        <v>26</v>
      </c>
      <c r="V16" s="19"/>
    </row>
    <row r="17" spans="3:23" s="5" customFormat="1" ht="20.25" customHeight="1">
      <c r="C17" s="109"/>
      <c r="D17" s="7">
        <v>50</v>
      </c>
      <c r="E17" s="7" t="s">
        <v>81</v>
      </c>
      <c r="F17" s="8" t="s">
        <v>48</v>
      </c>
      <c r="G17" s="10" t="s">
        <v>16</v>
      </c>
      <c r="H17" s="9" t="s">
        <v>17</v>
      </c>
      <c r="I17" s="9" t="s">
        <v>18</v>
      </c>
      <c r="J17" s="9">
        <v>1600</v>
      </c>
      <c r="K17" s="10" t="s">
        <v>19</v>
      </c>
      <c r="L17" s="10" t="s">
        <v>20</v>
      </c>
      <c r="M17" s="10" t="s">
        <v>23</v>
      </c>
      <c r="N17" s="9" t="s">
        <v>25</v>
      </c>
      <c r="O17" s="10" t="s">
        <v>22</v>
      </c>
      <c r="P17" s="10">
        <v>245</v>
      </c>
      <c r="Q17" s="9">
        <v>645</v>
      </c>
      <c r="R17" s="9">
        <f t="shared" si="0"/>
        <v>400</v>
      </c>
      <c r="S17" s="9"/>
      <c r="T17" s="11">
        <v>1</v>
      </c>
      <c r="U17" s="17" t="s">
        <v>26</v>
      </c>
      <c r="V17" s="19"/>
    </row>
    <row r="18" spans="3:23" s="5" customFormat="1" ht="20.25" customHeight="1">
      <c r="C18" s="109"/>
      <c r="D18" s="7">
        <v>51</v>
      </c>
      <c r="E18" s="7" t="s">
        <v>81</v>
      </c>
      <c r="F18" s="8" t="s">
        <v>48</v>
      </c>
      <c r="G18" s="10" t="s">
        <v>16</v>
      </c>
      <c r="H18" s="9" t="s">
        <v>17</v>
      </c>
      <c r="I18" s="9" t="s">
        <v>18</v>
      </c>
      <c r="J18" s="9">
        <v>1600</v>
      </c>
      <c r="K18" s="10" t="s">
        <v>19</v>
      </c>
      <c r="L18" s="10" t="s">
        <v>20</v>
      </c>
      <c r="M18" s="10" t="s">
        <v>23</v>
      </c>
      <c r="N18" s="9" t="s">
        <v>25</v>
      </c>
      <c r="O18" s="10" t="s">
        <v>22</v>
      </c>
      <c r="P18" s="10">
        <v>245</v>
      </c>
      <c r="Q18" s="9">
        <v>645</v>
      </c>
      <c r="R18" s="9">
        <f t="shared" si="0"/>
        <v>400</v>
      </c>
      <c r="S18" s="9"/>
      <c r="T18" s="11">
        <v>1</v>
      </c>
      <c r="U18" s="17" t="s">
        <v>26</v>
      </c>
      <c r="V18" s="19"/>
    </row>
    <row r="19" spans="3:23" s="5" customFormat="1" ht="20.25" customHeight="1">
      <c r="C19" s="109"/>
      <c r="D19" s="7">
        <v>53</v>
      </c>
      <c r="E19" s="7" t="s">
        <v>80</v>
      </c>
      <c r="F19" s="8" t="s">
        <v>48</v>
      </c>
      <c r="G19" s="10" t="s">
        <v>16</v>
      </c>
      <c r="H19" s="9" t="s">
        <v>17</v>
      </c>
      <c r="I19" s="9" t="s">
        <v>18</v>
      </c>
      <c r="J19" s="9">
        <v>1600</v>
      </c>
      <c r="K19" s="10" t="s">
        <v>19</v>
      </c>
      <c r="L19" s="10" t="s">
        <v>20</v>
      </c>
      <c r="M19" s="10" t="s">
        <v>23</v>
      </c>
      <c r="N19" s="9" t="s">
        <v>25</v>
      </c>
      <c r="O19" s="10" t="s">
        <v>22</v>
      </c>
      <c r="P19" s="10">
        <v>245</v>
      </c>
      <c r="Q19" s="9">
        <v>645</v>
      </c>
      <c r="R19" s="9">
        <f t="shared" si="0"/>
        <v>400</v>
      </c>
      <c r="S19" s="9"/>
      <c r="T19" s="11">
        <v>1</v>
      </c>
      <c r="U19" s="17" t="s">
        <v>26</v>
      </c>
      <c r="V19" s="19"/>
    </row>
    <row r="20" spans="3:23" s="5" customFormat="1" ht="20.25" customHeight="1">
      <c r="C20" s="109"/>
      <c r="D20" s="7">
        <v>54</v>
      </c>
      <c r="E20" s="7" t="s">
        <v>80</v>
      </c>
      <c r="F20" s="8" t="s">
        <v>48</v>
      </c>
      <c r="G20" s="10" t="s">
        <v>16</v>
      </c>
      <c r="H20" s="9" t="s">
        <v>17</v>
      </c>
      <c r="I20" s="9" t="s">
        <v>18</v>
      </c>
      <c r="J20" s="9">
        <v>1600</v>
      </c>
      <c r="K20" s="10" t="s">
        <v>19</v>
      </c>
      <c r="L20" s="10" t="s">
        <v>20</v>
      </c>
      <c r="M20" s="10" t="s">
        <v>23</v>
      </c>
      <c r="N20" s="9" t="s">
        <v>25</v>
      </c>
      <c r="O20" s="10" t="s">
        <v>22</v>
      </c>
      <c r="P20" s="10">
        <v>245</v>
      </c>
      <c r="Q20" s="9">
        <v>645</v>
      </c>
      <c r="R20" s="9">
        <f t="shared" si="0"/>
        <v>400</v>
      </c>
      <c r="S20" s="9"/>
      <c r="T20" s="11">
        <v>1</v>
      </c>
      <c r="U20" s="17" t="s">
        <v>26</v>
      </c>
      <c r="V20" s="19"/>
    </row>
    <row r="21" spans="3:23" s="5" customFormat="1" ht="20.25" customHeight="1">
      <c r="C21" s="109"/>
      <c r="D21" s="7">
        <v>55</v>
      </c>
      <c r="E21" s="7" t="s">
        <v>80</v>
      </c>
      <c r="F21" s="8" t="s">
        <v>48</v>
      </c>
      <c r="G21" s="10" t="s">
        <v>16</v>
      </c>
      <c r="H21" s="9" t="s">
        <v>17</v>
      </c>
      <c r="I21" s="9" t="s">
        <v>18</v>
      </c>
      <c r="J21" s="9">
        <v>1600</v>
      </c>
      <c r="K21" s="10" t="s">
        <v>19</v>
      </c>
      <c r="L21" s="10" t="s">
        <v>20</v>
      </c>
      <c r="M21" s="10" t="s">
        <v>23</v>
      </c>
      <c r="N21" s="9" t="s">
        <v>25</v>
      </c>
      <c r="O21" s="10" t="s">
        <v>22</v>
      </c>
      <c r="P21" s="10">
        <v>245</v>
      </c>
      <c r="Q21" s="9">
        <v>645</v>
      </c>
      <c r="R21" s="9">
        <f t="shared" si="0"/>
        <v>400</v>
      </c>
      <c r="S21" s="9"/>
      <c r="T21" s="11">
        <v>1</v>
      </c>
      <c r="U21" s="17" t="s">
        <v>26</v>
      </c>
      <c r="V21" s="19"/>
    </row>
    <row r="22" spans="3:23" s="5" customFormat="1" ht="20.25" customHeight="1">
      <c r="C22" s="109"/>
      <c r="D22" s="7">
        <v>56</v>
      </c>
      <c r="E22" s="7" t="s">
        <v>80</v>
      </c>
      <c r="F22" s="8" t="s">
        <v>48</v>
      </c>
      <c r="G22" s="10" t="s">
        <v>16</v>
      </c>
      <c r="H22" s="9" t="s">
        <v>17</v>
      </c>
      <c r="I22" s="9" t="s">
        <v>18</v>
      </c>
      <c r="J22" s="9">
        <v>1600</v>
      </c>
      <c r="K22" s="10" t="s">
        <v>19</v>
      </c>
      <c r="L22" s="10" t="s">
        <v>20</v>
      </c>
      <c r="M22" s="10" t="s">
        <v>23</v>
      </c>
      <c r="N22" s="9" t="s">
        <v>25</v>
      </c>
      <c r="O22" s="10" t="s">
        <v>22</v>
      </c>
      <c r="P22" s="10">
        <v>245</v>
      </c>
      <c r="Q22" s="9">
        <v>645</v>
      </c>
      <c r="R22" s="9">
        <f t="shared" si="0"/>
        <v>400</v>
      </c>
      <c r="S22" s="9"/>
      <c r="T22" s="11">
        <v>1</v>
      </c>
      <c r="U22" s="17" t="s">
        <v>26</v>
      </c>
      <c r="V22" s="19"/>
    </row>
    <row r="23" spans="3:23" s="5" customFormat="1" ht="20.25" customHeight="1">
      <c r="C23" s="109"/>
      <c r="D23" s="7">
        <v>57</v>
      </c>
      <c r="E23" s="7" t="s">
        <v>80</v>
      </c>
      <c r="F23" s="8" t="s">
        <v>48</v>
      </c>
      <c r="G23" s="10" t="s">
        <v>16</v>
      </c>
      <c r="H23" s="9" t="s">
        <v>17</v>
      </c>
      <c r="I23" s="9" t="s">
        <v>18</v>
      </c>
      <c r="J23" s="9">
        <v>1600</v>
      </c>
      <c r="K23" s="10" t="s">
        <v>19</v>
      </c>
      <c r="L23" s="10" t="s">
        <v>20</v>
      </c>
      <c r="M23" s="10" t="s">
        <v>23</v>
      </c>
      <c r="N23" s="9" t="s">
        <v>25</v>
      </c>
      <c r="O23" s="10" t="s">
        <v>22</v>
      </c>
      <c r="P23" s="10">
        <v>245</v>
      </c>
      <c r="Q23" s="9">
        <v>645</v>
      </c>
      <c r="R23" s="9">
        <f t="shared" si="0"/>
        <v>400</v>
      </c>
      <c r="S23" s="9"/>
      <c r="T23" s="11">
        <v>1</v>
      </c>
      <c r="U23" s="17" t="s">
        <v>26</v>
      </c>
      <c r="V23" s="19"/>
    </row>
    <row r="24" spans="3:23" s="5" customFormat="1" ht="20.25" customHeight="1">
      <c r="C24" s="109"/>
      <c r="D24" s="7">
        <v>58</v>
      </c>
      <c r="E24" s="7" t="s">
        <v>81</v>
      </c>
      <c r="F24" s="8" t="s">
        <v>48</v>
      </c>
      <c r="G24" s="10" t="s">
        <v>16</v>
      </c>
      <c r="H24" s="9" t="s">
        <v>17</v>
      </c>
      <c r="I24" s="9" t="s">
        <v>18</v>
      </c>
      <c r="J24" s="9">
        <v>1600</v>
      </c>
      <c r="K24" s="10" t="s">
        <v>19</v>
      </c>
      <c r="L24" s="10" t="s">
        <v>20</v>
      </c>
      <c r="M24" s="10"/>
      <c r="N24" s="10" t="s">
        <v>21</v>
      </c>
      <c r="O24" s="10" t="s">
        <v>22</v>
      </c>
      <c r="P24" s="10">
        <v>245</v>
      </c>
      <c r="Q24" s="9">
        <v>645</v>
      </c>
      <c r="R24" s="9">
        <f t="shared" si="0"/>
        <v>400</v>
      </c>
      <c r="S24" s="9"/>
      <c r="T24" s="20">
        <v>1</v>
      </c>
      <c r="U24" s="21" t="s">
        <v>26</v>
      </c>
      <c r="V24" s="13"/>
    </row>
    <row r="25" spans="3:23" s="5" customFormat="1" ht="20.25" customHeight="1">
      <c r="C25" s="109"/>
      <c r="D25" s="7">
        <v>59</v>
      </c>
      <c r="E25" s="7" t="s">
        <v>81</v>
      </c>
      <c r="F25" s="8" t="s">
        <v>48</v>
      </c>
      <c r="G25" s="10" t="s">
        <v>16</v>
      </c>
      <c r="H25" s="9" t="s">
        <v>17</v>
      </c>
      <c r="I25" s="9" t="s">
        <v>18</v>
      </c>
      <c r="J25" s="9">
        <v>1600</v>
      </c>
      <c r="K25" s="10" t="s">
        <v>19</v>
      </c>
      <c r="L25" s="10" t="s">
        <v>20</v>
      </c>
      <c r="M25" s="10"/>
      <c r="N25" s="10" t="s">
        <v>21</v>
      </c>
      <c r="O25" s="10" t="s">
        <v>22</v>
      </c>
      <c r="P25" s="10">
        <v>245</v>
      </c>
      <c r="Q25" s="9">
        <v>645</v>
      </c>
      <c r="R25" s="9">
        <f t="shared" si="0"/>
        <v>400</v>
      </c>
      <c r="S25" s="9"/>
      <c r="T25" s="20">
        <v>1</v>
      </c>
      <c r="U25" s="21" t="s">
        <v>26</v>
      </c>
      <c r="V25" s="13"/>
    </row>
    <row r="26" spans="3:23" s="5" customFormat="1" ht="20.25" customHeight="1">
      <c r="C26" s="109"/>
      <c r="D26" s="7">
        <v>60</v>
      </c>
      <c r="E26" s="7" t="s">
        <v>81</v>
      </c>
      <c r="F26" s="8" t="s">
        <v>48</v>
      </c>
      <c r="G26" s="10" t="s">
        <v>16</v>
      </c>
      <c r="H26" s="9" t="s">
        <v>17</v>
      </c>
      <c r="I26" s="9" t="s">
        <v>18</v>
      </c>
      <c r="J26" s="9">
        <v>1600</v>
      </c>
      <c r="K26" s="10" t="s">
        <v>19</v>
      </c>
      <c r="L26" s="10" t="s">
        <v>20</v>
      </c>
      <c r="M26" s="10"/>
      <c r="N26" s="10" t="s">
        <v>21</v>
      </c>
      <c r="O26" s="10" t="s">
        <v>22</v>
      </c>
      <c r="P26" s="10">
        <v>245</v>
      </c>
      <c r="Q26" s="9">
        <v>645</v>
      </c>
      <c r="R26" s="9">
        <f t="shared" si="0"/>
        <v>400</v>
      </c>
      <c r="S26" s="9"/>
      <c r="T26" s="20">
        <v>1</v>
      </c>
      <c r="U26" s="21" t="s">
        <v>26</v>
      </c>
      <c r="V26" s="13"/>
    </row>
    <row r="27" spans="3:23" s="5" customFormat="1" ht="20.25" customHeight="1">
      <c r="C27" s="109"/>
      <c r="D27" s="7">
        <v>61</v>
      </c>
      <c r="E27" s="7" t="s">
        <v>81</v>
      </c>
      <c r="F27" s="8" t="s">
        <v>48</v>
      </c>
      <c r="G27" s="10" t="s">
        <v>16</v>
      </c>
      <c r="H27" s="9" t="s">
        <v>17</v>
      </c>
      <c r="I27" s="9" t="s">
        <v>18</v>
      </c>
      <c r="J27" s="9">
        <v>1600</v>
      </c>
      <c r="K27" s="10" t="s">
        <v>19</v>
      </c>
      <c r="L27" s="10" t="s">
        <v>20</v>
      </c>
      <c r="M27" s="10"/>
      <c r="N27" s="10" t="s">
        <v>21</v>
      </c>
      <c r="O27" s="10" t="s">
        <v>22</v>
      </c>
      <c r="P27" s="10">
        <v>245</v>
      </c>
      <c r="Q27" s="9">
        <v>645</v>
      </c>
      <c r="R27" s="9">
        <f t="shared" si="0"/>
        <v>400</v>
      </c>
      <c r="S27" s="9"/>
      <c r="T27" s="20">
        <v>1</v>
      </c>
      <c r="U27" s="22" t="s">
        <v>26</v>
      </c>
      <c r="V27" s="24"/>
    </row>
    <row r="28" spans="3:23" s="5" customFormat="1" ht="20.25" customHeight="1">
      <c r="C28" s="109"/>
      <c r="D28" s="71">
        <v>63</v>
      </c>
      <c r="E28" s="7" t="s">
        <v>81</v>
      </c>
      <c r="F28" s="8" t="s">
        <v>48</v>
      </c>
      <c r="G28" s="10" t="s">
        <v>16</v>
      </c>
      <c r="H28" s="9" t="s">
        <v>17</v>
      </c>
      <c r="I28" s="16" t="s">
        <v>18</v>
      </c>
      <c r="J28" s="16">
        <v>1600</v>
      </c>
      <c r="K28" s="14" t="s">
        <v>19</v>
      </c>
      <c r="L28" s="14" t="s">
        <v>20</v>
      </c>
      <c r="M28" s="10"/>
      <c r="N28" s="10" t="s">
        <v>21</v>
      </c>
      <c r="O28" s="10" t="s">
        <v>22</v>
      </c>
      <c r="P28" s="10">
        <v>245</v>
      </c>
      <c r="Q28" s="9">
        <v>645</v>
      </c>
      <c r="R28" s="9">
        <f t="shared" si="0"/>
        <v>400</v>
      </c>
      <c r="S28" s="9"/>
      <c r="T28" s="20">
        <v>1</v>
      </c>
      <c r="U28" s="22" t="s">
        <v>26</v>
      </c>
      <c r="V28" s="23"/>
    </row>
    <row r="29" spans="3:23" s="5" customFormat="1" ht="20.25" customHeight="1">
      <c r="C29" s="109"/>
      <c r="D29" s="66">
        <v>69</v>
      </c>
      <c r="E29" s="7" t="s">
        <v>74</v>
      </c>
      <c r="F29" s="67" t="s">
        <v>48</v>
      </c>
      <c r="G29" s="68" t="s">
        <v>16</v>
      </c>
      <c r="H29" s="68" t="s">
        <v>17</v>
      </c>
      <c r="I29" s="68" t="s">
        <v>27</v>
      </c>
      <c r="J29" s="68">
        <v>2000</v>
      </c>
      <c r="K29" s="112" t="s">
        <v>24</v>
      </c>
      <c r="L29" s="68" t="s">
        <v>28</v>
      </c>
      <c r="M29" s="68" t="s">
        <v>23</v>
      </c>
      <c r="N29" s="68" t="s">
        <v>25</v>
      </c>
      <c r="O29" s="68" t="s">
        <v>22</v>
      </c>
      <c r="P29" s="10">
        <v>370</v>
      </c>
      <c r="Q29" s="14">
        <v>890</v>
      </c>
      <c r="R29" s="10">
        <f t="shared" ref="R29" si="1">Q29-P29</f>
        <v>520</v>
      </c>
      <c r="S29" s="68"/>
      <c r="T29" s="69">
        <v>1</v>
      </c>
      <c r="U29" s="70" t="s">
        <v>26</v>
      </c>
      <c r="V29" s="24"/>
      <c r="W29" s="26"/>
    </row>
    <row r="30" spans="3:23" s="5" customFormat="1" ht="20.25" customHeight="1">
      <c r="C30" s="109"/>
      <c r="D30" s="27">
        <v>73</v>
      </c>
      <c r="E30" s="7" t="s">
        <v>74</v>
      </c>
      <c r="F30" s="8" t="s">
        <v>48</v>
      </c>
      <c r="G30" s="10" t="s">
        <v>16</v>
      </c>
      <c r="H30" s="10" t="s">
        <v>17</v>
      </c>
      <c r="I30" s="10" t="s">
        <v>27</v>
      </c>
      <c r="J30" s="10">
        <v>1600</v>
      </c>
      <c r="K30" s="111" t="s">
        <v>24</v>
      </c>
      <c r="L30" s="10" t="s">
        <v>28</v>
      </c>
      <c r="M30" s="10" t="s">
        <v>23</v>
      </c>
      <c r="N30" s="9" t="s">
        <v>25</v>
      </c>
      <c r="O30" s="10" t="s">
        <v>22</v>
      </c>
      <c r="P30" s="10">
        <v>315</v>
      </c>
      <c r="Q30" s="14">
        <v>810</v>
      </c>
      <c r="R30" s="10">
        <f t="shared" ref="R30:R53" si="2">Q30-P30</f>
        <v>495</v>
      </c>
      <c r="S30" s="9"/>
      <c r="T30" s="11">
        <v>1</v>
      </c>
      <c r="U30" s="25" t="s">
        <v>26</v>
      </c>
      <c r="V30" s="23"/>
    </row>
    <row r="31" spans="3:23" s="5" customFormat="1" ht="20.25" customHeight="1">
      <c r="C31" s="109"/>
      <c r="D31" s="27">
        <v>74</v>
      </c>
      <c r="E31" s="7" t="s">
        <v>74</v>
      </c>
      <c r="F31" s="8" t="s">
        <v>48</v>
      </c>
      <c r="G31" s="10" t="s">
        <v>16</v>
      </c>
      <c r="H31" s="10" t="s">
        <v>17</v>
      </c>
      <c r="I31" s="10" t="s">
        <v>27</v>
      </c>
      <c r="J31" s="10">
        <v>1600</v>
      </c>
      <c r="K31" s="111" t="s">
        <v>24</v>
      </c>
      <c r="L31" s="10" t="s">
        <v>28</v>
      </c>
      <c r="M31" s="10" t="s">
        <v>23</v>
      </c>
      <c r="N31" s="9" t="s">
        <v>25</v>
      </c>
      <c r="O31" s="10" t="s">
        <v>22</v>
      </c>
      <c r="P31" s="10">
        <v>315</v>
      </c>
      <c r="Q31" s="14">
        <v>810</v>
      </c>
      <c r="R31" s="10">
        <f t="shared" si="2"/>
        <v>495</v>
      </c>
      <c r="S31" s="9"/>
      <c r="T31" s="11">
        <v>1</v>
      </c>
      <c r="U31" s="25" t="s">
        <v>26</v>
      </c>
      <c r="V31" s="23"/>
    </row>
    <row r="32" spans="3:23" s="5" customFormat="1" ht="20.25" customHeight="1">
      <c r="C32" s="109"/>
      <c r="D32" s="27">
        <v>75</v>
      </c>
      <c r="E32" s="7" t="s">
        <v>83</v>
      </c>
      <c r="F32" s="8" t="s">
        <v>48</v>
      </c>
      <c r="G32" s="10" t="s">
        <v>16</v>
      </c>
      <c r="H32" s="10" t="s">
        <v>17</v>
      </c>
      <c r="I32" s="10" t="s">
        <v>27</v>
      </c>
      <c r="J32" s="10">
        <v>1600</v>
      </c>
      <c r="K32" s="111" t="s">
        <v>24</v>
      </c>
      <c r="L32" s="10" t="s">
        <v>28</v>
      </c>
      <c r="M32" s="10" t="s">
        <v>23</v>
      </c>
      <c r="N32" s="9" t="s">
        <v>25</v>
      </c>
      <c r="O32" s="10" t="s">
        <v>22</v>
      </c>
      <c r="P32" s="10">
        <v>315</v>
      </c>
      <c r="Q32" s="10">
        <v>750</v>
      </c>
      <c r="R32" s="10">
        <f t="shared" si="2"/>
        <v>435</v>
      </c>
      <c r="S32" s="9"/>
      <c r="T32" s="11">
        <v>1</v>
      </c>
      <c r="U32" s="25" t="s">
        <v>26</v>
      </c>
      <c r="V32" s="23" t="s">
        <v>50</v>
      </c>
    </row>
    <row r="33" spans="3:22" s="5" customFormat="1" ht="20.25" customHeight="1">
      <c r="C33" s="109"/>
      <c r="D33" s="27">
        <v>76</v>
      </c>
      <c r="E33" s="7" t="s">
        <v>83</v>
      </c>
      <c r="F33" s="8" t="s">
        <v>48</v>
      </c>
      <c r="G33" s="10" t="s">
        <v>16</v>
      </c>
      <c r="H33" s="10" t="s">
        <v>17</v>
      </c>
      <c r="I33" s="10" t="s">
        <v>27</v>
      </c>
      <c r="J33" s="10">
        <v>1600</v>
      </c>
      <c r="K33" s="111" t="s">
        <v>24</v>
      </c>
      <c r="L33" s="10" t="s">
        <v>28</v>
      </c>
      <c r="M33" s="10" t="s">
        <v>23</v>
      </c>
      <c r="N33" s="9" t="s">
        <v>25</v>
      </c>
      <c r="O33" s="10" t="s">
        <v>22</v>
      </c>
      <c r="P33" s="10">
        <v>315</v>
      </c>
      <c r="Q33" s="10">
        <v>750</v>
      </c>
      <c r="R33" s="10">
        <f t="shared" si="2"/>
        <v>435</v>
      </c>
      <c r="S33" s="9"/>
      <c r="T33" s="11">
        <v>1</v>
      </c>
      <c r="U33" s="25" t="s">
        <v>26</v>
      </c>
      <c r="V33" s="23" t="s">
        <v>50</v>
      </c>
    </row>
    <row r="34" spans="3:22" s="5" customFormat="1" ht="20.25" customHeight="1">
      <c r="C34" s="109"/>
      <c r="D34" s="7">
        <v>77</v>
      </c>
      <c r="E34" s="7" t="s">
        <v>83</v>
      </c>
      <c r="F34" s="8" t="s">
        <v>48</v>
      </c>
      <c r="G34" s="9" t="s">
        <v>16</v>
      </c>
      <c r="H34" s="9" t="s">
        <v>17</v>
      </c>
      <c r="I34" s="10" t="s">
        <v>27</v>
      </c>
      <c r="J34" s="9">
        <v>1600</v>
      </c>
      <c r="K34" s="113" t="s">
        <v>24</v>
      </c>
      <c r="L34" s="10" t="s">
        <v>28</v>
      </c>
      <c r="M34" s="10" t="s">
        <v>23</v>
      </c>
      <c r="N34" s="9" t="s">
        <v>25</v>
      </c>
      <c r="O34" s="10" t="s">
        <v>22</v>
      </c>
      <c r="P34" s="10">
        <v>315</v>
      </c>
      <c r="Q34" s="10">
        <v>690</v>
      </c>
      <c r="R34" s="9">
        <f t="shared" si="2"/>
        <v>375</v>
      </c>
      <c r="S34" s="9"/>
      <c r="T34" s="11">
        <v>1</v>
      </c>
      <c r="U34" s="25" t="s">
        <v>26</v>
      </c>
      <c r="V34" s="23" t="s">
        <v>51</v>
      </c>
    </row>
    <row r="35" spans="3:22" s="5" customFormat="1" ht="20.25" customHeight="1">
      <c r="C35" s="109"/>
      <c r="D35" s="7">
        <v>78</v>
      </c>
      <c r="E35" s="7" t="s">
        <v>74</v>
      </c>
      <c r="F35" s="8" t="s">
        <v>48</v>
      </c>
      <c r="G35" s="9" t="s">
        <v>16</v>
      </c>
      <c r="H35" s="9" t="s">
        <v>17</v>
      </c>
      <c r="I35" s="10" t="s">
        <v>27</v>
      </c>
      <c r="J35" s="9">
        <v>1600</v>
      </c>
      <c r="K35" s="113" t="s">
        <v>24</v>
      </c>
      <c r="L35" s="10" t="s">
        <v>28</v>
      </c>
      <c r="M35" s="10" t="s">
        <v>23</v>
      </c>
      <c r="N35" s="9" t="s">
        <v>25</v>
      </c>
      <c r="O35" s="10" t="s">
        <v>22</v>
      </c>
      <c r="P35" s="10">
        <v>315</v>
      </c>
      <c r="Q35" s="10">
        <v>890</v>
      </c>
      <c r="R35" s="9">
        <f t="shared" si="2"/>
        <v>575</v>
      </c>
      <c r="S35" s="9"/>
      <c r="T35" s="11">
        <v>1</v>
      </c>
      <c r="U35" s="25" t="s">
        <v>26</v>
      </c>
      <c r="V35" s="23"/>
    </row>
    <row r="36" spans="3:22" s="5" customFormat="1" ht="20.25" customHeight="1">
      <c r="C36" s="109"/>
      <c r="D36" s="86">
        <v>79</v>
      </c>
      <c r="E36" s="7" t="s">
        <v>74</v>
      </c>
      <c r="F36" s="15" t="s">
        <v>48</v>
      </c>
      <c r="G36" s="14" t="s">
        <v>16</v>
      </c>
      <c r="H36" s="14" t="s">
        <v>17</v>
      </c>
      <c r="I36" s="14" t="s">
        <v>27</v>
      </c>
      <c r="J36" s="14">
        <v>1600</v>
      </c>
      <c r="K36" s="111" t="s">
        <v>24</v>
      </c>
      <c r="L36" s="14" t="s">
        <v>28</v>
      </c>
      <c r="M36" s="14" t="s">
        <v>23</v>
      </c>
      <c r="N36" s="14" t="s">
        <v>25</v>
      </c>
      <c r="O36" s="14" t="s">
        <v>22</v>
      </c>
      <c r="P36" s="14">
        <v>315</v>
      </c>
      <c r="Q36" s="14">
        <v>890</v>
      </c>
      <c r="R36" s="14">
        <f t="shared" si="2"/>
        <v>575</v>
      </c>
      <c r="S36" s="14"/>
      <c r="T36" s="87">
        <v>1</v>
      </c>
      <c r="U36" s="88" t="s">
        <v>26</v>
      </c>
      <c r="V36" s="18"/>
    </row>
    <row r="37" spans="3:22" s="5" customFormat="1" ht="20.25" customHeight="1">
      <c r="C37" s="109"/>
      <c r="D37" s="7">
        <v>80</v>
      </c>
      <c r="E37" s="7" t="s">
        <v>83</v>
      </c>
      <c r="F37" s="8" t="s">
        <v>48</v>
      </c>
      <c r="G37" s="9" t="s">
        <v>16</v>
      </c>
      <c r="H37" s="9" t="s">
        <v>17</v>
      </c>
      <c r="I37" s="10" t="s">
        <v>27</v>
      </c>
      <c r="J37" s="9">
        <v>1600</v>
      </c>
      <c r="K37" s="113" t="s">
        <v>24</v>
      </c>
      <c r="L37" s="10" t="s">
        <v>28</v>
      </c>
      <c r="M37" s="10" t="s">
        <v>23</v>
      </c>
      <c r="N37" s="9" t="s">
        <v>25</v>
      </c>
      <c r="O37" s="10" t="s">
        <v>22</v>
      </c>
      <c r="P37" s="10">
        <v>315</v>
      </c>
      <c r="Q37" s="10">
        <v>750</v>
      </c>
      <c r="R37" s="9">
        <f t="shared" si="2"/>
        <v>435</v>
      </c>
      <c r="S37" s="9"/>
      <c r="T37" s="11">
        <v>1</v>
      </c>
      <c r="U37" s="17" t="s">
        <v>26</v>
      </c>
      <c r="V37" s="13" t="s">
        <v>50</v>
      </c>
    </row>
    <row r="38" spans="3:22" s="5" customFormat="1" ht="20.25" customHeight="1">
      <c r="C38" s="109"/>
      <c r="D38" s="7">
        <v>81</v>
      </c>
      <c r="E38" s="7" t="s">
        <v>83</v>
      </c>
      <c r="F38" s="8" t="s">
        <v>48</v>
      </c>
      <c r="G38" s="9" t="s">
        <v>16</v>
      </c>
      <c r="H38" s="9" t="s">
        <v>17</v>
      </c>
      <c r="I38" s="10" t="s">
        <v>27</v>
      </c>
      <c r="J38" s="9">
        <v>1600</v>
      </c>
      <c r="K38" s="113" t="s">
        <v>24</v>
      </c>
      <c r="L38" s="10" t="s">
        <v>28</v>
      </c>
      <c r="M38" s="10" t="s">
        <v>23</v>
      </c>
      <c r="N38" s="9" t="s">
        <v>25</v>
      </c>
      <c r="O38" s="10" t="s">
        <v>22</v>
      </c>
      <c r="P38" s="10">
        <v>315</v>
      </c>
      <c r="Q38" s="10">
        <v>690</v>
      </c>
      <c r="R38" s="9">
        <f t="shared" si="2"/>
        <v>375</v>
      </c>
      <c r="S38" s="9"/>
      <c r="T38" s="11">
        <v>1</v>
      </c>
      <c r="U38" s="17" t="s">
        <v>26</v>
      </c>
      <c r="V38" s="13" t="s">
        <v>50</v>
      </c>
    </row>
    <row r="39" spans="3:22" s="5" customFormat="1" ht="20.25" customHeight="1">
      <c r="C39" s="109"/>
      <c r="D39" s="27">
        <v>82</v>
      </c>
      <c r="E39" s="7" t="s">
        <v>83</v>
      </c>
      <c r="F39" s="8" t="s">
        <v>48</v>
      </c>
      <c r="G39" s="9" t="s">
        <v>16</v>
      </c>
      <c r="H39" s="9" t="s">
        <v>17</v>
      </c>
      <c r="I39" s="10" t="s">
        <v>27</v>
      </c>
      <c r="J39" s="9">
        <v>1600</v>
      </c>
      <c r="K39" s="113" t="s">
        <v>24</v>
      </c>
      <c r="L39" s="10" t="s">
        <v>28</v>
      </c>
      <c r="M39" s="10" t="s">
        <v>23</v>
      </c>
      <c r="N39" s="9" t="s">
        <v>25</v>
      </c>
      <c r="O39" s="10" t="s">
        <v>22</v>
      </c>
      <c r="P39" s="10">
        <v>315</v>
      </c>
      <c r="Q39" s="10">
        <v>690</v>
      </c>
      <c r="R39" s="9">
        <f t="shared" si="2"/>
        <v>375</v>
      </c>
      <c r="S39" s="9"/>
      <c r="T39" s="11">
        <v>1</v>
      </c>
      <c r="U39" s="17" t="s">
        <v>26</v>
      </c>
      <c r="V39" s="13" t="s">
        <v>50</v>
      </c>
    </row>
    <row r="40" spans="3:22" s="5" customFormat="1" ht="20.25" customHeight="1">
      <c r="C40" s="109"/>
      <c r="D40" s="27">
        <v>83</v>
      </c>
      <c r="E40" s="7" t="s">
        <v>83</v>
      </c>
      <c r="F40" s="8" t="s">
        <v>48</v>
      </c>
      <c r="G40" s="9" t="s">
        <v>16</v>
      </c>
      <c r="H40" s="9" t="s">
        <v>17</v>
      </c>
      <c r="I40" s="10" t="s">
        <v>27</v>
      </c>
      <c r="J40" s="9">
        <v>1600</v>
      </c>
      <c r="K40" s="113" t="s">
        <v>24</v>
      </c>
      <c r="L40" s="10" t="s">
        <v>28</v>
      </c>
      <c r="M40" s="10" t="s">
        <v>23</v>
      </c>
      <c r="N40" s="9" t="s">
        <v>25</v>
      </c>
      <c r="O40" s="10" t="s">
        <v>22</v>
      </c>
      <c r="P40" s="10">
        <v>315</v>
      </c>
      <c r="Q40" s="10">
        <v>690</v>
      </c>
      <c r="R40" s="9">
        <f t="shared" si="2"/>
        <v>375</v>
      </c>
      <c r="S40" s="9"/>
      <c r="T40" s="11">
        <v>1</v>
      </c>
      <c r="U40" s="17" t="s">
        <v>26</v>
      </c>
      <c r="V40" s="13" t="s">
        <v>51</v>
      </c>
    </row>
    <row r="41" spans="3:22" s="5" customFormat="1" ht="20.25" customHeight="1">
      <c r="C41" s="109"/>
      <c r="D41" s="27">
        <v>84</v>
      </c>
      <c r="E41" s="7" t="s">
        <v>83</v>
      </c>
      <c r="F41" s="8" t="s">
        <v>48</v>
      </c>
      <c r="G41" s="9" t="s">
        <v>16</v>
      </c>
      <c r="H41" s="9" t="s">
        <v>17</v>
      </c>
      <c r="I41" s="10" t="s">
        <v>27</v>
      </c>
      <c r="J41" s="9">
        <v>1600</v>
      </c>
      <c r="K41" s="113" t="s">
        <v>24</v>
      </c>
      <c r="L41" s="10" t="s">
        <v>28</v>
      </c>
      <c r="M41" s="10" t="s">
        <v>23</v>
      </c>
      <c r="N41" s="9" t="s">
        <v>25</v>
      </c>
      <c r="O41" s="10" t="s">
        <v>22</v>
      </c>
      <c r="P41" s="10">
        <v>315</v>
      </c>
      <c r="Q41" s="10">
        <v>690</v>
      </c>
      <c r="R41" s="9">
        <f t="shared" si="2"/>
        <v>375</v>
      </c>
      <c r="S41" s="9"/>
      <c r="T41" s="11">
        <v>1</v>
      </c>
      <c r="U41" s="17" t="s">
        <v>26</v>
      </c>
      <c r="V41" s="13" t="s">
        <v>51</v>
      </c>
    </row>
    <row r="42" spans="3:22" s="5" customFormat="1" ht="20.25" customHeight="1">
      <c r="C42" s="109"/>
      <c r="D42" s="27">
        <v>85</v>
      </c>
      <c r="E42" s="7" t="s">
        <v>83</v>
      </c>
      <c r="F42" s="8" t="s">
        <v>48</v>
      </c>
      <c r="G42" s="9" t="s">
        <v>16</v>
      </c>
      <c r="H42" s="9" t="s">
        <v>17</v>
      </c>
      <c r="I42" s="10" t="s">
        <v>27</v>
      </c>
      <c r="J42" s="9">
        <v>1600</v>
      </c>
      <c r="K42" s="113" t="s">
        <v>24</v>
      </c>
      <c r="L42" s="10" t="s">
        <v>28</v>
      </c>
      <c r="M42" s="10" t="s">
        <v>23</v>
      </c>
      <c r="N42" s="9" t="s">
        <v>25</v>
      </c>
      <c r="O42" s="10" t="s">
        <v>22</v>
      </c>
      <c r="P42" s="10">
        <v>315</v>
      </c>
      <c r="Q42" s="14">
        <v>750</v>
      </c>
      <c r="R42" s="9">
        <f t="shared" si="2"/>
        <v>435</v>
      </c>
      <c r="S42" s="9"/>
      <c r="T42" s="11">
        <v>1</v>
      </c>
      <c r="U42" s="17" t="s">
        <v>26</v>
      </c>
      <c r="V42" s="13" t="s">
        <v>50</v>
      </c>
    </row>
    <row r="43" spans="3:22" s="28" customFormat="1" ht="20.25" customHeight="1">
      <c r="C43" s="109"/>
      <c r="D43" s="27">
        <v>86</v>
      </c>
      <c r="E43" s="7" t="s">
        <v>83</v>
      </c>
      <c r="F43" s="8" t="s">
        <v>48</v>
      </c>
      <c r="G43" s="10" t="s">
        <v>16</v>
      </c>
      <c r="H43" s="10" t="s">
        <v>17</v>
      </c>
      <c r="I43" s="10" t="s">
        <v>27</v>
      </c>
      <c r="J43" s="10">
        <v>1600</v>
      </c>
      <c r="K43" s="111" t="s">
        <v>24</v>
      </c>
      <c r="L43" s="10" t="s">
        <v>28</v>
      </c>
      <c r="M43" s="10" t="s">
        <v>23</v>
      </c>
      <c r="N43" s="9" t="s">
        <v>25</v>
      </c>
      <c r="O43" s="10" t="s">
        <v>22</v>
      </c>
      <c r="P43" s="10">
        <v>315</v>
      </c>
      <c r="Q43" s="10">
        <v>690</v>
      </c>
      <c r="R43" s="10">
        <f t="shared" si="2"/>
        <v>375</v>
      </c>
      <c r="S43" s="10"/>
      <c r="T43" s="11">
        <v>1</v>
      </c>
      <c r="U43" s="17" t="s">
        <v>26</v>
      </c>
      <c r="V43" s="19"/>
    </row>
    <row r="44" spans="3:22" s="5" customFormat="1" ht="20.25" customHeight="1">
      <c r="C44" s="109"/>
      <c r="D44" s="27">
        <v>88</v>
      </c>
      <c r="E44" s="7" t="s">
        <v>74</v>
      </c>
      <c r="F44" s="8" t="s">
        <v>48</v>
      </c>
      <c r="G44" s="9" t="s">
        <v>16</v>
      </c>
      <c r="H44" s="9" t="s">
        <v>17</v>
      </c>
      <c r="I44" s="10" t="s">
        <v>27</v>
      </c>
      <c r="J44" s="9">
        <v>1600</v>
      </c>
      <c r="K44" s="113" t="s">
        <v>24</v>
      </c>
      <c r="L44" s="10" t="s">
        <v>28</v>
      </c>
      <c r="M44" s="10" t="s">
        <v>23</v>
      </c>
      <c r="N44" s="9" t="s">
        <v>25</v>
      </c>
      <c r="O44" s="10" t="s">
        <v>22</v>
      </c>
      <c r="P44" s="10">
        <v>315</v>
      </c>
      <c r="Q44" s="14">
        <v>810</v>
      </c>
      <c r="R44" s="9">
        <f t="shared" si="2"/>
        <v>495</v>
      </c>
      <c r="S44" s="9"/>
      <c r="T44" s="11">
        <v>1</v>
      </c>
      <c r="U44" s="17" t="s">
        <v>26</v>
      </c>
      <c r="V44" s="13"/>
    </row>
    <row r="45" spans="3:22" s="5" customFormat="1" ht="20.25" customHeight="1">
      <c r="C45" s="109"/>
      <c r="D45" s="27">
        <v>89</v>
      </c>
      <c r="E45" s="7" t="s">
        <v>74</v>
      </c>
      <c r="F45" s="8" t="s">
        <v>48</v>
      </c>
      <c r="G45" s="9" t="s">
        <v>16</v>
      </c>
      <c r="H45" s="9" t="s">
        <v>17</v>
      </c>
      <c r="I45" s="9" t="s">
        <v>27</v>
      </c>
      <c r="J45" s="9">
        <v>1600</v>
      </c>
      <c r="K45" s="113" t="s">
        <v>24</v>
      </c>
      <c r="L45" s="9" t="s">
        <v>28</v>
      </c>
      <c r="M45" s="10" t="s">
        <v>23</v>
      </c>
      <c r="N45" s="9" t="s">
        <v>25</v>
      </c>
      <c r="O45" s="9" t="s">
        <v>22</v>
      </c>
      <c r="P45" s="9">
        <v>315</v>
      </c>
      <c r="Q45" s="16">
        <v>890</v>
      </c>
      <c r="R45" s="9">
        <f t="shared" si="2"/>
        <v>575</v>
      </c>
      <c r="S45" s="9"/>
      <c r="T45" s="11">
        <v>1</v>
      </c>
      <c r="U45" s="17" t="s">
        <v>26</v>
      </c>
      <c r="V45" s="18"/>
    </row>
    <row r="46" spans="3:22" s="5" customFormat="1" ht="20.25" customHeight="1">
      <c r="C46" s="109"/>
      <c r="D46" s="27">
        <v>90</v>
      </c>
      <c r="E46" s="7" t="s">
        <v>84</v>
      </c>
      <c r="F46" s="8" t="s">
        <v>48</v>
      </c>
      <c r="G46" s="9" t="s">
        <v>16</v>
      </c>
      <c r="H46" s="9" t="s">
        <v>17</v>
      </c>
      <c r="I46" s="9" t="s">
        <v>49</v>
      </c>
      <c r="J46" s="9">
        <v>2500</v>
      </c>
      <c r="K46" s="9" t="s">
        <v>52</v>
      </c>
      <c r="L46" s="9" t="s">
        <v>32</v>
      </c>
      <c r="M46" s="10" t="s">
        <v>23</v>
      </c>
      <c r="N46" s="9" t="s">
        <v>25</v>
      </c>
      <c r="O46" s="9"/>
      <c r="P46" s="9">
        <v>370</v>
      </c>
      <c r="Q46" s="16">
        <v>890</v>
      </c>
      <c r="R46" s="9">
        <f t="shared" si="2"/>
        <v>520</v>
      </c>
      <c r="S46" s="9"/>
      <c r="T46" s="11"/>
      <c r="U46" s="17" t="s">
        <v>26</v>
      </c>
      <c r="V46" s="13"/>
    </row>
    <row r="47" spans="3:22" s="5" customFormat="1" ht="20.25" customHeight="1">
      <c r="C47" s="109"/>
      <c r="D47" s="27">
        <v>91</v>
      </c>
      <c r="E47" s="7" t="s">
        <v>84</v>
      </c>
      <c r="F47" s="8" t="s">
        <v>48</v>
      </c>
      <c r="G47" s="9" t="s">
        <v>16</v>
      </c>
      <c r="H47" s="9" t="s">
        <v>17</v>
      </c>
      <c r="I47" s="9" t="s">
        <v>49</v>
      </c>
      <c r="J47" s="9">
        <v>2500</v>
      </c>
      <c r="K47" s="9" t="s">
        <v>52</v>
      </c>
      <c r="L47" s="9" t="s">
        <v>32</v>
      </c>
      <c r="M47" s="10" t="s">
        <v>23</v>
      </c>
      <c r="N47" s="9" t="s">
        <v>25</v>
      </c>
      <c r="O47" s="10"/>
      <c r="P47" s="9">
        <v>370</v>
      </c>
      <c r="Q47" s="16">
        <v>890</v>
      </c>
      <c r="R47" s="9">
        <f t="shared" si="2"/>
        <v>520</v>
      </c>
      <c r="S47" s="9"/>
      <c r="T47" s="11"/>
      <c r="U47" s="17" t="s">
        <v>26</v>
      </c>
      <c r="V47" s="13"/>
    </row>
    <row r="48" spans="3:22" s="5" customFormat="1" ht="20.25" customHeight="1">
      <c r="C48" s="109"/>
      <c r="D48" s="115">
        <v>92</v>
      </c>
      <c r="E48" s="7" t="s">
        <v>84</v>
      </c>
      <c r="F48" s="8" t="s">
        <v>48</v>
      </c>
      <c r="G48" s="9" t="s">
        <v>16</v>
      </c>
      <c r="H48" s="9" t="s">
        <v>17</v>
      </c>
      <c r="I48" s="9" t="s">
        <v>49</v>
      </c>
      <c r="J48" s="9">
        <v>2500</v>
      </c>
      <c r="K48" s="9" t="s">
        <v>52</v>
      </c>
      <c r="L48" s="9" t="s">
        <v>32</v>
      </c>
      <c r="M48" s="10" t="s">
        <v>23</v>
      </c>
      <c r="N48" s="9" t="s">
        <v>25</v>
      </c>
      <c r="O48" s="29"/>
      <c r="P48" s="9">
        <v>370</v>
      </c>
      <c r="Q48" s="16">
        <v>890</v>
      </c>
      <c r="R48" s="9">
        <f t="shared" si="2"/>
        <v>520</v>
      </c>
      <c r="S48" s="30"/>
      <c r="T48" s="31"/>
      <c r="U48" s="17" t="s">
        <v>26</v>
      </c>
      <c r="V48" s="13"/>
    </row>
    <row r="49" spans="1:58" s="5" customFormat="1" ht="20.25" customHeight="1">
      <c r="C49" s="109"/>
      <c r="D49" s="77">
        <v>93</v>
      </c>
      <c r="E49" s="7" t="s">
        <v>84</v>
      </c>
      <c r="F49" s="8" t="s">
        <v>48</v>
      </c>
      <c r="G49" s="9" t="s">
        <v>16</v>
      </c>
      <c r="H49" s="9" t="s">
        <v>17</v>
      </c>
      <c r="I49" s="9" t="s">
        <v>49</v>
      </c>
      <c r="J49" s="9">
        <v>2500</v>
      </c>
      <c r="K49" s="9" t="s">
        <v>52</v>
      </c>
      <c r="L49" s="9" t="s">
        <v>32</v>
      </c>
      <c r="M49" s="10" t="s">
        <v>23</v>
      </c>
      <c r="N49" s="9" t="s">
        <v>25</v>
      </c>
      <c r="O49" s="32"/>
      <c r="P49" s="9">
        <v>370</v>
      </c>
      <c r="Q49" s="16">
        <v>890</v>
      </c>
      <c r="R49" s="9">
        <f t="shared" si="2"/>
        <v>520</v>
      </c>
      <c r="S49" s="33"/>
      <c r="T49" s="20"/>
      <c r="U49" s="17" t="s">
        <v>26</v>
      </c>
      <c r="V49" s="13"/>
    </row>
    <row r="50" spans="1:58" s="39" customFormat="1" ht="20.25" customHeight="1" thickBot="1">
      <c r="C50" s="110"/>
      <c r="D50" s="61">
        <v>94</v>
      </c>
      <c r="E50" s="7" t="s">
        <v>84</v>
      </c>
      <c r="F50" s="34" t="s">
        <v>48</v>
      </c>
      <c r="G50" s="35" t="s">
        <v>16</v>
      </c>
      <c r="H50" s="35" t="s">
        <v>17</v>
      </c>
      <c r="I50" s="9" t="s">
        <v>49</v>
      </c>
      <c r="J50" s="9">
        <v>2500</v>
      </c>
      <c r="K50" s="9" t="s">
        <v>52</v>
      </c>
      <c r="L50" s="9" t="s">
        <v>32</v>
      </c>
      <c r="M50" s="10" t="s">
        <v>23</v>
      </c>
      <c r="N50" s="9" t="s">
        <v>25</v>
      </c>
      <c r="O50" s="35"/>
      <c r="P50" s="9">
        <v>370</v>
      </c>
      <c r="Q50" s="16">
        <v>890</v>
      </c>
      <c r="R50" s="9">
        <f t="shared" si="2"/>
        <v>520</v>
      </c>
      <c r="S50" s="35"/>
      <c r="T50" s="36"/>
      <c r="U50" s="37" t="s">
        <v>26</v>
      </c>
      <c r="V50" s="38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</row>
    <row r="51" spans="1:58" s="5" customFormat="1" ht="20.25" customHeight="1">
      <c r="C51" s="108" t="s">
        <v>29</v>
      </c>
      <c r="D51" s="53">
        <v>1</v>
      </c>
      <c r="E51" s="114" t="s">
        <v>73</v>
      </c>
      <c r="F51" s="40" t="s">
        <v>48</v>
      </c>
      <c r="G51" s="41" t="s">
        <v>16</v>
      </c>
      <c r="H51" s="41" t="s">
        <v>30</v>
      </c>
      <c r="I51" s="42" t="s">
        <v>31</v>
      </c>
      <c r="J51" s="41">
        <v>2000</v>
      </c>
      <c r="K51" s="41" t="s">
        <v>53</v>
      </c>
      <c r="L51" s="42" t="s">
        <v>32</v>
      </c>
      <c r="M51" s="42" t="s">
        <v>23</v>
      </c>
      <c r="N51" s="42" t="s">
        <v>25</v>
      </c>
      <c r="O51" s="42" t="s">
        <v>33</v>
      </c>
      <c r="P51" s="42">
        <v>300</v>
      </c>
      <c r="Q51" s="42">
        <v>900</v>
      </c>
      <c r="R51" s="41">
        <f t="shared" si="2"/>
        <v>600</v>
      </c>
      <c r="S51" s="41"/>
      <c r="T51" s="43"/>
      <c r="U51" s="44" t="s">
        <v>26</v>
      </c>
      <c r="V51" s="45"/>
    </row>
    <row r="52" spans="1:58" s="5" customFormat="1" ht="20.25" customHeight="1">
      <c r="C52" s="109"/>
      <c r="D52" s="27">
        <v>2</v>
      </c>
      <c r="E52" s="7" t="s">
        <v>73</v>
      </c>
      <c r="F52" s="8" t="s">
        <v>48</v>
      </c>
      <c r="G52" s="9" t="s">
        <v>16</v>
      </c>
      <c r="H52" s="9" t="s">
        <v>30</v>
      </c>
      <c r="I52" s="10" t="s">
        <v>31</v>
      </c>
      <c r="J52" s="9">
        <v>2000</v>
      </c>
      <c r="K52" s="9" t="s">
        <v>53</v>
      </c>
      <c r="L52" s="10" t="s">
        <v>32</v>
      </c>
      <c r="M52" s="10" t="s">
        <v>23</v>
      </c>
      <c r="N52" s="10" t="s">
        <v>25</v>
      </c>
      <c r="O52" s="10" t="s">
        <v>33</v>
      </c>
      <c r="P52" s="10">
        <v>300</v>
      </c>
      <c r="Q52" s="10">
        <v>900</v>
      </c>
      <c r="R52" s="9">
        <f t="shared" si="2"/>
        <v>600</v>
      </c>
      <c r="S52" s="9"/>
      <c r="T52" s="11"/>
      <c r="U52" s="17" t="s">
        <v>26</v>
      </c>
      <c r="V52" s="46"/>
    </row>
    <row r="53" spans="1:58" s="5" customFormat="1" ht="20.25" customHeight="1" thickBot="1">
      <c r="C53" s="110"/>
      <c r="D53" s="101">
        <v>3</v>
      </c>
      <c r="E53" s="101" t="s">
        <v>73</v>
      </c>
      <c r="F53" s="102" t="s">
        <v>48</v>
      </c>
      <c r="G53" s="103" t="s">
        <v>16</v>
      </c>
      <c r="H53" s="103" t="s">
        <v>30</v>
      </c>
      <c r="I53" s="103" t="s">
        <v>31</v>
      </c>
      <c r="J53" s="103">
        <v>2000</v>
      </c>
      <c r="K53" s="103" t="s">
        <v>53</v>
      </c>
      <c r="L53" s="103" t="s">
        <v>32</v>
      </c>
      <c r="M53" s="103" t="s">
        <v>23</v>
      </c>
      <c r="N53" s="103" t="s">
        <v>25</v>
      </c>
      <c r="O53" s="103" t="s">
        <v>33</v>
      </c>
      <c r="P53" s="103">
        <v>300</v>
      </c>
      <c r="Q53" s="103">
        <v>900</v>
      </c>
      <c r="R53" s="103">
        <f t="shared" si="2"/>
        <v>600</v>
      </c>
      <c r="S53" s="103"/>
      <c r="T53" s="104"/>
      <c r="U53" s="105" t="s">
        <v>26</v>
      </c>
      <c r="V53" s="48"/>
    </row>
    <row r="54" spans="1:58" s="49" customFormat="1" ht="20.25" customHeight="1">
      <c r="A54" s="5"/>
      <c r="B54" s="5"/>
      <c r="C54" s="109" t="s">
        <v>54</v>
      </c>
      <c r="D54" s="27">
        <v>17</v>
      </c>
      <c r="E54" s="114" t="s">
        <v>72</v>
      </c>
      <c r="F54" s="40" t="s">
        <v>48</v>
      </c>
      <c r="G54" s="9" t="s">
        <v>16</v>
      </c>
      <c r="H54" s="10" t="s">
        <v>34</v>
      </c>
      <c r="I54" s="9" t="s">
        <v>35</v>
      </c>
      <c r="J54" s="10">
        <v>800</v>
      </c>
      <c r="K54" s="10" t="s">
        <v>36</v>
      </c>
      <c r="L54" s="10" t="s">
        <v>37</v>
      </c>
      <c r="M54" s="9"/>
      <c r="N54" s="10" t="s">
        <v>21</v>
      </c>
      <c r="O54" s="10" t="s">
        <v>22</v>
      </c>
      <c r="P54" s="10">
        <v>100</v>
      </c>
      <c r="Q54" s="9">
        <v>400</v>
      </c>
      <c r="R54" s="9" t="s">
        <v>40</v>
      </c>
      <c r="S54" s="9"/>
      <c r="T54" s="11"/>
      <c r="U54" s="12"/>
      <c r="V54" s="13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</row>
    <row r="55" spans="1:58" s="49" customFormat="1" ht="20.25" customHeight="1">
      <c r="A55" s="5"/>
      <c r="B55" s="5"/>
      <c r="C55" s="109"/>
      <c r="D55" s="27">
        <v>28</v>
      </c>
      <c r="E55" s="114" t="s">
        <v>72</v>
      </c>
      <c r="F55" s="8" t="s">
        <v>48</v>
      </c>
      <c r="G55" s="9" t="s">
        <v>16</v>
      </c>
      <c r="H55" s="10" t="s">
        <v>34</v>
      </c>
      <c r="I55" s="9" t="s">
        <v>35</v>
      </c>
      <c r="J55" s="10">
        <v>800</v>
      </c>
      <c r="K55" s="10" t="s">
        <v>36</v>
      </c>
      <c r="L55" s="10" t="s">
        <v>37</v>
      </c>
      <c r="M55" s="9"/>
      <c r="N55" s="10" t="s">
        <v>21</v>
      </c>
      <c r="O55" s="10" t="s">
        <v>22</v>
      </c>
      <c r="P55" s="10">
        <v>100</v>
      </c>
      <c r="Q55" s="9">
        <v>400</v>
      </c>
      <c r="R55" s="9" t="s">
        <v>40</v>
      </c>
      <c r="S55" s="9"/>
      <c r="T55" s="11"/>
      <c r="U55" s="12" t="s">
        <v>60</v>
      </c>
      <c r="V55" s="13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</row>
    <row r="56" spans="1:58" s="49" customFormat="1" ht="20.25" customHeight="1">
      <c r="A56" s="5"/>
      <c r="B56" s="5"/>
      <c r="C56" s="109"/>
      <c r="D56" s="27">
        <v>29</v>
      </c>
      <c r="E56" s="114" t="s">
        <v>72</v>
      </c>
      <c r="F56" s="8" t="s">
        <v>48</v>
      </c>
      <c r="G56" s="9" t="s">
        <v>16</v>
      </c>
      <c r="H56" s="10" t="s">
        <v>30</v>
      </c>
      <c r="I56" s="9" t="s">
        <v>38</v>
      </c>
      <c r="J56" s="10">
        <v>800</v>
      </c>
      <c r="K56" s="10" t="s">
        <v>36</v>
      </c>
      <c r="L56" s="10" t="s">
        <v>37</v>
      </c>
      <c r="M56" s="9" t="s">
        <v>23</v>
      </c>
      <c r="N56" s="10" t="s">
        <v>21</v>
      </c>
      <c r="O56" s="10" t="s">
        <v>22</v>
      </c>
      <c r="P56" s="10">
        <v>100</v>
      </c>
      <c r="Q56" s="9">
        <v>450</v>
      </c>
      <c r="R56" s="9" t="s">
        <v>40</v>
      </c>
      <c r="S56" s="9"/>
      <c r="T56" s="11"/>
      <c r="U56" s="12"/>
      <c r="V56" s="13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</row>
    <row r="57" spans="1:58" s="49" customFormat="1" ht="20.25" customHeight="1">
      <c r="A57" s="5"/>
      <c r="B57" s="5"/>
      <c r="C57" s="109"/>
      <c r="D57" s="27">
        <v>32</v>
      </c>
      <c r="E57" s="114" t="s">
        <v>72</v>
      </c>
      <c r="F57" s="8" t="s">
        <v>48</v>
      </c>
      <c r="G57" s="9" t="s">
        <v>16</v>
      </c>
      <c r="H57" s="10" t="s">
        <v>30</v>
      </c>
      <c r="I57" s="9" t="s">
        <v>39</v>
      </c>
      <c r="J57" s="10">
        <v>800</v>
      </c>
      <c r="K57" s="10" t="s">
        <v>19</v>
      </c>
      <c r="L57" s="10" t="s">
        <v>37</v>
      </c>
      <c r="M57" s="9" t="s">
        <v>23</v>
      </c>
      <c r="N57" s="10" t="s">
        <v>21</v>
      </c>
      <c r="O57" s="10" t="s">
        <v>22</v>
      </c>
      <c r="P57" s="10">
        <v>100</v>
      </c>
      <c r="Q57" s="9">
        <v>450</v>
      </c>
      <c r="R57" s="9" t="s">
        <v>40</v>
      </c>
      <c r="S57" s="9"/>
      <c r="T57" s="11"/>
      <c r="U57" s="12"/>
      <c r="V57" s="13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</row>
    <row r="58" spans="1:58" s="49" customFormat="1" ht="20.25" customHeight="1">
      <c r="A58" s="5"/>
      <c r="B58" s="5"/>
      <c r="C58" s="109"/>
      <c r="D58" s="27">
        <v>33</v>
      </c>
      <c r="E58" s="114" t="s">
        <v>72</v>
      </c>
      <c r="F58" s="8" t="s">
        <v>48</v>
      </c>
      <c r="G58" s="9" t="s">
        <v>16</v>
      </c>
      <c r="H58" s="10" t="s">
        <v>30</v>
      </c>
      <c r="I58" s="9" t="s">
        <v>39</v>
      </c>
      <c r="J58" s="10">
        <v>800</v>
      </c>
      <c r="K58" s="10" t="s">
        <v>19</v>
      </c>
      <c r="L58" s="10" t="s">
        <v>37</v>
      </c>
      <c r="M58" s="9" t="s">
        <v>23</v>
      </c>
      <c r="N58" s="10" t="s">
        <v>21</v>
      </c>
      <c r="O58" s="10" t="s">
        <v>22</v>
      </c>
      <c r="P58" s="10">
        <v>100</v>
      </c>
      <c r="Q58" s="9">
        <v>450</v>
      </c>
      <c r="R58" s="9" t="s">
        <v>40</v>
      </c>
      <c r="S58" s="9"/>
      <c r="T58" s="11"/>
      <c r="U58" s="12"/>
      <c r="V58" s="18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</row>
    <row r="59" spans="1:58" s="49" customFormat="1" ht="20.25" customHeight="1">
      <c r="A59" s="5"/>
      <c r="B59" s="5"/>
      <c r="C59" s="109"/>
      <c r="D59" s="27">
        <v>34</v>
      </c>
      <c r="E59" s="114" t="s">
        <v>72</v>
      </c>
      <c r="F59" s="8" t="s">
        <v>48</v>
      </c>
      <c r="G59" s="9" t="s">
        <v>16</v>
      </c>
      <c r="H59" s="10" t="s">
        <v>30</v>
      </c>
      <c r="I59" s="9" t="s">
        <v>39</v>
      </c>
      <c r="J59" s="10">
        <v>800</v>
      </c>
      <c r="K59" s="10" t="s">
        <v>19</v>
      </c>
      <c r="L59" s="10" t="s">
        <v>37</v>
      </c>
      <c r="M59" s="9" t="s">
        <v>23</v>
      </c>
      <c r="N59" s="10" t="s">
        <v>21</v>
      </c>
      <c r="O59" s="10" t="s">
        <v>22</v>
      </c>
      <c r="P59" s="10">
        <v>100</v>
      </c>
      <c r="Q59" s="9">
        <v>450</v>
      </c>
      <c r="R59" s="9" t="s">
        <v>40</v>
      </c>
      <c r="S59" s="9"/>
      <c r="T59" s="11"/>
      <c r="U59" s="12"/>
      <c r="V59" s="13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</row>
    <row r="60" spans="1:58" s="49" customFormat="1" ht="20.25" customHeight="1">
      <c r="A60" s="5"/>
      <c r="B60" s="5"/>
      <c r="C60" s="109"/>
      <c r="D60" s="27">
        <v>37</v>
      </c>
      <c r="E60" s="114" t="s">
        <v>72</v>
      </c>
      <c r="F60" s="8" t="s">
        <v>48</v>
      </c>
      <c r="G60" s="73" t="s">
        <v>16</v>
      </c>
      <c r="H60" s="73" t="s">
        <v>30</v>
      </c>
      <c r="I60" s="73" t="s">
        <v>39</v>
      </c>
      <c r="J60" s="73">
        <v>800</v>
      </c>
      <c r="K60" s="73" t="s">
        <v>19</v>
      </c>
      <c r="L60" s="73" t="s">
        <v>37</v>
      </c>
      <c r="M60" s="73" t="s">
        <v>23</v>
      </c>
      <c r="N60" s="73" t="s">
        <v>21</v>
      </c>
      <c r="O60" s="73" t="s">
        <v>22</v>
      </c>
      <c r="P60" s="73">
        <v>100</v>
      </c>
      <c r="Q60" s="73">
        <v>450</v>
      </c>
      <c r="R60" s="73" t="s">
        <v>40</v>
      </c>
      <c r="S60" s="73"/>
      <c r="T60" s="75"/>
      <c r="U60" s="76"/>
      <c r="V60" s="18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</row>
    <row r="61" spans="1:58" s="49" customFormat="1" ht="20.25" customHeight="1">
      <c r="A61" s="5"/>
      <c r="B61" s="5"/>
      <c r="C61" s="109"/>
      <c r="D61" s="27">
        <v>38</v>
      </c>
      <c r="E61" s="114" t="s">
        <v>72</v>
      </c>
      <c r="F61" s="8" t="s">
        <v>48</v>
      </c>
      <c r="G61" s="9" t="s">
        <v>16</v>
      </c>
      <c r="H61" s="10" t="s">
        <v>30</v>
      </c>
      <c r="I61" s="9" t="s">
        <v>39</v>
      </c>
      <c r="J61" s="10">
        <v>800</v>
      </c>
      <c r="K61" s="10" t="s">
        <v>19</v>
      </c>
      <c r="L61" s="10" t="s">
        <v>37</v>
      </c>
      <c r="M61" s="9" t="s">
        <v>23</v>
      </c>
      <c r="N61" s="10" t="s">
        <v>21</v>
      </c>
      <c r="O61" s="10" t="s">
        <v>22</v>
      </c>
      <c r="P61" s="10">
        <v>100</v>
      </c>
      <c r="Q61" s="9">
        <v>450</v>
      </c>
      <c r="R61" s="9" t="s">
        <v>40</v>
      </c>
      <c r="S61" s="9"/>
      <c r="T61" s="11"/>
      <c r="U61" s="60" t="s">
        <v>61</v>
      </c>
      <c r="V61" s="13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</row>
    <row r="62" spans="1:58" s="39" customFormat="1" ht="20.25" customHeight="1" thickBot="1">
      <c r="C62" s="110"/>
      <c r="D62" s="61">
        <v>39</v>
      </c>
      <c r="E62" s="114" t="s">
        <v>72</v>
      </c>
      <c r="F62" s="34" t="s">
        <v>48</v>
      </c>
      <c r="G62" s="35" t="s">
        <v>16</v>
      </c>
      <c r="H62" s="47" t="s">
        <v>30</v>
      </c>
      <c r="I62" s="35" t="s">
        <v>39</v>
      </c>
      <c r="J62" s="47">
        <v>800</v>
      </c>
      <c r="K62" s="47" t="s">
        <v>19</v>
      </c>
      <c r="L62" s="47" t="s">
        <v>37</v>
      </c>
      <c r="M62" s="35" t="s">
        <v>23</v>
      </c>
      <c r="N62" s="47" t="s">
        <v>21</v>
      </c>
      <c r="O62" s="47" t="s">
        <v>22</v>
      </c>
      <c r="P62" s="47">
        <v>100</v>
      </c>
      <c r="Q62" s="35">
        <v>450</v>
      </c>
      <c r="R62" s="35" t="s">
        <v>40</v>
      </c>
      <c r="S62" s="35"/>
      <c r="T62" s="36"/>
      <c r="U62" s="99" t="s">
        <v>61</v>
      </c>
      <c r="V62" s="50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</row>
    <row r="63" spans="1:58" s="52" customFormat="1" ht="20.25" customHeight="1">
      <c r="A63" s="51"/>
      <c r="C63" s="108" t="s">
        <v>41</v>
      </c>
      <c r="D63" s="53">
        <v>17</v>
      </c>
      <c r="E63" s="53" t="s">
        <v>79</v>
      </c>
      <c r="F63" s="54" t="s">
        <v>48</v>
      </c>
      <c r="G63" s="42" t="s">
        <v>16</v>
      </c>
      <c r="H63" s="42" t="s">
        <v>42</v>
      </c>
      <c r="I63" s="42" t="s">
        <v>43</v>
      </c>
      <c r="J63" s="42" t="s">
        <v>40</v>
      </c>
      <c r="K63" s="42" t="s">
        <v>19</v>
      </c>
      <c r="L63" s="42" t="s">
        <v>44</v>
      </c>
      <c r="M63" s="42" t="s">
        <v>40</v>
      </c>
      <c r="N63" s="42" t="s">
        <v>40</v>
      </c>
      <c r="O63" s="42" t="s">
        <v>22</v>
      </c>
      <c r="P63" s="42">
        <v>0</v>
      </c>
      <c r="Q63" s="42" t="s">
        <v>40</v>
      </c>
      <c r="R63" s="42" t="s">
        <v>40</v>
      </c>
      <c r="S63" s="42"/>
      <c r="T63" s="55"/>
      <c r="U63" s="56"/>
      <c r="V63" s="6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</row>
    <row r="64" spans="1:58" s="5" customFormat="1" ht="20.25" customHeight="1">
      <c r="A64" s="57"/>
      <c r="C64" s="109"/>
      <c r="D64" s="27">
        <v>18</v>
      </c>
      <c r="E64" s="27" t="s">
        <v>79</v>
      </c>
      <c r="F64" s="58" t="s">
        <v>48</v>
      </c>
      <c r="G64" s="10" t="s">
        <v>16</v>
      </c>
      <c r="H64" s="10" t="s">
        <v>42</v>
      </c>
      <c r="I64" s="10" t="s">
        <v>43</v>
      </c>
      <c r="J64" s="10" t="s">
        <v>40</v>
      </c>
      <c r="K64" s="10" t="s">
        <v>19</v>
      </c>
      <c r="L64" s="10" t="s">
        <v>44</v>
      </c>
      <c r="M64" s="10" t="s">
        <v>40</v>
      </c>
      <c r="N64" s="10" t="s">
        <v>40</v>
      </c>
      <c r="O64" s="10" t="s">
        <v>22</v>
      </c>
      <c r="P64" s="10">
        <v>0</v>
      </c>
      <c r="Q64" s="10" t="s">
        <v>40</v>
      </c>
      <c r="R64" s="10" t="s">
        <v>40</v>
      </c>
      <c r="S64" s="10"/>
      <c r="T64" s="59"/>
      <c r="U64" s="60" t="s">
        <v>61</v>
      </c>
      <c r="V64" s="13"/>
    </row>
    <row r="65" spans="1:22" s="5" customFormat="1" ht="20.25" customHeight="1">
      <c r="A65" s="57"/>
      <c r="C65" s="109"/>
      <c r="D65" s="27">
        <v>19</v>
      </c>
      <c r="E65" s="27" t="s">
        <v>79</v>
      </c>
      <c r="F65" s="15" t="s">
        <v>48</v>
      </c>
      <c r="G65" s="10" t="s">
        <v>16</v>
      </c>
      <c r="H65" s="10" t="s">
        <v>42</v>
      </c>
      <c r="I65" s="10" t="s">
        <v>43</v>
      </c>
      <c r="J65" s="10" t="s">
        <v>40</v>
      </c>
      <c r="K65" s="10" t="s">
        <v>19</v>
      </c>
      <c r="L65" s="10" t="s">
        <v>44</v>
      </c>
      <c r="M65" s="10" t="s">
        <v>40</v>
      </c>
      <c r="N65" s="10" t="s">
        <v>40</v>
      </c>
      <c r="O65" s="10" t="s">
        <v>22</v>
      </c>
      <c r="P65" s="10">
        <v>0</v>
      </c>
      <c r="Q65" s="10" t="s">
        <v>40</v>
      </c>
      <c r="R65" s="10" t="s">
        <v>40</v>
      </c>
      <c r="S65" s="10"/>
      <c r="T65" s="59"/>
      <c r="U65" s="60" t="s">
        <v>61</v>
      </c>
      <c r="V65" s="13"/>
    </row>
    <row r="66" spans="1:22" s="5" customFormat="1" ht="20.25" customHeight="1" thickBot="1">
      <c r="A66" s="57"/>
      <c r="C66" s="110"/>
      <c r="D66" s="61">
        <v>20</v>
      </c>
      <c r="E66" s="61" t="s">
        <v>79</v>
      </c>
      <c r="F66" s="62" t="s">
        <v>48</v>
      </c>
      <c r="G66" s="47" t="s">
        <v>16</v>
      </c>
      <c r="H66" s="47" t="s">
        <v>42</v>
      </c>
      <c r="I66" s="47" t="s">
        <v>43</v>
      </c>
      <c r="J66" s="47" t="s">
        <v>40</v>
      </c>
      <c r="K66" s="47" t="s">
        <v>19</v>
      </c>
      <c r="L66" s="47" t="s">
        <v>44</v>
      </c>
      <c r="M66" s="47" t="s">
        <v>40</v>
      </c>
      <c r="N66" s="47" t="s">
        <v>40</v>
      </c>
      <c r="O66" s="47" t="s">
        <v>22</v>
      </c>
      <c r="P66" s="47">
        <v>0</v>
      </c>
      <c r="Q66" s="47" t="s">
        <v>40</v>
      </c>
      <c r="R66" s="47" t="s">
        <v>40</v>
      </c>
      <c r="S66" s="47"/>
      <c r="T66" s="63"/>
      <c r="U66" s="99" t="s">
        <v>61</v>
      </c>
      <c r="V66" s="50"/>
    </row>
    <row r="67" spans="1:22" s="49" customFormat="1" ht="20.25" customHeight="1">
      <c r="C67" s="108" t="s">
        <v>55</v>
      </c>
      <c r="D67" s="53">
        <v>20</v>
      </c>
      <c r="E67" s="53" t="s">
        <v>78</v>
      </c>
      <c r="F67" s="54" t="s">
        <v>48</v>
      </c>
      <c r="G67" s="42" t="s">
        <v>16</v>
      </c>
      <c r="H67" s="42" t="s">
        <v>45</v>
      </c>
      <c r="I67" s="42" t="s">
        <v>43</v>
      </c>
      <c r="J67" s="42" t="s">
        <v>40</v>
      </c>
      <c r="K67" s="64" t="s">
        <v>46</v>
      </c>
      <c r="L67" s="42" t="s">
        <v>32</v>
      </c>
      <c r="M67" s="42" t="s">
        <v>40</v>
      </c>
      <c r="N67" s="42" t="s">
        <v>40</v>
      </c>
      <c r="O67" s="42" t="s">
        <v>22</v>
      </c>
      <c r="P67" s="42">
        <v>0</v>
      </c>
      <c r="Q67" s="42">
        <v>400</v>
      </c>
      <c r="R67" s="42" t="s">
        <v>40</v>
      </c>
      <c r="S67" s="42"/>
      <c r="T67" s="55"/>
      <c r="U67" s="100" t="s">
        <v>61</v>
      </c>
      <c r="V67" s="6"/>
    </row>
    <row r="68" spans="1:22" s="49" customFormat="1" ht="20.25" customHeight="1">
      <c r="C68" s="109"/>
      <c r="D68" s="27">
        <v>21</v>
      </c>
      <c r="E68" s="27" t="s">
        <v>78</v>
      </c>
      <c r="F68" s="58" t="s">
        <v>48</v>
      </c>
      <c r="G68" s="10" t="s">
        <v>16</v>
      </c>
      <c r="H68" s="10" t="s">
        <v>45</v>
      </c>
      <c r="I68" s="10" t="s">
        <v>43</v>
      </c>
      <c r="J68" s="10" t="s">
        <v>40</v>
      </c>
      <c r="K68" s="14" t="s">
        <v>46</v>
      </c>
      <c r="L68" s="10" t="s">
        <v>32</v>
      </c>
      <c r="M68" s="10" t="s">
        <v>40</v>
      </c>
      <c r="N68" s="10" t="s">
        <v>40</v>
      </c>
      <c r="O68" s="10" t="s">
        <v>22</v>
      </c>
      <c r="P68" s="10">
        <v>0</v>
      </c>
      <c r="Q68" s="10">
        <v>400</v>
      </c>
      <c r="R68" s="10" t="s">
        <v>40</v>
      </c>
      <c r="S68" s="10"/>
      <c r="T68" s="59"/>
      <c r="U68" s="60" t="s">
        <v>61</v>
      </c>
      <c r="V68" s="13"/>
    </row>
    <row r="69" spans="1:22" s="49" customFormat="1" ht="20.25" customHeight="1">
      <c r="C69" s="109"/>
      <c r="D69" s="27">
        <v>26</v>
      </c>
      <c r="E69" s="27" t="s">
        <v>77</v>
      </c>
      <c r="F69" s="58" t="s">
        <v>48</v>
      </c>
      <c r="G69" s="10" t="s">
        <v>16</v>
      </c>
      <c r="H69" s="10" t="s">
        <v>45</v>
      </c>
      <c r="I69" s="10" t="s">
        <v>43</v>
      </c>
      <c r="J69" s="10" t="s">
        <v>40</v>
      </c>
      <c r="K69" s="14" t="s">
        <v>19</v>
      </c>
      <c r="L69" s="10" t="s">
        <v>44</v>
      </c>
      <c r="M69" s="10" t="s">
        <v>40</v>
      </c>
      <c r="N69" s="10" t="s">
        <v>40</v>
      </c>
      <c r="O69" s="10" t="s">
        <v>22</v>
      </c>
      <c r="P69" s="10">
        <v>0</v>
      </c>
      <c r="Q69" s="10">
        <v>400</v>
      </c>
      <c r="R69" s="10" t="s">
        <v>40</v>
      </c>
      <c r="S69" s="10"/>
      <c r="T69" s="59"/>
      <c r="U69" s="60"/>
      <c r="V69" s="13"/>
    </row>
    <row r="70" spans="1:22" s="49" customFormat="1" ht="20.25" customHeight="1" thickBot="1">
      <c r="C70" s="109"/>
      <c r="D70" s="77">
        <v>27</v>
      </c>
      <c r="E70" s="77" t="s">
        <v>77</v>
      </c>
      <c r="F70" s="78" t="s">
        <v>48</v>
      </c>
      <c r="G70" s="32" t="s">
        <v>16</v>
      </c>
      <c r="H70" s="32" t="s">
        <v>45</v>
      </c>
      <c r="I70" s="32" t="s">
        <v>43</v>
      </c>
      <c r="J70" s="32" t="s">
        <v>40</v>
      </c>
      <c r="K70" s="79" t="s">
        <v>19</v>
      </c>
      <c r="L70" s="32" t="s">
        <v>44</v>
      </c>
      <c r="M70" s="32" t="s">
        <v>40</v>
      </c>
      <c r="N70" s="32" t="s">
        <v>40</v>
      </c>
      <c r="O70" s="32" t="s">
        <v>22</v>
      </c>
      <c r="P70" s="32">
        <v>0</v>
      </c>
      <c r="Q70" s="32">
        <v>400</v>
      </c>
      <c r="R70" s="32" t="s">
        <v>40</v>
      </c>
      <c r="S70" s="32"/>
      <c r="T70" s="72"/>
      <c r="U70" s="80"/>
      <c r="V70" s="50"/>
    </row>
    <row r="71" spans="1:22" ht="29.25" thickBot="1">
      <c r="C71" s="98" t="s">
        <v>57</v>
      </c>
      <c r="D71" s="97">
        <v>1</v>
      </c>
      <c r="E71" s="97" t="s">
        <v>76</v>
      </c>
      <c r="F71" s="82" t="s">
        <v>48</v>
      </c>
      <c r="G71" s="83" t="s">
        <v>16</v>
      </c>
      <c r="H71" s="81" t="s">
        <v>56</v>
      </c>
      <c r="I71" s="81" t="s">
        <v>58</v>
      </c>
      <c r="J71" s="85">
        <v>1800</v>
      </c>
      <c r="K71" s="81" t="s">
        <v>46</v>
      </c>
      <c r="L71" s="81" t="s">
        <v>59</v>
      </c>
      <c r="M71" s="81" t="s">
        <v>40</v>
      </c>
      <c r="N71" s="81" t="s">
        <v>40</v>
      </c>
      <c r="O71" s="81" t="s">
        <v>22</v>
      </c>
      <c r="P71" s="81" t="s">
        <v>40</v>
      </c>
      <c r="Q71" s="81">
        <v>500</v>
      </c>
      <c r="R71" s="81">
        <v>450</v>
      </c>
      <c r="S71" s="81"/>
      <c r="T71" s="81"/>
      <c r="U71" s="84" t="s">
        <v>60</v>
      </c>
    </row>
    <row r="72" spans="1:22" ht="29.25" thickBot="1">
      <c r="C72" s="98" t="s">
        <v>64</v>
      </c>
      <c r="D72" s="97">
        <v>1</v>
      </c>
      <c r="E72" s="97" t="s">
        <v>75</v>
      </c>
      <c r="F72" s="82" t="s">
        <v>48</v>
      </c>
      <c r="G72" s="83" t="s">
        <v>16</v>
      </c>
      <c r="H72" s="81" t="s">
        <v>56</v>
      </c>
      <c r="I72" s="81" t="s">
        <v>65</v>
      </c>
      <c r="J72" s="85">
        <v>3000</v>
      </c>
      <c r="K72" s="81" t="s">
        <v>66</v>
      </c>
      <c r="L72" s="81" t="s">
        <v>70</v>
      </c>
      <c r="M72" s="81" t="s">
        <v>40</v>
      </c>
      <c r="N72" s="81" t="s">
        <v>69</v>
      </c>
      <c r="O72" s="81" t="s">
        <v>22</v>
      </c>
      <c r="P72" s="81" t="s">
        <v>40</v>
      </c>
      <c r="Q72" s="81">
        <v>650</v>
      </c>
      <c r="R72" s="81">
        <v>550</v>
      </c>
      <c r="S72" s="81"/>
      <c r="T72" s="81"/>
      <c r="U72" s="84" t="s">
        <v>60</v>
      </c>
    </row>
  </sheetData>
  <autoFilter ref="D5:R72" xr:uid="{00000000-0009-0000-0000-000000000000}"/>
  <mergeCells count="5">
    <mergeCell ref="C67:C70"/>
    <mergeCell ref="C6:C50"/>
    <mergeCell ref="C51:C53"/>
    <mergeCell ref="C54:C62"/>
    <mergeCell ref="C63:C66"/>
  </mergeCells>
  <conditionalFormatting sqref="L69:L70 M51:M53 I4 L51:L52 N51:O52 G50:H50 P51:P53 O47:O49 O67:P70 O29 K6:K12 N6:N15 N54:N62 K54:K62 H1:H2 O30:P44 N24:N28 K15:K28 O6:P28 L6:M44 I6:I44 G3:H44 L54:L65 O54:P65 G63:K65 G67:J70 G73:I65517 H71:I72 G51:I62 G66:L66">
    <cfRule type="containsText" dxfId="12" priority="16" operator="containsText" text="PRESS 2">
      <formula>NOT(ISERROR(SEARCH("PRESS 2",G1)))</formula>
    </cfRule>
  </conditionalFormatting>
  <conditionalFormatting sqref="O66:P66">
    <cfRule type="containsText" dxfId="11" priority="15" operator="containsText" text="PRESS 2">
      <formula>NOT(ISERROR(SEARCH("PRESS 2",O66)))</formula>
    </cfRule>
  </conditionalFormatting>
  <conditionalFormatting sqref="G45:H45 P45:P46">
    <cfRule type="containsText" dxfId="10" priority="13" operator="containsText" text="PRESS 2">
      <formula>NOT(ISERROR(SEARCH("PRESS 2",G45)))</formula>
    </cfRule>
  </conditionalFormatting>
  <conditionalFormatting sqref="M45:M46">
    <cfRule type="containsText" dxfId="9" priority="12" operator="containsText" text="PRESS 2">
      <formula>NOT(ISERROR(SEARCH("PRESS 2",M45)))</formula>
    </cfRule>
  </conditionalFormatting>
  <conditionalFormatting sqref="G46:G49">
    <cfRule type="containsText" dxfId="8" priority="11" operator="containsText" text="PRESS 2">
      <formula>NOT(ISERROR(SEARCH("PRESS 2",G46)))</formula>
    </cfRule>
  </conditionalFormatting>
  <conditionalFormatting sqref="H46:H49">
    <cfRule type="containsText" dxfId="7" priority="10" operator="containsText" text="PRESS 2">
      <formula>NOT(ISERROR(SEARCH("PRESS 2",H46)))</formula>
    </cfRule>
  </conditionalFormatting>
  <conditionalFormatting sqref="M47:M50">
    <cfRule type="containsText" dxfId="6" priority="9" operator="containsText" text="PRESS 2">
      <formula>NOT(ISERROR(SEARCH("PRESS 2",M47)))</formula>
    </cfRule>
  </conditionalFormatting>
  <conditionalFormatting sqref="P47:P50">
    <cfRule type="containsText" dxfId="5" priority="8" operator="containsText" text="PRESS 2">
      <formula>NOT(ISERROR(SEARCH("PRESS 2",P47)))</formula>
    </cfRule>
  </conditionalFormatting>
  <conditionalFormatting sqref="P29">
    <cfRule type="containsText" dxfId="4" priority="6" operator="containsText" text="PRESS 2">
      <formula>NOT(ISERROR(SEARCH("PRESS 2",P29)))</formula>
    </cfRule>
  </conditionalFormatting>
  <conditionalFormatting sqref="G71">
    <cfRule type="containsText" dxfId="3" priority="5" operator="containsText" text="PRESS 2">
      <formula>NOT(ISERROR(SEARCH("PRESS 2",G71)))</formula>
    </cfRule>
  </conditionalFormatting>
  <conditionalFormatting sqref="G72">
    <cfRule type="containsText" dxfId="2" priority="3" operator="containsText" text="PRESS 2">
      <formula>NOT(ISERROR(SEARCH("PRESS 2",G72)))</formula>
    </cfRule>
  </conditionalFormatting>
  <conditionalFormatting sqref="K13">
    <cfRule type="containsText" dxfId="1" priority="2" operator="containsText" text="PRESS 2">
      <formula>NOT(ISERROR(SEARCH("PRESS 2",K13)))</formula>
    </cfRule>
  </conditionalFormatting>
  <conditionalFormatting sqref="K14">
    <cfRule type="containsText" dxfId="0" priority="1" operator="containsText" text="PRESS 2">
      <formula>NOT(ISERROR(SEARCH("PRESS 2",K14)))</formula>
    </cfRule>
  </conditionalFormatting>
  <pageMargins left="0.70866141732283472" right="0.70866141732283472" top="0.74803149606299213" bottom="0.74803149606299213" header="0.31496062992125984" footer="0.31496062992125984"/>
  <pageSetup paperSize="8" scale="80" orientation="portrait" r:id="rId1"/>
  <colBreaks count="1" manualBreakCount="1">
    <brk id="21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FC2F-4983-4058-90AD-7FBA0A93D2FC}">
  <dimension ref="A1:B16"/>
  <sheetViews>
    <sheetView zoomScaleNormal="100" workbookViewId="0">
      <selection activeCell="A13" sqref="A13"/>
    </sheetView>
  </sheetViews>
  <sheetFormatPr defaultRowHeight="15"/>
  <cols>
    <col min="1" max="1" width="58.33203125" bestFit="1" customWidth="1"/>
    <col min="2" max="2" width="14.6640625" bestFit="1" customWidth="1"/>
    <col min="4" max="4" width="58.33203125" bestFit="1" customWidth="1"/>
  </cols>
  <sheetData>
    <row r="1" spans="1:2">
      <c r="A1" t="s">
        <v>87</v>
      </c>
      <c r="B1" t="s">
        <v>88</v>
      </c>
    </row>
    <row r="2" spans="1:2">
      <c r="A2" t="s">
        <v>85</v>
      </c>
      <c r="B2">
        <f>COUNTIF(DATABASE!$E$5:$E$72,A2)</f>
        <v>7</v>
      </c>
    </row>
    <row r="3" spans="1:2">
      <c r="A3" t="s">
        <v>82</v>
      </c>
      <c r="B3">
        <f>COUNTIF(DATABASE!$E$5:$E$72,A3)</f>
        <v>2</v>
      </c>
    </row>
    <row r="4" spans="1:2">
      <c r="A4" t="s">
        <v>81</v>
      </c>
      <c r="B4">
        <f>COUNTIF(DATABASE!$E$5:$E$72,A4)</f>
        <v>9</v>
      </c>
    </row>
    <row r="5" spans="1:2">
      <c r="A5" t="s">
        <v>80</v>
      </c>
      <c r="B5">
        <f>COUNTIF(DATABASE!$E$5:$E$72,A5)</f>
        <v>5</v>
      </c>
    </row>
    <row r="6" spans="1:2">
      <c r="A6" t="s">
        <v>83</v>
      </c>
      <c r="B6">
        <f>COUNTIF(DATABASE!$E$5:$E$72,A6)</f>
        <v>10</v>
      </c>
    </row>
    <row r="7" spans="1:2">
      <c r="A7" t="s">
        <v>74</v>
      </c>
      <c r="B7">
        <f>COUNTIF(DATABASE!$E$5:$E$72,A7)</f>
        <v>7</v>
      </c>
    </row>
    <row r="8" spans="1:2">
      <c r="A8" t="s">
        <v>84</v>
      </c>
      <c r="B8">
        <f>COUNTIF(DATABASE!$E$5:$E$72,A8)</f>
        <v>5</v>
      </c>
    </row>
    <row r="9" spans="1:2">
      <c r="A9" t="s">
        <v>73</v>
      </c>
      <c r="B9">
        <f>COUNTIF(DATABASE!$E$5:$E$72,A9)</f>
        <v>3</v>
      </c>
    </row>
    <row r="10" spans="1:2">
      <c r="A10" t="s">
        <v>72</v>
      </c>
      <c r="B10">
        <f>COUNTIF(DATABASE!$E$5:$E$72,A10)</f>
        <v>9</v>
      </c>
    </row>
    <row r="11" spans="1:2">
      <c r="A11" t="s">
        <v>79</v>
      </c>
      <c r="B11">
        <f>COUNTIF(DATABASE!$E$5:$E$72,A11)</f>
        <v>4</v>
      </c>
    </row>
    <row r="12" spans="1:2">
      <c r="A12" t="s">
        <v>78</v>
      </c>
      <c r="B12">
        <f>COUNTIF(DATABASE!$E$5:$E$72,A12)</f>
        <v>2</v>
      </c>
    </row>
    <row r="13" spans="1:2">
      <c r="A13" t="s">
        <v>77</v>
      </c>
      <c r="B13">
        <f>COUNTIF(DATABASE!$E$5:$E$72,A13)</f>
        <v>2</v>
      </c>
    </row>
    <row r="14" spans="1:2">
      <c r="A14" t="s">
        <v>76</v>
      </c>
      <c r="B14">
        <f>COUNTIF(DATABASE!$E$5:$E$72,A14)</f>
        <v>1</v>
      </c>
    </row>
    <row r="15" spans="1:2">
      <c r="A15" t="s">
        <v>75</v>
      </c>
      <c r="B15">
        <f>COUNTIF(DATABASE!$E$5:$E$72,A15)</f>
        <v>1</v>
      </c>
    </row>
    <row r="16" spans="1:2">
      <c r="B16">
        <f>SUM(B2:B15)</f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DATABASE</vt:lpstr>
      <vt:lpstr>Sheet1</vt:lpstr>
      <vt:lpstr>DATABASE!Print_Area</vt:lpstr>
      <vt:lpstr>DATABASE!Print_Titles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Mr.Kraingkrai Suwanmalai</dc:creator>
  <cp:lastModifiedBy>Thammaratana Datchanont</cp:lastModifiedBy>
  <cp:lastPrinted>2024-01-03T04:15:31Z</cp:lastPrinted>
  <dcterms:created xsi:type="dcterms:W3CDTF">2019-10-17T08:57:34Z</dcterms:created>
  <dcterms:modified xsi:type="dcterms:W3CDTF">2026-08-28T06:29:13Z</dcterms:modified>
</cp:coreProperties>
</file>